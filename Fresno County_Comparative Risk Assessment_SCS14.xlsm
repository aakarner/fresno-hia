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 defaultThemeVersion="124226"/>
  <bookViews>
    <workbookView xWindow="390" yWindow="1110" windowWidth="18195" windowHeight="11850" tabRatio="892"/>
  </bookViews>
  <sheets>
    <sheet name="Instructions" sheetId="19" r:id="rId1"/>
    <sheet name="InputPopulationDeaths" sheetId="34" r:id="rId2"/>
    <sheet name="InputTravel" sheetId="10" r:id="rId3"/>
    <sheet name="Health results" sheetId="31" r:id="rId4"/>
    <sheet name="Active transport" sheetId="12" r:id="rId5"/>
    <sheet name="Baseline" sheetId="11" r:id="rId6"/>
    <sheet name="Scenario" sheetId="20" r:id="rId7"/>
    <sheet name="Phy activity RRs" sheetId="18" r:id="rId8"/>
    <sheet name="Non-travel METs" sheetId="16" r:id="rId9"/>
    <sheet name="Breast cancer" sheetId="21" r:id="rId10"/>
    <sheet name="CVD" sheetId="22" r:id="rId11"/>
    <sheet name="Colon cancer" sheetId="17" r:id="rId12"/>
    <sheet name="Diabetes" sheetId="27" r:id="rId13"/>
    <sheet name="Dementia" sheetId="24" r:id="rId14"/>
    <sheet name="Depression" sheetId="30" r:id="rId15"/>
    <sheet name="CHTS 2013" sheetId="13" r:id="rId16"/>
    <sheet name="GBDUS" sheetId="3" r:id="rId17"/>
    <sheet name="Old inputs" sheetId="33" state="hidden" r:id="rId18"/>
    <sheet name="CHIS" sheetId="15" state="hidden" r:id="rId19"/>
  </sheets>
  <externalReferences>
    <externalReference r:id="rId20"/>
  </externalReferences>
  <definedNames>
    <definedName name="_Parse_In" localSheetId="9" hidden="1">'[1]1997'!#REF!</definedName>
    <definedName name="_Parse_In" localSheetId="10" hidden="1">'[1]1997'!#REF!</definedName>
    <definedName name="_Parse_In" localSheetId="13" hidden="1">'[1]1997'!#REF!</definedName>
    <definedName name="_Parse_In" localSheetId="14" hidden="1">'[1]1997'!#REF!</definedName>
    <definedName name="_Parse_In" localSheetId="12" hidden="1">'[1]1997'!#REF!</definedName>
    <definedName name="_Parse_In" localSheetId="8" hidden="1">'[1]1997'!#REF!</definedName>
    <definedName name="_Parse_In" localSheetId="17" hidden="1">'[1]1997'!#REF!</definedName>
    <definedName name="_Parse_In" localSheetId="7" hidden="1">'[1]1997'!#REF!</definedName>
    <definedName name="_Parse_In" localSheetId="6" hidden="1">'[1]1997'!#REF!</definedName>
    <definedName name="_Parse_In" hidden="1">'[1]1997'!#REF!</definedName>
    <definedName name="j" localSheetId="4" hidden="1">{#N/A,#N/A,FALSE,"inopert";#N/A,#N/A,FALSE,"electrified";#N/A,#N/A,FALSE,"network"}</definedName>
    <definedName name="j" localSheetId="5" hidden="1">{#N/A,#N/A,FALSE,"inopert";#N/A,#N/A,FALSE,"electrified";#N/A,#N/A,FALSE,"network"}</definedName>
    <definedName name="j" localSheetId="8" hidden="1">{#N/A,#N/A,FALSE,"inopert";#N/A,#N/A,FALSE,"electrified";#N/A,#N/A,FALSE,"network"}</definedName>
    <definedName name="j" localSheetId="7" hidden="1">{#N/A,#N/A,FALSE,"inopert";#N/A,#N/A,FALSE,"electrified";#N/A,#N/A,FALSE,"network"}</definedName>
    <definedName name="j" localSheetId="6" hidden="1">{#N/A,#N/A,FALSE,"inopert";#N/A,#N/A,FALSE,"electrified";#N/A,#N/A,FALSE,"network"}</definedName>
    <definedName name="j" hidden="1">{#N/A,#N/A,FALSE,"inopert";#N/A,#N/A,FALSE,"electrified";#N/A,#N/A,FALSE,"network"}</definedName>
    <definedName name="jj" localSheetId="4" hidden="1">{#N/A,#N/A,FALSE,"inopert";#N/A,#N/A,FALSE,"electrified";#N/A,#N/A,FALSE,"network"}</definedName>
    <definedName name="jj" localSheetId="5" hidden="1">{#N/A,#N/A,FALSE,"inopert";#N/A,#N/A,FALSE,"electrified";#N/A,#N/A,FALSE,"network"}</definedName>
    <definedName name="jj" localSheetId="8" hidden="1">{#N/A,#N/A,FALSE,"inopert";#N/A,#N/A,FALSE,"electrified";#N/A,#N/A,FALSE,"network"}</definedName>
    <definedName name="jj" localSheetId="7" hidden="1">{#N/A,#N/A,FALSE,"inopert";#N/A,#N/A,FALSE,"electrified";#N/A,#N/A,FALSE,"network"}</definedName>
    <definedName name="jj" localSheetId="6" hidden="1">{#N/A,#N/A,FALSE,"inopert";#N/A,#N/A,FALSE,"electrified";#N/A,#N/A,FALSE,"network"}</definedName>
    <definedName name="jj" hidden="1">{#N/A,#N/A,FALSE,"inopert";#N/A,#N/A,FALSE,"electrified";#N/A,#N/A,FALSE,"network"}</definedName>
    <definedName name="jk" localSheetId="4" hidden="1">{#N/A,#N/A,FALSE,"inopert";#N/A,#N/A,FALSE,"electrified";#N/A,#N/A,FALSE,"network"}</definedName>
    <definedName name="jk" localSheetId="5" hidden="1">{#N/A,#N/A,FALSE,"inopert";#N/A,#N/A,FALSE,"electrified";#N/A,#N/A,FALSE,"network"}</definedName>
    <definedName name="jk" localSheetId="8" hidden="1">{#N/A,#N/A,FALSE,"inopert";#N/A,#N/A,FALSE,"electrified";#N/A,#N/A,FALSE,"network"}</definedName>
    <definedName name="jk" localSheetId="7" hidden="1">{#N/A,#N/A,FALSE,"inopert";#N/A,#N/A,FALSE,"electrified";#N/A,#N/A,FALSE,"network"}</definedName>
    <definedName name="jk" localSheetId="6" hidden="1">{#N/A,#N/A,FALSE,"inopert";#N/A,#N/A,FALSE,"electrified";#N/A,#N/A,FALSE,"network"}</definedName>
    <definedName name="jk" hidden="1">{#N/A,#N/A,FALSE,"inopert";#N/A,#N/A,FALSE,"electrified";#N/A,#N/A,FALSE,"network"}</definedName>
    <definedName name="wrn.flifted." localSheetId="4" hidden="1">{#N/A,#N/A,FALSE,"Summary";#N/A,#N/A,FALSE,"road";#N/A,#N/A,FALSE,"raillifted";#N/A,#N/A,FALSE,"inlandwaterway";#N/A,#N/A,FALSE,"seagoing";#N/A,#N/A,FALSE,"pipeline"}</definedName>
    <definedName name="wrn.flifted." localSheetId="5" hidden="1">{#N/A,#N/A,FALSE,"Summary";#N/A,#N/A,FALSE,"road";#N/A,#N/A,FALSE,"raillifted";#N/A,#N/A,FALSE,"inlandwaterway";#N/A,#N/A,FALSE,"seagoing";#N/A,#N/A,FALSE,"pipeline"}</definedName>
    <definedName name="wrn.flifted." localSheetId="8" hidden="1">{#N/A,#N/A,FALSE,"Summary";#N/A,#N/A,FALSE,"road";#N/A,#N/A,FALSE,"raillifted";#N/A,#N/A,FALSE,"inlandwaterway";#N/A,#N/A,FALSE,"seagoing";#N/A,#N/A,FALSE,"pipeline"}</definedName>
    <definedName name="wrn.flifted." localSheetId="7" hidden="1">{#N/A,#N/A,FALSE,"Summary";#N/A,#N/A,FALSE,"road";#N/A,#N/A,FALSE,"raillifted";#N/A,#N/A,FALSE,"inlandwaterway";#N/A,#N/A,FALSE,"seagoing";#N/A,#N/A,FALSE,"pipeline"}</definedName>
    <definedName name="wrn.flifted." localSheetId="6" hidden="1">{#N/A,#N/A,FALSE,"Summary";#N/A,#N/A,FALSE,"road";#N/A,#N/A,FALSE,"raillifted";#N/A,#N/A,FALSE,"inlandwaterway";#N/A,#N/A,FALSE,"seagoing";#N/A,#N/A,FALSE,"pipeline"}</definedName>
    <definedName name="wrn.flifted." hidden="1">{#N/A,#N/A,FALSE,"Summary";#N/A,#N/A,FALSE,"road";#N/A,#N/A,FALSE,"raillifted";#N/A,#N/A,FALSE,"inlandwaterway";#N/A,#N/A,FALSE,"seagoing";#N/A,#N/A,FALSE,"pipeline"}</definedName>
    <definedName name="wrn.fmoved." localSheetId="4" hidden="1">{#N/A,#N/A,FALSE,"road";#N/A,#N/A,FALSE,"inlandwaterway";#N/A,#N/A,FALSE,"seagoing";#N/A,#N/A,FALSE,"pipeline"}</definedName>
    <definedName name="wrn.fmoved." localSheetId="5" hidden="1">{#N/A,#N/A,FALSE,"road";#N/A,#N/A,FALSE,"inlandwaterway";#N/A,#N/A,FALSE,"seagoing";#N/A,#N/A,FALSE,"pipeline"}</definedName>
    <definedName name="wrn.fmoved." localSheetId="8" hidden="1">{#N/A,#N/A,FALSE,"road";#N/A,#N/A,FALSE,"inlandwaterway";#N/A,#N/A,FALSE,"seagoing";#N/A,#N/A,FALSE,"pipeline"}</definedName>
    <definedName name="wrn.fmoved." localSheetId="7" hidden="1">{#N/A,#N/A,FALSE,"road";#N/A,#N/A,FALSE,"inlandwaterway";#N/A,#N/A,FALSE,"seagoing";#N/A,#N/A,FALSE,"pipeline"}</definedName>
    <definedName name="wrn.fmoved." localSheetId="6" hidden="1">{#N/A,#N/A,FALSE,"road";#N/A,#N/A,FALSE,"inlandwaterway";#N/A,#N/A,FALSE,"seagoing";#N/A,#N/A,FALSE,"pipeline"}</definedName>
    <definedName name="wrn.fmoved." hidden="1">{#N/A,#N/A,FALSE,"road";#N/A,#N/A,FALSE,"inlandwaterway";#N/A,#N/A,FALSE,"seagoing";#N/A,#N/A,FALSE,"pipeline"}</definedName>
    <definedName name="wrn.rail." localSheetId="4" hidden="1">{#N/A,#N/A,FALSE,"inopert";#N/A,#N/A,FALSE,"electrified";#N/A,#N/A,FALSE,"network"}</definedName>
    <definedName name="wrn.rail." localSheetId="5" hidden="1">{#N/A,#N/A,FALSE,"inopert";#N/A,#N/A,FALSE,"electrified";#N/A,#N/A,FALSE,"network"}</definedName>
    <definedName name="wrn.rail." localSheetId="8" hidden="1">{#N/A,#N/A,FALSE,"inopert";#N/A,#N/A,FALSE,"electrified";#N/A,#N/A,FALSE,"network"}</definedName>
    <definedName name="wrn.rail." localSheetId="7" hidden="1">{#N/A,#N/A,FALSE,"inopert";#N/A,#N/A,FALSE,"electrified";#N/A,#N/A,FALSE,"network"}</definedName>
    <definedName name="wrn.rail." localSheetId="6" hidden="1">{#N/A,#N/A,FALSE,"inopert";#N/A,#N/A,FALSE,"electrified";#N/A,#N/A,FALSE,"network"}</definedName>
    <definedName name="wrn.rail." hidden="1">{#N/A,#N/A,FALSE,"inopert";#N/A,#N/A,FALSE,"electrified";#N/A,#N/A,FALSE,"network"}</definedName>
  </definedNames>
  <calcPr calcId="145621"/>
</workbook>
</file>

<file path=xl/calcChain.xml><?xml version="1.0" encoding="utf-8"?>
<calcChain xmlns="http://schemas.openxmlformats.org/spreadsheetml/2006/main">
  <c r="F125" i="34" l="1"/>
  <c r="J5" i="3"/>
  <c r="P6" i="3" s="1"/>
  <c r="K8" i="3"/>
  <c r="O8" i="3" s="1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7" i="3"/>
  <c r="J45" i="3"/>
  <c r="J55" i="3"/>
  <c r="J62" i="3"/>
  <c r="J75" i="3"/>
  <c r="J85" i="3"/>
  <c r="J94" i="3"/>
  <c r="J27" i="3"/>
  <c r="J29" i="3"/>
  <c r="J24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7" i="3"/>
  <c r="F48" i="34"/>
  <c r="F65" i="34" s="1"/>
  <c r="F82" i="34" s="1"/>
  <c r="F99" i="34" s="1"/>
  <c r="F116" i="34" s="1"/>
  <c r="F47" i="34"/>
  <c r="F64" i="34" s="1"/>
  <c r="F81" i="34" s="1"/>
  <c r="F98" i="34" s="1"/>
  <c r="F115" i="34" s="1"/>
  <c r="F46" i="34"/>
  <c r="F63" i="34" s="1"/>
  <c r="F80" i="34" s="1"/>
  <c r="F97" i="34" s="1"/>
  <c r="F114" i="34" s="1"/>
  <c r="F45" i="34"/>
  <c r="F62" i="34" s="1"/>
  <c r="F79" i="34" s="1"/>
  <c r="F96" i="34" s="1"/>
  <c r="F113" i="34" s="1"/>
  <c r="F44" i="34"/>
  <c r="F61" i="34" s="1"/>
  <c r="F78" i="34" s="1"/>
  <c r="F95" i="34" s="1"/>
  <c r="F112" i="34" s="1"/>
  <c r="F43" i="34"/>
  <c r="F60" i="34" s="1"/>
  <c r="F77" i="34" s="1"/>
  <c r="F94" i="34" s="1"/>
  <c r="F111" i="34" s="1"/>
  <c r="F42" i="34"/>
  <c r="F59" i="34" s="1"/>
  <c r="F76" i="34" s="1"/>
  <c r="F93" i="34" s="1"/>
  <c r="F110" i="34" s="1"/>
  <c r="F41" i="34"/>
  <c r="F58" i="34" s="1"/>
  <c r="F75" i="34" s="1"/>
  <c r="F92" i="34" s="1"/>
  <c r="F109" i="34" s="1"/>
  <c r="F40" i="34"/>
  <c r="F57" i="34" s="1"/>
  <c r="F74" i="34" s="1"/>
  <c r="F91" i="34" s="1"/>
  <c r="F108" i="34" s="1"/>
  <c r="F39" i="34"/>
  <c r="F56" i="34" s="1"/>
  <c r="F73" i="34" s="1"/>
  <c r="F90" i="34" s="1"/>
  <c r="F107" i="34" s="1"/>
  <c r="F38" i="34"/>
  <c r="F55" i="34" s="1"/>
  <c r="F72" i="34" s="1"/>
  <c r="F89" i="34" s="1"/>
  <c r="F106" i="34" s="1"/>
  <c r="F37" i="34"/>
  <c r="F54" i="34" s="1"/>
  <c r="F71" i="34" s="1"/>
  <c r="F88" i="34" s="1"/>
  <c r="F105" i="34" s="1"/>
  <c r="F36" i="34"/>
  <c r="F53" i="34" s="1"/>
  <c r="F70" i="34" s="1"/>
  <c r="F87" i="34" s="1"/>
  <c r="F104" i="34" s="1"/>
  <c r="F35" i="34"/>
  <c r="F52" i="34" s="1"/>
  <c r="F69" i="34" s="1"/>
  <c r="F86" i="34" s="1"/>
  <c r="F103" i="34" s="1"/>
  <c r="F34" i="34"/>
  <c r="F51" i="34" s="1"/>
  <c r="F68" i="34" s="1"/>
  <c r="F85" i="34" s="1"/>
  <c r="F102" i="34" s="1"/>
  <c r="F33" i="34"/>
  <c r="F50" i="34" s="1"/>
  <c r="F67" i="34" s="1"/>
  <c r="F84" i="34" s="1"/>
  <c r="F101" i="34" s="1"/>
  <c r="F32" i="34"/>
  <c r="F49" i="34" s="1"/>
  <c r="F66" i="34" s="1"/>
  <c r="F83" i="34" s="1"/>
  <c r="F100" i="34" s="1"/>
  <c r="F117" i="34" s="1"/>
  <c r="E34" i="34"/>
  <c r="J25" i="3" s="1"/>
  <c r="E35" i="34"/>
  <c r="E52" i="34" s="1"/>
  <c r="E69" i="34" s="1"/>
  <c r="E86" i="34" s="1"/>
  <c r="E103" i="34" s="1"/>
  <c r="E36" i="34"/>
  <c r="E53" i="34" s="1"/>
  <c r="E70" i="34" s="1"/>
  <c r="E87" i="34" s="1"/>
  <c r="E104" i="34" s="1"/>
  <c r="J95" i="3" s="1"/>
  <c r="E37" i="34"/>
  <c r="E54" i="34" s="1"/>
  <c r="E71" i="34" s="1"/>
  <c r="E88" i="34" s="1"/>
  <c r="E105" i="34" s="1"/>
  <c r="J96" i="3" s="1"/>
  <c r="E38" i="34"/>
  <c r="E39" i="34"/>
  <c r="E56" i="34" s="1"/>
  <c r="E73" i="34" s="1"/>
  <c r="E90" i="34" s="1"/>
  <c r="E107" i="34" s="1"/>
  <c r="J98" i="3" s="1"/>
  <c r="E40" i="34"/>
  <c r="E57" i="34" s="1"/>
  <c r="E74" i="34" s="1"/>
  <c r="E91" i="34" s="1"/>
  <c r="E108" i="34" s="1"/>
  <c r="J99" i="3" s="1"/>
  <c r="E41" i="34"/>
  <c r="E58" i="34" s="1"/>
  <c r="E75" i="34" s="1"/>
  <c r="E92" i="34" s="1"/>
  <c r="E109" i="34" s="1"/>
  <c r="J100" i="3" s="1"/>
  <c r="E42" i="34"/>
  <c r="E59" i="34" s="1"/>
  <c r="E43" i="34"/>
  <c r="E60" i="34" s="1"/>
  <c r="E77" i="34" s="1"/>
  <c r="E94" i="34" s="1"/>
  <c r="E111" i="34" s="1"/>
  <c r="J102" i="3" s="1"/>
  <c r="E44" i="34"/>
  <c r="E61" i="34" s="1"/>
  <c r="E78" i="34" s="1"/>
  <c r="E95" i="34" s="1"/>
  <c r="E112" i="34" s="1"/>
  <c r="J103" i="3" s="1"/>
  <c r="E45" i="34"/>
  <c r="E62" i="34" s="1"/>
  <c r="E79" i="34" s="1"/>
  <c r="E96" i="34" s="1"/>
  <c r="E113" i="34" s="1"/>
  <c r="J104" i="3" s="1"/>
  <c r="E46" i="34"/>
  <c r="E63" i="34" s="1"/>
  <c r="E47" i="34"/>
  <c r="E64" i="34" s="1"/>
  <c r="E81" i="34" s="1"/>
  <c r="E98" i="34" s="1"/>
  <c r="E115" i="34" s="1"/>
  <c r="J106" i="3" s="1"/>
  <c r="E48" i="34"/>
  <c r="E65" i="34" s="1"/>
  <c r="E82" i="34" s="1"/>
  <c r="E99" i="34" s="1"/>
  <c r="E116" i="34" s="1"/>
  <c r="J107" i="3" s="1"/>
  <c r="E55" i="34"/>
  <c r="E72" i="34" s="1"/>
  <c r="E89" i="34" s="1"/>
  <c r="E106" i="34" s="1"/>
  <c r="J97" i="3" s="1"/>
  <c r="E33" i="34"/>
  <c r="E50" i="34" s="1"/>
  <c r="E67" i="34" s="1"/>
  <c r="E84" i="34" s="1"/>
  <c r="E101" i="34" s="1"/>
  <c r="J92" i="3" s="1"/>
  <c r="J32" i="34"/>
  <c r="K23" i="3" s="1"/>
  <c r="J49" i="34"/>
  <c r="K40" i="3" s="1"/>
  <c r="J66" i="34"/>
  <c r="K57" i="3" s="1"/>
  <c r="J83" i="34"/>
  <c r="K74" i="3" s="1"/>
  <c r="J100" i="34"/>
  <c r="K91" i="3" s="1"/>
  <c r="J117" i="34"/>
  <c r="K108" i="3" s="1"/>
  <c r="J69" i="3" l="1"/>
  <c r="J51" i="3"/>
  <c r="J28" i="3"/>
  <c r="J86" i="3"/>
  <c r="J68" i="3"/>
  <c r="J47" i="3"/>
  <c r="J26" i="3"/>
  <c r="J79" i="3"/>
  <c r="J61" i="3"/>
  <c r="J44" i="3"/>
  <c r="J37" i="3"/>
  <c r="J78" i="3"/>
  <c r="J60" i="3"/>
  <c r="J43" i="3"/>
  <c r="J36" i="3"/>
  <c r="J77" i="3"/>
  <c r="J53" i="3"/>
  <c r="J34" i="3"/>
  <c r="J70" i="3"/>
  <c r="J52" i="3"/>
  <c r="F133" i="34"/>
  <c r="J35" i="3"/>
  <c r="J87" i="3"/>
  <c r="E80" i="34"/>
  <c r="J54" i="3"/>
  <c r="E76" i="34"/>
  <c r="J50" i="3"/>
  <c r="E51" i="34"/>
  <c r="J46" i="3"/>
  <c r="F131" i="34"/>
  <c r="F130" i="34"/>
  <c r="J83" i="3"/>
  <c r="F121" i="34"/>
  <c r="J32" i="3"/>
  <c r="J90" i="3"/>
  <c r="J82" i="3"/>
  <c r="J66" i="3"/>
  <c r="J58" i="3"/>
  <c r="F128" i="34"/>
  <c r="F120" i="34"/>
  <c r="J63" i="3"/>
  <c r="J31" i="3"/>
  <c r="J89" i="3"/>
  <c r="J81" i="3"/>
  <c r="J73" i="3"/>
  <c r="J65" i="3"/>
  <c r="J49" i="3"/>
  <c r="J41" i="3"/>
  <c r="F127" i="34"/>
  <c r="F119" i="34"/>
  <c r="F132" i="34"/>
  <c r="F124" i="34"/>
  <c r="F123" i="34"/>
  <c r="F122" i="34"/>
  <c r="J33" i="3"/>
  <c r="F129" i="34"/>
  <c r="J39" i="3"/>
  <c r="J38" i="3"/>
  <c r="J30" i="3"/>
  <c r="J80" i="3"/>
  <c r="J72" i="3"/>
  <c r="J64" i="3"/>
  <c r="J56" i="3"/>
  <c r="J48" i="3"/>
  <c r="F134" i="34"/>
  <c r="F126" i="34"/>
  <c r="E32" i="34"/>
  <c r="K117" i="34"/>
  <c r="K100" i="34"/>
  <c r="K83" i="34"/>
  <c r="K66" i="34"/>
  <c r="K49" i="34"/>
  <c r="K32" i="34"/>
  <c r="E68" i="34" l="1"/>
  <c r="J42" i="3"/>
  <c r="E49" i="34"/>
  <c r="E127" i="34"/>
  <c r="E119" i="34"/>
  <c r="E123" i="34"/>
  <c r="E124" i="34"/>
  <c r="E133" i="34"/>
  <c r="E126" i="34"/>
  <c r="E120" i="34"/>
  <c r="E128" i="34"/>
  <c r="E131" i="34"/>
  <c r="E121" i="34"/>
  <c r="E129" i="34"/>
  <c r="E122" i="34"/>
  <c r="E130" i="34"/>
  <c r="J23" i="3"/>
  <c r="E132" i="34"/>
  <c r="E125" i="34"/>
  <c r="E134" i="34"/>
  <c r="E93" i="34"/>
  <c r="J67" i="3"/>
  <c r="E97" i="34"/>
  <c r="J71" i="3"/>
  <c r="H6" i="10"/>
  <c r="G6" i="10"/>
  <c r="F6" i="10"/>
  <c r="E6" i="10"/>
  <c r="D6" i="10"/>
  <c r="H5" i="10"/>
  <c r="G5" i="10"/>
  <c r="F5" i="10"/>
  <c r="E5" i="10"/>
  <c r="J5" i="10" s="1"/>
  <c r="D5" i="10"/>
  <c r="D17" i="10"/>
  <c r="E17" i="10"/>
  <c r="F17" i="10"/>
  <c r="G17" i="10"/>
  <c r="H17" i="10"/>
  <c r="L17" i="10"/>
  <c r="M17" i="10"/>
  <c r="N17" i="10"/>
  <c r="O17" i="10"/>
  <c r="P17" i="10"/>
  <c r="D18" i="10"/>
  <c r="E18" i="10"/>
  <c r="F18" i="10"/>
  <c r="G18" i="10"/>
  <c r="H18" i="10"/>
  <c r="L18" i="10"/>
  <c r="M18" i="10"/>
  <c r="N18" i="10"/>
  <c r="O18" i="10"/>
  <c r="P18" i="10"/>
  <c r="D26" i="10"/>
  <c r="E26" i="10"/>
  <c r="F26" i="10"/>
  <c r="G26" i="10"/>
  <c r="H26" i="10"/>
  <c r="D27" i="10"/>
  <c r="E27" i="10"/>
  <c r="F27" i="10"/>
  <c r="G27" i="10"/>
  <c r="H27" i="10"/>
  <c r="D35" i="10"/>
  <c r="E35" i="10"/>
  <c r="F35" i="10"/>
  <c r="G35" i="10"/>
  <c r="H35" i="10"/>
  <c r="D36" i="10"/>
  <c r="E36" i="10"/>
  <c r="F36" i="10"/>
  <c r="G36" i="10"/>
  <c r="H36" i="10"/>
  <c r="D44" i="10"/>
  <c r="E44" i="10"/>
  <c r="F44" i="10"/>
  <c r="G44" i="10"/>
  <c r="H44" i="10"/>
  <c r="D45" i="10"/>
  <c r="E45" i="10"/>
  <c r="F45" i="10"/>
  <c r="G45" i="10"/>
  <c r="H45" i="10"/>
  <c r="D53" i="10"/>
  <c r="E53" i="10"/>
  <c r="F53" i="10"/>
  <c r="G53" i="10"/>
  <c r="H53" i="10"/>
  <c r="D54" i="10"/>
  <c r="E54" i="10"/>
  <c r="F54" i="10"/>
  <c r="G54" i="10"/>
  <c r="H54" i="10"/>
  <c r="G40" i="33"/>
  <c r="F40" i="33"/>
  <c r="E40" i="33"/>
  <c r="D40" i="33"/>
  <c r="G39" i="33"/>
  <c r="F39" i="33"/>
  <c r="E39" i="33"/>
  <c r="D39" i="33"/>
  <c r="G38" i="33"/>
  <c r="F38" i="33"/>
  <c r="E38" i="33"/>
  <c r="D38" i="33"/>
  <c r="D19" i="33"/>
  <c r="H19" i="33" s="1"/>
  <c r="D18" i="33"/>
  <c r="F18" i="33" s="1"/>
  <c r="D15" i="33"/>
  <c r="D14" i="33"/>
  <c r="I10" i="33"/>
  <c r="I9" i="33"/>
  <c r="H6" i="33"/>
  <c r="I6" i="33" s="1"/>
  <c r="G6" i="33"/>
  <c r="F6" i="33"/>
  <c r="E6" i="33"/>
  <c r="D6" i="33"/>
  <c r="H5" i="33"/>
  <c r="H11" i="33" s="1"/>
  <c r="G5" i="33"/>
  <c r="G11" i="33" s="1"/>
  <c r="F5" i="33"/>
  <c r="E5" i="33"/>
  <c r="D5" i="33"/>
  <c r="E15" i="33" l="1"/>
  <c r="H14" i="33"/>
  <c r="E114" i="34"/>
  <c r="J105" i="3" s="1"/>
  <c r="J88" i="3"/>
  <c r="D19" i="20"/>
  <c r="D19" i="11"/>
  <c r="C21" i="20"/>
  <c r="C21" i="11"/>
  <c r="I5" i="33"/>
  <c r="I11" i="33" s="1"/>
  <c r="E110" i="34"/>
  <c r="J101" i="3" s="1"/>
  <c r="J84" i="3"/>
  <c r="C19" i="20"/>
  <c r="C19" i="11"/>
  <c r="C17" i="20"/>
  <c r="C17" i="11"/>
  <c r="D24" i="20"/>
  <c r="D24" i="11"/>
  <c r="D21" i="20"/>
  <c r="D21" i="11"/>
  <c r="D17" i="11"/>
  <c r="D17" i="20"/>
  <c r="D20" i="20"/>
  <c r="D20" i="11"/>
  <c r="C22" i="20"/>
  <c r="C22" i="11"/>
  <c r="E14" i="33"/>
  <c r="E20" i="33" s="1"/>
  <c r="D11" i="33"/>
  <c r="E11" i="33"/>
  <c r="D23" i="11"/>
  <c r="D23" i="20"/>
  <c r="C20" i="20"/>
  <c r="C20" i="11"/>
  <c r="C23" i="20"/>
  <c r="C23" i="11"/>
  <c r="D18" i="20"/>
  <c r="D18" i="11"/>
  <c r="E66" i="34"/>
  <c r="J40" i="3"/>
  <c r="F11" i="33"/>
  <c r="D22" i="11"/>
  <c r="D22" i="20"/>
  <c r="C18" i="11"/>
  <c r="C18" i="20"/>
  <c r="C24" i="11"/>
  <c r="C24" i="20"/>
  <c r="E85" i="34"/>
  <c r="J59" i="3"/>
  <c r="H15" i="33"/>
  <c r="H20" i="33" s="1"/>
  <c r="F14" i="33"/>
  <c r="D17" i="33"/>
  <c r="D20" i="33"/>
  <c r="F15" i="33"/>
  <c r="G18" i="33"/>
  <c r="I8" i="33"/>
  <c r="G15" i="33"/>
  <c r="H18" i="33"/>
  <c r="H16" i="33" s="1"/>
  <c r="D16" i="33"/>
  <c r="E19" i="33"/>
  <c r="E17" i="33" s="1"/>
  <c r="G14" i="33"/>
  <c r="F19" i="33"/>
  <c r="G19" i="33"/>
  <c r="E18" i="33"/>
  <c r="E102" i="34" l="1"/>
  <c r="J93" i="3" s="1"/>
  <c r="J76" i="3"/>
  <c r="H17" i="33"/>
  <c r="E83" i="34"/>
  <c r="J57" i="3"/>
  <c r="E16" i="33"/>
  <c r="I7" i="33"/>
  <c r="F20" i="33"/>
  <c r="F17" i="33"/>
  <c r="F16" i="33"/>
  <c r="G17" i="33"/>
  <c r="G20" i="33"/>
  <c r="G16" i="33"/>
  <c r="E100" i="34" l="1"/>
  <c r="J74" i="3"/>
  <c r="O51" i="15"/>
  <c r="L51" i="15" s="1"/>
  <c r="N51" i="15"/>
  <c r="M51" i="15"/>
  <c r="F51" i="15"/>
  <c r="E51" i="15"/>
  <c r="O50" i="15"/>
  <c r="I50" i="15" s="1"/>
  <c r="J50" i="15"/>
  <c r="G50" i="15"/>
  <c r="F50" i="15"/>
  <c r="E50" i="15"/>
  <c r="O49" i="15"/>
  <c r="N49" i="15" s="1"/>
  <c r="O48" i="15"/>
  <c r="K48" i="15" s="1"/>
  <c r="N48" i="15"/>
  <c r="M48" i="15"/>
  <c r="L48" i="15"/>
  <c r="H48" i="15"/>
  <c r="E48" i="15"/>
  <c r="D48" i="15"/>
  <c r="O47" i="15"/>
  <c r="H47" i="15" s="1"/>
  <c r="N47" i="15"/>
  <c r="M47" i="15"/>
  <c r="F47" i="15"/>
  <c r="E47" i="15"/>
  <c r="D47" i="15"/>
  <c r="O46" i="15"/>
  <c r="M46" i="15" s="1"/>
  <c r="N46" i="15"/>
  <c r="F46" i="15"/>
  <c r="O45" i="15"/>
  <c r="O44" i="15"/>
  <c r="K44" i="15" s="1"/>
  <c r="N44" i="15"/>
  <c r="M44" i="15"/>
  <c r="O43" i="15"/>
  <c r="H43" i="15" s="1"/>
  <c r="N43" i="15"/>
  <c r="E43" i="15"/>
  <c r="O42" i="15"/>
  <c r="M42" i="15" s="1"/>
  <c r="F42" i="15"/>
  <c r="O41" i="15"/>
  <c r="J41" i="15" s="1"/>
  <c r="M41" i="15"/>
  <c r="O40" i="15"/>
  <c r="L40" i="15" s="1"/>
  <c r="N40" i="15"/>
  <c r="G40" i="15"/>
  <c r="F40" i="15"/>
  <c r="O39" i="15"/>
  <c r="L39" i="15" s="1"/>
  <c r="M39" i="15"/>
  <c r="F39" i="15"/>
  <c r="E39" i="15"/>
  <c r="H108" i="3"/>
  <c r="G108" i="3"/>
  <c r="F108" i="3"/>
  <c r="E108" i="3"/>
  <c r="Q107" i="3"/>
  <c r="O107" i="3"/>
  <c r="I107" i="3"/>
  <c r="Q106" i="3"/>
  <c r="O106" i="3"/>
  <c r="I106" i="3"/>
  <c r="Q105" i="3"/>
  <c r="I105" i="3"/>
  <c r="Q104" i="3"/>
  <c r="I104" i="3"/>
  <c r="Q103" i="3"/>
  <c r="I103" i="3"/>
  <c r="Q102" i="3"/>
  <c r="O102" i="3"/>
  <c r="I102" i="3"/>
  <c r="Q101" i="3"/>
  <c r="O101" i="3"/>
  <c r="I101" i="3"/>
  <c r="Q100" i="3"/>
  <c r="I100" i="3"/>
  <c r="Q99" i="3"/>
  <c r="I99" i="3"/>
  <c r="Q98" i="3"/>
  <c r="O98" i="3"/>
  <c r="I98" i="3"/>
  <c r="Q97" i="3"/>
  <c r="I97" i="3"/>
  <c r="Q96" i="3"/>
  <c r="I96" i="3"/>
  <c r="Q95" i="3"/>
  <c r="I95" i="3"/>
  <c r="Q94" i="3"/>
  <c r="I94" i="3"/>
  <c r="Q93" i="3"/>
  <c r="I93" i="3"/>
  <c r="Q92" i="3"/>
  <c r="I92" i="3"/>
  <c r="H91" i="3"/>
  <c r="G91" i="3"/>
  <c r="F91" i="3"/>
  <c r="E91" i="3"/>
  <c r="Q90" i="3"/>
  <c r="I90" i="3"/>
  <c r="Q89" i="3"/>
  <c r="I89" i="3"/>
  <c r="Q88" i="3"/>
  <c r="I88" i="3"/>
  <c r="Q87" i="3"/>
  <c r="I87" i="3"/>
  <c r="Q86" i="3"/>
  <c r="I86" i="3"/>
  <c r="Q85" i="3"/>
  <c r="O85" i="3"/>
  <c r="I85" i="3"/>
  <c r="Q84" i="3"/>
  <c r="I84" i="3"/>
  <c r="Q83" i="3"/>
  <c r="O83" i="3"/>
  <c r="I83" i="3"/>
  <c r="Q82" i="3"/>
  <c r="I82" i="3"/>
  <c r="Q81" i="3"/>
  <c r="I81" i="3"/>
  <c r="Q80" i="3"/>
  <c r="I80" i="3"/>
  <c r="Q79" i="3"/>
  <c r="I79" i="3"/>
  <c r="Q78" i="3"/>
  <c r="I78" i="3"/>
  <c r="Q77" i="3"/>
  <c r="O77" i="3"/>
  <c r="I77" i="3"/>
  <c r="Q76" i="3"/>
  <c r="I76" i="3"/>
  <c r="Q75" i="3"/>
  <c r="O75" i="3"/>
  <c r="I75" i="3"/>
  <c r="H74" i="3"/>
  <c r="G74" i="3"/>
  <c r="F74" i="3"/>
  <c r="E74" i="3"/>
  <c r="Q73" i="3"/>
  <c r="I73" i="3"/>
  <c r="Q72" i="3"/>
  <c r="I72" i="3"/>
  <c r="Q71" i="3"/>
  <c r="I71" i="3"/>
  <c r="Q70" i="3"/>
  <c r="I70" i="3"/>
  <c r="Q69" i="3"/>
  <c r="O69" i="3"/>
  <c r="I69" i="3"/>
  <c r="Q68" i="3"/>
  <c r="I68" i="3"/>
  <c r="Q67" i="3"/>
  <c r="I67" i="3"/>
  <c r="Q66" i="3"/>
  <c r="O66" i="3"/>
  <c r="I66" i="3"/>
  <c r="Q65" i="3"/>
  <c r="I65" i="3"/>
  <c r="Q64" i="3"/>
  <c r="I64" i="3"/>
  <c r="Q63" i="3"/>
  <c r="I63" i="3"/>
  <c r="Q62" i="3"/>
  <c r="I62" i="3"/>
  <c r="Q61" i="3"/>
  <c r="O61" i="3"/>
  <c r="I61" i="3"/>
  <c r="Q60" i="3"/>
  <c r="O60" i="3"/>
  <c r="I60" i="3"/>
  <c r="Q59" i="3"/>
  <c r="I59" i="3"/>
  <c r="Q58" i="3"/>
  <c r="I58" i="3"/>
  <c r="H57" i="3"/>
  <c r="G57" i="3"/>
  <c r="F57" i="3"/>
  <c r="E57" i="3"/>
  <c r="Q56" i="3"/>
  <c r="I56" i="3"/>
  <c r="Q55" i="3"/>
  <c r="I55" i="3"/>
  <c r="Q54" i="3"/>
  <c r="I54" i="3"/>
  <c r="Q53" i="3"/>
  <c r="I53" i="3"/>
  <c r="Q52" i="3"/>
  <c r="I52" i="3"/>
  <c r="Q51" i="3"/>
  <c r="O51" i="3"/>
  <c r="I51" i="3"/>
  <c r="Q50" i="3"/>
  <c r="O50" i="3"/>
  <c r="I50" i="3"/>
  <c r="Q49" i="3"/>
  <c r="O49" i="3"/>
  <c r="I49" i="3"/>
  <c r="Q48" i="3"/>
  <c r="I48" i="3"/>
  <c r="Q47" i="3"/>
  <c r="I47" i="3"/>
  <c r="Q46" i="3"/>
  <c r="I46" i="3"/>
  <c r="Q45" i="3"/>
  <c r="I45" i="3"/>
  <c r="Q44" i="3"/>
  <c r="I44" i="3"/>
  <c r="Q43" i="3"/>
  <c r="I43" i="3"/>
  <c r="Q42" i="3"/>
  <c r="O42" i="3"/>
  <c r="I42" i="3"/>
  <c r="Q41" i="3"/>
  <c r="I41" i="3"/>
  <c r="H40" i="3"/>
  <c r="G40" i="3"/>
  <c r="F40" i="3"/>
  <c r="E40" i="3"/>
  <c r="Q39" i="3"/>
  <c r="P39" i="3"/>
  <c r="I39" i="3"/>
  <c r="Q38" i="3"/>
  <c r="P38" i="3"/>
  <c r="I38" i="3"/>
  <c r="Q37" i="3"/>
  <c r="P37" i="3"/>
  <c r="I37" i="3"/>
  <c r="Q36" i="3"/>
  <c r="P36" i="3"/>
  <c r="I36" i="3"/>
  <c r="Q35" i="3"/>
  <c r="P35" i="3"/>
  <c r="I35" i="3"/>
  <c r="Q34" i="3"/>
  <c r="P34" i="3"/>
  <c r="I34" i="3"/>
  <c r="Q33" i="3"/>
  <c r="P33" i="3"/>
  <c r="I33" i="3"/>
  <c r="Q32" i="3"/>
  <c r="P32" i="3"/>
  <c r="I32" i="3"/>
  <c r="Q31" i="3"/>
  <c r="P31" i="3"/>
  <c r="I31" i="3"/>
  <c r="Q30" i="3"/>
  <c r="P30" i="3"/>
  <c r="I30" i="3"/>
  <c r="Q29" i="3"/>
  <c r="P29" i="3"/>
  <c r="I29" i="3"/>
  <c r="Q28" i="3"/>
  <c r="P28" i="3"/>
  <c r="I28" i="3"/>
  <c r="Q27" i="3"/>
  <c r="P27" i="3"/>
  <c r="I27" i="3"/>
  <c r="Q26" i="3"/>
  <c r="P26" i="3"/>
  <c r="I26" i="3"/>
  <c r="Q25" i="3"/>
  <c r="P25" i="3"/>
  <c r="I25" i="3"/>
  <c r="Q24" i="3"/>
  <c r="O24" i="3"/>
  <c r="I24" i="3"/>
  <c r="H23" i="3"/>
  <c r="G23" i="3"/>
  <c r="F23" i="3"/>
  <c r="E23" i="3"/>
  <c r="Q22" i="3"/>
  <c r="I22" i="3"/>
  <c r="Q21" i="3"/>
  <c r="I21" i="3"/>
  <c r="Q20" i="3"/>
  <c r="I20" i="3"/>
  <c r="Q19" i="3"/>
  <c r="I19" i="3"/>
  <c r="Q18" i="3"/>
  <c r="I18" i="3"/>
  <c r="Q17" i="3"/>
  <c r="I17" i="3"/>
  <c r="Q16" i="3"/>
  <c r="O16" i="3"/>
  <c r="I16" i="3"/>
  <c r="Q15" i="3"/>
  <c r="O15" i="3"/>
  <c r="I15" i="3"/>
  <c r="Q14" i="3"/>
  <c r="I14" i="3"/>
  <c r="Q13" i="3"/>
  <c r="O13" i="3"/>
  <c r="I13" i="3"/>
  <c r="Q12" i="3"/>
  <c r="I12" i="3"/>
  <c r="Q11" i="3"/>
  <c r="I11" i="3"/>
  <c r="Q10" i="3"/>
  <c r="I10" i="3"/>
  <c r="Q9" i="3"/>
  <c r="O9" i="3"/>
  <c r="I9" i="3"/>
  <c r="Q8" i="3"/>
  <c r="I8" i="3"/>
  <c r="Q7" i="3"/>
  <c r="O7" i="3"/>
  <c r="I7" i="3"/>
  <c r="N6" i="3"/>
  <c r="M6" i="3"/>
  <c r="L6" i="3"/>
  <c r="K6" i="3"/>
  <c r="J6" i="3"/>
  <c r="AE135" i="13"/>
  <c r="AI135" i="13" s="1"/>
  <c r="AD135" i="13"/>
  <c r="AC135" i="13"/>
  <c r="AB135" i="13"/>
  <c r="AE134" i="13"/>
  <c r="AD134" i="13"/>
  <c r="AC134" i="13"/>
  <c r="AB134" i="13"/>
  <c r="AE133" i="13"/>
  <c r="AI133" i="13" s="1"/>
  <c r="AD133" i="13"/>
  <c r="AC133" i="13"/>
  <c r="AB133" i="13"/>
  <c r="AE132" i="13"/>
  <c r="AD132" i="13"/>
  <c r="AC132" i="13"/>
  <c r="AB132" i="13"/>
  <c r="AE131" i="13"/>
  <c r="AI131" i="13" s="1"/>
  <c r="AD131" i="13"/>
  <c r="AC131" i="13"/>
  <c r="AG131" i="13" s="1"/>
  <c r="AB131" i="13"/>
  <c r="AE130" i="13"/>
  <c r="AI130" i="13" s="1"/>
  <c r="AD130" i="13"/>
  <c r="AC130" i="13"/>
  <c r="AG134" i="13" s="1"/>
  <c r="AB130" i="13"/>
  <c r="AE129" i="13"/>
  <c r="AI129" i="13" s="1"/>
  <c r="AD129" i="13"/>
  <c r="AC129" i="13"/>
  <c r="AG129" i="13" s="1"/>
  <c r="AB129" i="13"/>
  <c r="AE128" i="13"/>
  <c r="AI128" i="13" s="1"/>
  <c r="AD128" i="13"/>
  <c r="AC128" i="13"/>
  <c r="AB128" i="13"/>
  <c r="AF128" i="13" s="1"/>
  <c r="Z93" i="13"/>
  <c r="E13" i="12" s="1"/>
  <c r="Y93" i="13"/>
  <c r="D13" i="12" s="1"/>
  <c r="V93" i="13"/>
  <c r="U93" i="13"/>
  <c r="Z92" i="13"/>
  <c r="Y92" i="13"/>
  <c r="V92" i="13"/>
  <c r="U92" i="13"/>
  <c r="S12" i="12" s="1"/>
  <c r="Z91" i="13"/>
  <c r="E11" i="12" s="1"/>
  <c r="Y91" i="13"/>
  <c r="D11" i="12" s="1"/>
  <c r="V91" i="13"/>
  <c r="U91" i="13"/>
  <c r="Z90" i="13"/>
  <c r="Y90" i="13"/>
  <c r="V90" i="13"/>
  <c r="U90" i="13"/>
  <c r="S10" i="12" s="1"/>
  <c r="Z89" i="13"/>
  <c r="E9" i="12" s="1"/>
  <c r="Y89" i="13"/>
  <c r="D9" i="12" s="1"/>
  <c r="V89" i="13"/>
  <c r="U89" i="13"/>
  <c r="Z88" i="13"/>
  <c r="Y88" i="13"/>
  <c r="V88" i="13"/>
  <c r="U88" i="13"/>
  <c r="S8" i="12" s="1"/>
  <c r="Z87" i="13"/>
  <c r="E7" i="12" s="1"/>
  <c r="Y87" i="13"/>
  <c r="D7" i="12" s="1"/>
  <c r="V87" i="13"/>
  <c r="U87" i="13"/>
  <c r="Z86" i="13"/>
  <c r="Y86" i="13"/>
  <c r="V86" i="13"/>
  <c r="U86" i="13"/>
  <c r="S6" i="12" s="1"/>
  <c r="Z85" i="13"/>
  <c r="Y85" i="13"/>
  <c r="V85" i="13"/>
  <c r="U85" i="13"/>
  <c r="Z84" i="13"/>
  <c r="Y84" i="13"/>
  <c r="V84" i="13"/>
  <c r="U84" i="13"/>
  <c r="Z83" i="13"/>
  <c r="Y83" i="13"/>
  <c r="V83" i="13"/>
  <c r="U83" i="13"/>
  <c r="Z82" i="13"/>
  <c r="Y82" i="13"/>
  <c r="V82" i="13"/>
  <c r="U82" i="13"/>
  <c r="Z81" i="13"/>
  <c r="Y81" i="13"/>
  <c r="V81" i="13"/>
  <c r="U81" i="13"/>
  <c r="Z80" i="13"/>
  <c r="Y80" i="13"/>
  <c r="V80" i="13"/>
  <c r="U80" i="13"/>
  <c r="Z79" i="13"/>
  <c r="Y79" i="13"/>
  <c r="V79" i="13"/>
  <c r="U79" i="13"/>
  <c r="Z78" i="13"/>
  <c r="Y78" i="13"/>
  <c r="V78" i="13"/>
  <c r="U78" i="13"/>
  <c r="Z77" i="13"/>
  <c r="Y77" i="13"/>
  <c r="V77" i="13"/>
  <c r="U77" i="13"/>
  <c r="Z76" i="13"/>
  <c r="Y76" i="13"/>
  <c r="V76" i="13"/>
  <c r="U76" i="13"/>
  <c r="Z75" i="13"/>
  <c r="Y75" i="13"/>
  <c r="V75" i="13"/>
  <c r="U75" i="13"/>
  <c r="Z74" i="13"/>
  <c r="Y74" i="13"/>
  <c r="V74" i="13"/>
  <c r="U74" i="13"/>
  <c r="Z73" i="13"/>
  <c r="Y73" i="13"/>
  <c r="V73" i="13"/>
  <c r="U73" i="13"/>
  <c r="Z72" i="13"/>
  <c r="Y72" i="13"/>
  <c r="V72" i="13"/>
  <c r="U72" i="13"/>
  <c r="Z71" i="13"/>
  <c r="Y71" i="13"/>
  <c r="V71" i="13"/>
  <c r="U71" i="13"/>
  <c r="Z70" i="13"/>
  <c r="Y70" i="13"/>
  <c r="V70" i="13"/>
  <c r="U70" i="13"/>
  <c r="Z69" i="13"/>
  <c r="Y69" i="13"/>
  <c r="V69" i="13"/>
  <c r="U69" i="13"/>
  <c r="Z68" i="13"/>
  <c r="Y68" i="13"/>
  <c r="V68" i="13"/>
  <c r="U68" i="13"/>
  <c r="Z67" i="13"/>
  <c r="Y67" i="13"/>
  <c r="V67" i="13"/>
  <c r="U67" i="13"/>
  <c r="Z66" i="13"/>
  <c r="Y66" i="13"/>
  <c r="V66" i="13"/>
  <c r="U66" i="13"/>
  <c r="Z65" i="13"/>
  <c r="Y65" i="13"/>
  <c r="V65" i="13"/>
  <c r="U65" i="13"/>
  <c r="Z64" i="13"/>
  <c r="Y64" i="13"/>
  <c r="V64" i="13"/>
  <c r="U64" i="13"/>
  <c r="Z63" i="13"/>
  <c r="Y63" i="13"/>
  <c r="V63" i="13"/>
  <c r="U63" i="13"/>
  <c r="Z62" i="13"/>
  <c r="Y62" i="13"/>
  <c r="V62" i="13"/>
  <c r="U62" i="13"/>
  <c r="Z61" i="13"/>
  <c r="Y61" i="13"/>
  <c r="V61" i="13"/>
  <c r="U61" i="13"/>
  <c r="Z60" i="13"/>
  <c r="Y60" i="13"/>
  <c r="V60" i="13"/>
  <c r="U60" i="13"/>
  <c r="Z59" i="13"/>
  <c r="Y59" i="13"/>
  <c r="V59" i="13"/>
  <c r="U59" i="13"/>
  <c r="Z58" i="13"/>
  <c r="Y58" i="13"/>
  <c r="V58" i="13"/>
  <c r="U58" i="13"/>
  <c r="Z57" i="13"/>
  <c r="Y57" i="13"/>
  <c r="V57" i="13"/>
  <c r="U57" i="13"/>
  <c r="Z56" i="13"/>
  <c r="Y56" i="13"/>
  <c r="V56" i="13"/>
  <c r="U56" i="13"/>
  <c r="Z55" i="13"/>
  <c r="Y55" i="13"/>
  <c r="V55" i="13"/>
  <c r="U55" i="13"/>
  <c r="Z54" i="13"/>
  <c r="Y54" i="13"/>
  <c r="V54" i="13"/>
  <c r="U54" i="13"/>
  <c r="Z53" i="13"/>
  <c r="Y53" i="13"/>
  <c r="V53" i="13"/>
  <c r="U53" i="13"/>
  <c r="Z52" i="13"/>
  <c r="Y52" i="13"/>
  <c r="V52" i="13"/>
  <c r="U52" i="13"/>
  <c r="Z51" i="13"/>
  <c r="Y51" i="13"/>
  <c r="V51" i="13"/>
  <c r="U51" i="13"/>
  <c r="Z50" i="13"/>
  <c r="Y50" i="13"/>
  <c r="V50" i="13"/>
  <c r="U50" i="13"/>
  <c r="Z49" i="13"/>
  <c r="Y49" i="13"/>
  <c r="V49" i="13"/>
  <c r="U49" i="13"/>
  <c r="Z48" i="13"/>
  <c r="Y48" i="13"/>
  <c r="V48" i="13"/>
  <c r="U48" i="13"/>
  <c r="Z47" i="13"/>
  <c r="Y47" i="13"/>
  <c r="V47" i="13"/>
  <c r="U47" i="13"/>
  <c r="Z46" i="13"/>
  <c r="Y46" i="13"/>
  <c r="V46" i="13"/>
  <c r="U46" i="13"/>
  <c r="Z45" i="13"/>
  <c r="Y45" i="13"/>
  <c r="V45" i="13"/>
  <c r="U45" i="13"/>
  <c r="Z44" i="13"/>
  <c r="Y44" i="13"/>
  <c r="V44" i="13"/>
  <c r="U44" i="13"/>
  <c r="Z43" i="13"/>
  <c r="Y43" i="13"/>
  <c r="V43" i="13"/>
  <c r="U43" i="13"/>
  <c r="Z42" i="13"/>
  <c r="Y42" i="13"/>
  <c r="V42" i="13"/>
  <c r="U42" i="13"/>
  <c r="Z41" i="13"/>
  <c r="Y41" i="13"/>
  <c r="V41" i="13"/>
  <c r="U41" i="13"/>
  <c r="Z40" i="13"/>
  <c r="Y40" i="13"/>
  <c r="V40" i="13"/>
  <c r="U40" i="13"/>
  <c r="Z39" i="13"/>
  <c r="Y39" i="13"/>
  <c r="V39" i="13"/>
  <c r="U39" i="13"/>
  <c r="Z38" i="13"/>
  <c r="Y38" i="13"/>
  <c r="V38" i="13"/>
  <c r="U38" i="13"/>
  <c r="Z37" i="13"/>
  <c r="Y37" i="13"/>
  <c r="V37" i="13"/>
  <c r="U37" i="13"/>
  <c r="Z36" i="13"/>
  <c r="Y36" i="13"/>
  <c r="V36" i="13"/>
  <c r="U36" i="13"/>
  <c r="Z35" i="13"/>
  <c r="Y35" i="13"/>
  <c r="V35" i="13"/>
  <c r="U35" i="13"/>
  <c r="Z34" i="13"/>
  <c r="Y34" i="13"/>
  <c r="V34" i="13"/>
  <c r="U34" i="13"/>
  <c r="Z33" i="13"/>
  <c r="Y33" i="13"/>
  <c r="V33" i="13"/>
  <c r="U33" i="13"/>
  <c r="Z32" i="13"/>
  <c r="Y32" i="13"/>
  <c r="V32" i="13"/>
  <c r="U32" i="13"/>
  <c r="Z31" i="13"/>
  <c r="Y31" i="13"/>
  <c r="V31" i="13"/>
  <c r="U31" i="13"/>
  <c r="Z30" i="13"/>
  <c r="Y30" i="13"/>
  <c r="V30" i="13"/>
  <c r="U30" i="13"/>
  <c r="Z29" i="13"/>
  <c r="E22" i="12" s="1"/>
  <c r="Y29" i="13"/>
  <c r="D22" i="12" s="1"/>
  <c r="V29" i="13"/>
  <c r="U29" i="13"/>
  <c r="Z28" i="13"/>
  <c r="Y28" i="13"/>
  <c r="V28" i="13"/>
  <c r="U28" i="13"/>
  <c r="S21" i="12" s="1"/>
  <c r="Z27" i="13"/>
  <c r="E20" i="12" s="1"/>
  <c r="Y27" i="13"/>
  <c r="D20" i="12" s="1"/>
  <c r="V27" i="13"/>
  <c r="U27" i="13"/>
  <c r="Z26" i="13"/>
  <c r="Y26" i="13"/>
  <c r="V26" i="13"/>
  <c r="U26" i="13"/>
  <c r="S19" i="12" s="1"/>
  <c r="Z25" i="13"/>
  <c r="E18" i="12" s="1"/>
  <c r="Y25" i="13"/>
  <c r="D18" i="12" s="1"/>
  <c r="V25" i="13"/>
  <c r="U25" i="13"/>
  <c r="Z24" i="13"/>
  <c r="Y24" i="13"/>
  <c r="V24" i="13"/>
  <c r="U24" i="13"/>
  <c r="S17" i="12" s="1"/>
  <c r="Z23" i="13"/>
  <c r="E16" i="12" s="1"/>
  <c r="Y23" i="13"/>
  <c r="D16" i="12" s="1"/>
  <c r="V23" i="13"/>
  <c r="U23" i="13"/>
  <c r="Z22" i="13"/>
  <c r="Y22" i="13"/>
  <c r="V22" i="13"/>
  <c r="U22" i="13"/>
  <c r="S15" i="12" s="1"/>
  <c r="Z21" i="13"/>
  <c r="Y21" i="13"/>
  <c r="V21" i="13"/>
  <c r="U21" i="13"/>
  <c r="Z20" i="13"/>
  <c r="Y20" i="13"/>
  <c r="V20" i="13"/>
  <c r="U20" i="13"/>
  <c r="Z19" i="13"/>
  <c r="Y19" i="13"/>
  <c r="V19" i="13"/>
  <c r="U19" i="13"/>
  <c r="Z18" i="13"/>
  <c r="Y18" i="13"/>
  <c r="V18" i="13"/>
  <c r="U18" i="13"/>
  <c r="Z17" i="13"/>
  <c r="Y17" i="13"/>
  <c r="V17" i="13"/>
  <c r="U17" i="13"/>
  <c r="Z16" i="13"/>
  <c r="Y16" i="13"/>
  <c r="V16" i="13"/>
  <c r="U16" i="13"/>
  <c r="Z15" i="13"/>
  <c r="Y15" i="13"/>
  <c r="V15" i="13"/>
  <c r="U15" i="13"/>
  <c r="P15" i="13"/>
  <c r="P16" i="13" s="1"/>
  <c r="P17" i="13" s="1"/>
  <c r="P18" i="13" s="1"/>
  <c r="P19" i="13" s="1"/>
  <c r="P20" i="13" s="1"/>
  <c r="P21" i="13" s="1"/>
  <c r="C15" i="13"/>
  <c r="C16" i="13" s="1"/>
  <c r="C17" i="13" s="1"/>
  <c r="C18" i="13" s="1"/>
  <c r="C19" i="13" s="1"/>
  <c r="C20" i="13" s="1"/>
  <c r="C21" i="13" s="1"/>
  <c r="Z14" i="13"/>
  <c r="Y14" i="13"/>
  <c r="V14" i="13"/>
  <c r="U14" i="13"/>
  <c r="Z13" i="13"/>
  <c r="Y13" i="13"/>
  <c r="V13" i="13"/>
  <c r="U13" i="13"/>
  <c r="Z12" i="13"/>
  <c r="Y12" i="13"/>
  <c r="V12" i="13"/>
  <c r="U12" i="13"/>
  <c r="Z11" i="13"/>
  <c r="Y11" i="13"/>
  <c r="V11" i="13"/>
  <c r="U11" i="13"/>
  <c r="Z10" i="13"/>
  <c r="Y10" i="13"/>
  <c r="V10" i="13"/>
  <c r="U10" i="13"/>
  <c r="Z9" i="13"/>
  <c r="Y9" i="13"/>
  <c r="V9" i="13"/>
  <c r="U9" i="13"/>
  <c r="Z8" i="13"/>
  <c r="Y8" i="13"/>
  <c r="V8" i="13"/>
  <c r="U8" i="13"/>
  <c r="Z7" i="13"/>
  <c r="Y7" i="13"/>
  <c r="V7" i="13"/>
  <c r="U7" i="13"/>
  <c r="P7" i="13"/>
  <c r="P8" i="13" s="1"/>
  <c r="P9" i="13" s="1"/>
  <c r="P10" i="13" s="1"/>
  <c r="P11" i="13" s="1"/>
  <c r="P12" i="13" s="1"/>
  <c r="P13" i="13" s="1"/>
  <c r="C7" i="13"/>
  <c r="C8" i="13" s="1"/>
  <c r="C9" i="13" s="1"/>
  <c r="C10" i="13" s="1"/>
  <c r="C11" i="13" s="1"/>
  <c r="C12" i="13" s="1"/>
  <c r="C13" i="13" s="1"/>
  <c r="Z6" i="13"/>
  <c r="Y6" i="13"/>
  <c r="V6" i="13"/>
  <c r="U6" i="13"/>
  <c r="N36" i="27"/>
  <c r="N35" i="27"/>
  <c r="N34" i="27"/>
  <c r="N18" i="27"/>
  <c r="N17" i="27"/>
  <c r="N16" i="27"/>
  <c r="N16" i="30"/>
  <c r="N35" i="24"/>
  <c r="N10" i="24"/>
  <c r="N16" i="17"/>
  <c r="N38" i="21"/>
  <c r="N36" i="21"/>
  <c r="N35" i="21"/>
  <c r="N18" i="21"/>
  <c r="N16" i="21"/>
  <c r="H15" i="16"/>
  <c r="G15" i="16"/>
  <c r="F15" i="16"/>
  <c r="E15" i="16"/>
  <c r="D15" i="16"/>
  <c r="H14" i="16"/>
  <c r="G14" i="16"/>
  <c r="F14" i="16"/>
  <c r="E14" i="16"/>
  <c r="D14" i="16"/>
  <c r="B14" i="16"/>
  <c r="H7" i="16"/>
  <c r="G7" i="16"/>
  <c r="F7" i="16"/>
  <c r="E7" i="16"/>
  <c r="D7" i="16"/>
  <c r="H6" i="16"/>
  <c r="G6" i="16"/>
  <c r="F6" i="16"/>
  <c r="E6" i="16"/>
  <c r="D6" i="16"/>
  <c r="B6" i="16"/>
  <c r="F19" i="18"/>
  <c r="F18" i="18"/>
  <c r="F17" i="18"/>
  <c r="F16" i="18"/>
  <c r="E15" i="18"/>
  <c r="E14" i="18"/>
  <c r="F13" i="18"/>
  <c r="F12" i="18"/>
  <c r="N33" i="27" s="1"/>
  <c r="F11" i="18"/>
  <c r="F10" i="18"/>
  <c r="F9" i="18"/>
  <c r="N33" i="24" s="1"/>
  <c r="F8" i="18"/>
  <c r="N33" i="22" s="1"/>
  <c r="F7" i="18"/>
  <c r="N33" i="30" s="1"/>
  <c r="F6" i="18"/>
  <c r="N25" i="30" s="1"/>
  <c r="F5" i="18"/>
  <c r="N33" i="21" s="1"/>
  <c r="D25" i="20"/>
  <c r="C25" i="20"/>
  <c r="AL24" i="20"/>
  <c r="AK24" i="20"/>
  <c r="AL23" i="20"/>
  <c r="AK23" i="20"/>
  <c r="AL22" i="20"/>
  <c r="AK22" i="20"/>
  <c r="AL21" i="20"/>
  <c r="AK21" i="20"/>
  <c r="AL20" i="20"/>
  <c r="AK20" i="20"/>
  <c r="AL19" i="20"/>
  <c r="AK19" i="20"/>
  <c r="AL18" i="20"/>
  <c r="AK18" i="20"/>
  <c r="AL17" i="20"/>
  <c r="AK17" i="20"/>
  <c r="D25" i="11"/>
  <c r="C25" i="11"/>
  <c r="AL24" i="11"/>
  <c r="AK24" i="11"/>
  <c r="AL23" i="11"/>
  <c r="AK23" i="11"/>
  <c r="AL22" i="11"/>
  <c r="AK22" i="11"/>
  <c r="AL21" i="11"/>
  <c r="AK21" i="11"/>
  <c r="AL20" i="11"/>
  <c r="AK20" i="11"/>
  <c r="AL19" i="11"/>
  <c r="AK19" i="11"/>
  <c r="AL18" i="11"/>
  <c r="AK18" i="11"/>
  <c r="AL17" i="11"/>
  <c r="AK17" i="11"/>
  <c r="G10" i="11"/>
  <c r="T22" i="12"/>
  <c r="S22" i="12"/>
  <c r="T21" i="12"/>
  <c r="E21" i="12"/>
  <c r="D21" i="12"/>
  <c r="T20" i="12"/>
  <c r="S20" i="12"/>
  <c r="T19" i="12"/>
  <c r="E19" i="12"/>
  <c r="D19" i="12"/>
  <c r="T18" i="12"/>
  <c r="S18" i="12"/>
  <c r="T17" i="12"/>
  <c r="E17" i="12"/>
  <c r="E40" i="12" s="1"/>
  <c r="D17" i="12"/>
  <c r="T16" i="12"/>
  <c r="T39" i="12" s="1"/>
  <c r="S16" i="12"/>
  <c r="T15" i="12"/>
  <c r="E15" i="12"/>
  <c r="D15" i="12"/>
  <c r="T13" i="12"/>
  <c r="S13" i="12"/>
  <c r="T12" i="12"/>
  <c r="E12" i="12"/>
  <c r="D12" i="12"/>
  <c r="T11" i="12"/>
  <c r="S11" i="12"/>
  <c r="T10" i="12"/>
  <c r="E10" i="12"/>
  <c r="D10" i="12"/>
  <c r="T9" i="12"/>
  <c r="S9" i="12"/>
  <c r="T8" i="12"/>
  <c r="E8" i="12"/>
  <c r="E31" i="12" s="1"/>
  <c r="D8" i="12"/>
  <c r="T7" i="12"/>
  <c r="T30" i="12" s="1"/>
  <c r="S7" i="12"/>
  <c r="T6" i="12"/>
  <c r="T29" i="12" s="1"/>
  <c r="E6" i="12"/>
  <c r="E29" i="12" s="1"/>
  <c r="D6" i="12"/>
  <c r="D11" i="10"/>
  <c r="G8" i="11" s="1"/>
  <c r="G9" i="11"/>
  <c r="G5" i="11"/>
  <c r="Z18" i="11" l="1"/>
  <c r="AB18" i="11" s="1"/>
  <c r="AB39" i="12"/>
  <c r="Z39" i="12"/>
  <c r="X39" i="12"/>
  <c r="Z18" i="20" s="1"/>
  <c r="AB18" i="20" s="1"/>
  <c r="V39" i="12"/>
  <c r="N27" i="22"/>
  <c r="T17" i="11"/>
  <c r="V17" i="11" s="1"/>
  <c r="AB29" i="12"/>
  <c r="X29" i="12"/>
  <c r="Z29" i="12"/>
  <c r="V29" i="12"/>
  <c r="AD29" i="12" s="1"/>
  <c r="T17" i="20" s="1"/>
  <c r="V17" i="20" s="1"/>
  <c r="N34" i="22"/>
  <c r="N34" i="21"/>
  <c r="N17" i="22"/>
  <c r="N9" i="24"/>
  <c r="N34" i="24"/>
  <c r="N12" i="27"/>
  <c r="N30" i="27"/>
  <c r="AF129" i="13"/>
  <c r="AF131" i="13"/>
  <c r="E40" i="15"/>
  <c r="M40" i="15"/>
  <c r="L41" i="15"/>
  <c r="D43" i="15"/>
  <c r="M43" i="15"/>
  <c r="L44" i="15"/>
  <c r="C47" i="15"/>
  <c r="L47" i="15"/>
  <c r="F43" i="15"/>
  <c r="C41" i="15"/>
  <c r="C58" i="15" s="1"/>
  <c r="G43" i="15"/>
  <c r="N17" i="21"/>
  <c r="N39" i="21"/>
  <c r="N35" i="22"/>
  <c r="N18" i="24"/>
  <c r="N34" i="30"/>
  <c r="N20" i="27"/>
  <c r="N38" i="27"/>
  <c r="AG128" i="13"/>
  <c r="AF130" i="13"/>
  <c r="AF135" i="13"/>
  <c r="N39" i="15"/>
  <c r="I40" i="15"/>
  <c r="D41" i="15"/>
  <c r="G42" i="15"/>
  <c r="I43" i="15"/>
  <c r="E44" i="15"/>
  <c r="G47" i="15"/>
  <c r="K50" i="15"/>
  <c r="I23" i="3"/>
  <c r="T18" i="11"/>
  <c r="V18" i="11" s="1"/>
  <c r="AB30" i="12"/>
  <c r="Z30" i="12"/>
  <c r="X30" i="12"/>
  <c r="V30" i="12"/>
  <c r="AD30" i="12" s="1"/>
  <c r="T18" i="20" s="1"/>
  <c r="V18" i="20" s="1"/>
  <c r="N8" i="22"/>
  <c r="N26" i="24"/>
  <c r="N8" i="27"/>
  <c r="N26" i="27"/>
  <c r="AG132" i="13"/>
  <c r="J40" i="15"/>
  <c r="E41" i="15"/>
  <c r="N42" i="15"/>
  <c r="J43" i="15"/>
  <c r="F44" i="15"/>
  <c r="I47" i="15"/>
  <c r="L50" i="15"/>
  <c r="N16" i="24"/>
  <c r="M40" i="12"/>
  <c r="I40" i="12"/>
  <c r="G40" i="12"/>
  <c r="O40" i="12" s="1"/>
  <c r="L19" i="20" s="1"/>
  <c r="N19" i="20" s="1"/>
  <c r="K40" i="12"/>
  <c r="H40" i="15"/>
  <c r="D44" i="15"/>
  <c r="N20" i="21"/>
  <c r="N9" i="22"/>
  <c r="N34" i="17"/>
  <c r="N27" i="24"/>
  <c r="N9" i="27"/>
  <c r="N27" i="27"/>
  <c r="C40" i="15"/>
  <c r="K40" i="15"/>
  <c r="G41" i="15"/>
  <c r="K43" i="15"/>
  <c r="G44" i="15"/>
  <c r="J47" i="15"/>
  <c r="C64" i="15" s="1"/>
  <c r="F48" i="15"/>
  <c r="C50" i="15"/>
  <c r="M50" i="15"/>
  <c r="N26" i="22"/>
  <c r="M29" i="12"/>
  <c r="K29" i="12"/>
  <c r="G29" i="12"/>
  <c r="O29" i="12" s="1"/>
  <c r="F17" i="20" s="1"/>
  <c r="I29" i="12"/>
  <c r="N36" i="24"/>
  <c r="N17" i="24"/>
  <c r="E38" i="12"/>
  <c r="G31" i="12"/>
  <c r="O31" i="12" s="1"/>
  <c r="F19" i="20" s="1"/>
  <c r="H19" i="20" s="1"/>
  <c r="M31" i="12"/>
  <c r="I31" i="12"/>
  <c r="K31" i="12"/>
  <c r="T38" i="12"/>
  <c r="N21" i="21"/>
  <c r="N16" i="22"/>
  <c r="N8" i="24"/>
  <c r="N28" i="24"/>
  <c r="N10" i="27"/>
  <c r="N28" i="27"/>
  <c r="AI132" i="13"/>
  <c r="AI134" i="13"/>
  <c r="D40" i="15"/>
  <c r="K41" i="15"/>
  <c r="C43" i="15"/>
  <c r="L43" i="15"/>
  <c r="H44" i="15"/>
  <c r="K47" i="15"/>
  <c r="G48" i="15"/>
  <c r="D50" i="15"/>
  <c r="N50" i="15"/>
  <c r="N26" i="17"/>
  <c r="G49" i="15"/>
  <c r="N35" i="17"/>
  <c r="N27" i="30"/>
  <c r="AF134" i="13"/>
  <c r="H49" i="15"/>
  <c r="N28" i="22"/>
  <c r="N28" i="17"/>
  <c r="N19" i="21"/>
  <c r="N37" i="21"/>
  <c r="N11" i="22"/>
  <c r="N19" i="22"/>
  <c r="N29" i="22"/>
  <c r="N37" i="22"/>
  <c r="N11" i="17"/>
  <c r="N19" i="17"/>
  <c r="N29" i="17"/>
  <c r="N37" i="17"/>
  <c r="N11" i="24"/>
  <c r="N19" i="24"/>
  <c r="N29" i="24"/>
  <c r="N37" i="24"/>
  <c r="N11" i="30"/>
  <c r="N19" i="30"/>
  <c r="N29" i="30"/>
  <c r="N37" i="30"/>
  <c r="N11" i="27"/>
  <c r="N19" i="27"/>
  <c r="N29" i="27"/>
  <c r="N37" i="27"/>
  <c r="AF132" i="13"/>
  <c r="AG133" i="13"/>
  <c r="H39" i="15"/>
  <c r="F41" i="15"/>
  <c r="N41" i="15"/>
  <c r="I42" i="15"/>
  <c r="I46" i="15"/>
  <c r="J49" i="15"/>
  <c r="H51" i="15"/>
  <c r="N18" i="22"/>
  <c r="N36" i="17"/>
  <c r="N10" i="30"/>
  <c r="I49" i="15"/>
  <c r="G51" i="15"/>
  <c r="N12" i="22"/>
  <c r="N20" i="22"/>
  <c r="N30" i="22"/>
  <c r="N38" i="22"/>
  <c r="N12" i="17"/>
  <c r="N20" i="17"/>
  <c r="N30" i="17"/>
  <c r="N38" i="17"/>
  <c r="N12" i="24"/>
  <c r="N20" i="24"/>
  <c r="N30" i="24"/>
  <c r="N38" i="24"/>
  <c r="N12" i="30"/>
  <c r="N20" i="30"/>
  <c r="N30" i="30"/>
  <c r="N38" i="30"/>
  <c r="I39" i="15"/>
  <c r="J42" i="15"/>
  <c r="J46" i="15"/>
  <c r="C49" i="15"/>
  <c r="K49" i="15"/>
  <c r="I51" i="15"/>
  <c r="N8" i="17"/>
  <c r="N17" i="17"/>
  <c r="N35" i="30"/>
  <c r="G46" i="15"/>
  <c r="N36" i="22"/>
  <c r="N18" i="30"/>
  <c r="AF133" i="13"/>
  <c r="N13" i="22"/>
  <c r="N21" i="22"/>
  <c r="N31" i="22"/>
  <c r="N39" i="22"/>
  <c r="N13" i="17"/>
  <c r="N21" i="17"/>
  <c r="N31" i="17"/>
  <c r="N39" i="17"/>
  <c r="N13" i="24"/>
  <c r="N21" i="24"/>
  <c r="N31" i="24"/>
  <c r="N39" i="24"/>
  <c r="N13" i="30"/>
  <c r="N21" i="30"/>
  <c r="N31" i="30"/>
  <c r="N39" i="30"/>
  <c r="N13" i="27"/>
  <c r="N21" i="27"/>
  <c r="N31" i="27"/>
  <c r="N39" i="27"/>
  <c r="AG130" i="13"/>
  <c r="AH130" i="13" s="1"/>
  <c r="I57" i="3"/>
  <c r="I74" i="3"/>
  <c r="J39" i="15"/>
  <c r="H41" i="15"/>
  <c r="C42" i="15"/>
  <c r="K42" i="15"/>
  <c r="I44" i="15"/>
  <c r="C46" i="15"/>
  <c r="K46" i="15"/>
  <c r="I48" i="15"/>
  <c r="D49" i="15"/>
  <c r="L49" i="15"/>
  <c r="J51" i="15"/>
  <c r="N8" i="30"/>
  <c r="N9" i="17"/>
  <c r="N9" i="30"/>
  <c r="AG135" i="13"/>
  <c r="N10" i="17"/>
  <c r="N28" i="30"/>
  <c r="Q74" i="3"/>
  <c r="H42" i="15"/>
  <c r="H46" i="15"/>
  <c r="N14" i="21"/>
  <c r="N32" i="21"/>
  <c r="N6" i="22"/>
  <c r="N14" i="22"/>
  <c r="N24" i="22"/>
  <c r="N32" i="22"/>
  <c r="N6" i="17"/>
  <c r="N14" i="17"/>
  <c r="N24" i="17"/>
  <c r="N32" i="17"/>
  <c r="N6" i="24"/>
  <c r="N14" i="24"/>
  <c r="N24" i="24"/>
  <c r="N32" i="24"/>
  <c r="N6" i="30"/>
  <c r="N14" i="30"/>
  <c r="N24" i="30"/>
  <c r="N32" i="30"/>
  <c r="N6" i="27"/>
  <c r="N14" i="27"/>
  <c r="N24" i="27"/>
  <c r="N32" i="27"/>
  <c r="C39" i="15"/>
  <c r="K39" i="15"/>
  <c r="I41" i="15"/>
  <c r="D42" i="15"/>
  <c r="L42" i="15"/>
  <c r="J44" i="15"/>
  <c r="D46" i="15"/>
  <c r="L46" i="15"/>
  <c r="J48" i="15"/>
  <c r="E49" i="15"/>
  <c r="M49" i="15"/>
  <c r="H50" i="15"/>
  <c r="C67" i="15" s="1"/>
  <c r="C51" i="15"/>
  <c r="K51" i="15"/>
  <c r="N26" i="30"/>
  <c r="E117" i="34"/>
  <c r="J108" i="3" s="1"/>
  <c r="J91" i="3"/>
  <c r="N27" i="17"/>
  <c r="N17" i="30"/>
  <c r="N10" i="22"/>
  <c r="N18" i="17"/>
  <c r="N36" i="30"/>
  <c r="Q91" i="3"/>
  <c r="G39" i="15"/>
  <c r="N15" i="21"/>
  <c r="N7" i="22"/>
  <c r="N15" i="22"/>
  <c r="N25" i="22"/>
  <c r="N7" i="17"/>
  <c r="N15" i="17"/>
  <c r="N25" i="17"/>
  <c r="N33" i="17"/>
  <c r="N7" i="24"/>
  <c r="N15" i="24"/>
  <c r="N25" i="24"/>
  <c r="N7" i="30"/>
  <c r="N15" i="30"/>
  <c r="N7" i="27"/>
  <c r="N15" i="27"/>
  <c r="N25" i="27"/>
  <c r="D39" i="15"/>
  <c r="E42" i="15"/>
  <c r="C44" i="15"/>
  <c r="C61" i="15" s="1"/>
  <c r="E46" i="15"/>
  <c r="C48" i="15"/>
  <c r="F49" i="15"/>
  <c r="D51" i="15"/>
  <c r="D29" i="12"/>
  <c r="Q108" i="3"/>
  <c r="Q23" i="3"/>
  <c r="Q40" i="3"/>
  <c r="I40" i="3"/>
  <c r="Q57" i="3"/>
  <c r="I91" i="3"/>
  <c r="I108" i="3"/>
  <c r="O44" i="3"/>
  <c r="M44" i="3" s="1"/>
  <c r="P49" i="3"/>
  <c r="P51" i="3"/>
  <c r="O18" i="3"/>
  <c r="M18" i="3" s="1"/>
  <c r="O84" i="3"/>
  <c r="O108" i="3"/>
  <c r="D30" i="12"/>
  <c r="D31" i="12"/>
  <c r="D32" i="12"/>
  <c r="D33" i="12"/>
  <c r="D34" i="12"/>
  <c r="D35" i="12"/>
  <c r="D36" i="12"/>
  <c r="D38" i="12"/>
  <c r="D39" i="12"/>
  <c r="D40" i="12"/>
  <c r="D41" i="12"/>
  <c r="D42" i="12"/>
  <c r="D43" i="12"/>
  <c r="D44" i="12"/>
  <c r="D45" i="12"/>
  <c r="K24" i="11" s="1"/>
  <c r="M24" i="11" s="1"/>
  <c r="T32" i="12"/>
  <c r="T36" i="12"/>
  <c r="T43" i="12"/>
  <c r="T45" i="12"/>
  <c r="S29" i="12"/>
  <c r="S31" i="12"/>
  <c r="S38" i="12"/>
  <c r="T34" i="12"/>
  <c r="T41" i="12"/>
  <c r="P41" i="3"/>
  <c r="N16" i="3"/>
  <c r="P17" i="3"/>
  <c r="O41" i="3"/>
  <c r="L41" i="3" s="1"/>
  <c r="P43" i="3"/>
  <c r="O70" i="3"/>
  <c r="E30" i="12"/>
  <c r="E32" i="12"/>
  <c r="E34" i="12"/>
  <c r="E36" i="12"/>
  <c r="E39" i="12"/>
  <c r="E41" i="12"/>
  <c r="E43" i="12"/>
  <c r="E45" i="12"/>
  <c r="E33" i="12"/>
  <c r="E35" i="12"/>
  <c r="E42" i="12"/>
  <c r="E44" i="12"/>
  <c r="S33" i="12"/>
  <c r="S35" i="12"/>
  <c r="S40" i="12"/>
  <c r="S42" i="12"/>
  <c r="S44" i="12"/>
  <c r="L24" i="3"/>
  <c r="N24" i="3"/>
  <c r="L50" i="3"/>
  <c r="N50" i="3"/>
  <c r="M51" i="3"/>
  <c r="N51" i="3"/>
  <c r="P10" i="3"/>
  <c r="M16" i="3"/>
  <c r="O22" i="3"/>
  <c r="N22" i="3" s="1"/>
  <c r="N49" i="3"/>
  <c r="P22" i="3"/>
  <c r="P9" i="3"/>
  <c r="P47" i="3"/>
  <c r="O32" i="3"/>
  <c r="M32" i="3" s="1"/>
  <c r="P55" i="3"/>
  <c r="O99" i="3"/>
  <c r="K21" i="11"/>
  <c r="M21" i="11" s="1"/>
  <c r="F19" i="11"/>
  <c r="H19" i="11" s="1"/>
  <c r="F23" i="11"/>
  <c r="H23" i="11" s="1"/>
  <c r="F17" i="11"/>
  <c r="F24" i="11"/>
  <c r="H24" i="11" s="1"/>
  <c r="L24" i="11"/>
  <c r="N24" i="11" s="1"/>
  <c r="L19" i="11"/>
  <c r="N19" i="11" s="1"/>
  <c r="E21" i="11"/>
  <c r="G21" i="11" s="1"/>
  <c r="K17" i="11"/>
  <c r="L17" i="11"/>
  <c r="T31" i="12"/>
  <c r="S36" i="12"/>
  <c r="S34" i="12"/>
  <c r="S32" i="12"/>
  <c r="S30" i="12"/>
  <c r="T33" i="12"/>
  <c r="T35" i="12"/>
  <c r="T40" i="12"/>
  <c r="S45" i="12"/>
  <c r="S43" i="12"/>
  <c r="S41" i="12"/>
  <c r="S39" i="12"/>
  <c r="T42" i="12"/>
  <c r="T44" i="12"/>
  <c r="M9" i="3"/>
  <c r="L9" i="3"/>
  <c r="N9" i="3"/>
  <c r="P8" i="3"/>
  <c r="O59" i="3"/>
  <c r="O100" i="3"/>
  <c r="M8" i="3"/>
  <c r="P16" i="3"/>
  <c r="P18" i="3"/>
  <c r="O26" i="3"/>
  <c r="O31" i="3"/>
  <c r="L31" i="3" s="1"/>
  <c r="O34" i="3"/>
  <c r="O39" i="3"/>
  <c r="L39" i="3" s="1"/>
  <c r="P44" i="3"/>
  <c r="O37" i="3"/>
  <c r="L37" i="3" s="1"/>
  <c r="O68" i="3"/>
  <c r="P13" i="3"/>
  <c r="O25" i="3"/>
  <c r="L25" i="3" s="1"/>
  <c r="O28" i="3"/>
  <c r="O33" i="3"/>
  <c r="L33" i="3" s="1"/>
  <c r="O36" i="3"/>
  <c r="P42" i="3"/>
  <c r="P48" i="3"/>
  <c r="O67" i="3"/>
  <c r="O92" i="3"/>
  <c r="O93" i="3"/>
  <c r="O94" i="3"/>
  <c r="N15" i="3"/>
  <c r="L16" i="3"/>
  <c r="O17" i="3"/>
  <c r="O40" i="3"/>
  <c r="L42" i="3"/>
  <c r="O43" i="3"/>
  <c r="L51" i="3"/>
  <c r="O62" i="3"/>
  <c r="O76" i="3"/>
  <c r="P14" i="3"/>
  <c r="O29" i="3"/>
  <c r="L29" i="3" s="1"/>
  <c r="M24" i="3"/>
  <c r="O27" i="3"/>
  <c r="L27" i="3" s="1"/>
  <c r="O30" i="3"/>
  <c r="O35" i="3"/>
  <c r="L35" i="3" s="1"/>
  <c r="O38" i="3"/>
  <c r="P50" i="3"/>
  <c r="M41" i="3"/>
  <c r="M15" i="3"/>
  <c r="L15" i="3"/>
  <c r="P46" i="3"/>
  <c r="O46" i="3"/>
  <c r="P52" i="3"/>
  <c r="O52" i="3"/>
  <c r="O55" i="3"/>
  <c r="O96" i="3"/>
  <c r="O14" i="3"/>
  <c r="P15" i="3"/>
  <c r="P21" i="3"/>
  <c r="M50" i="3"/>
  <c r="P53" i="3"/>
  <c r="O53" i="3"/>
  <c r="P11" i="3"/>
  <c r="O11" i="3"/>
  <c r="O21" i="3"/>
  <c r="N13" i="3"/>
  <c r="M13" i="3"/>
  <c r="P20" i="3"/>
  <c r="O20" i="3"/>
  <c r="M7" i="3"/>
  <c r="L7" i="3"/>
  <c r="O10" i="3"/>
  <c r="L13" i="3"/>
  <c r="M49" i="3"/>
  <c r="L49" i="3"/>
  <c r="O95" i="3"/>
  <c r="O104" i="3"/>
  <c r="N7" i="3"/>
  <c r="P7" i="3"/>
  <c r="P19" i="3"/>
  <c r="O19" i="3"/>
  <c r="M42" i="3"/>
  <c r="L44" i="3"/>
  <c r="O48" i="3"/>
  <c r="P54" i="3"/>
  <c r="O54" i="3"/>
  <c r="P45" i="3"/>
  <c r="O45" i="3"/>
  <c r="O103" i="3"/>
  <c r="P12" i="3"/>
  <c r="O12" i="3"/>
  <c r="N41" i="3"/>
  <c r="N42" i="3"/>
  <c r="O47" i="3"/>
  <c r="P24" i="3"/>
  <c r="P40" i="3" s="1"/>
  <c r="O97" i="3"/>
  <c r="O105" i="3"/>
  <c r="O58" i="3"/>
  <c r="F11" i="10"/>
  <c r="J6" i="10"/>
  <c r="G5" i="20"/>
  <c r="E11" i="10"/>
  <c r="G11" i="11"/>
  <c r="G6" i="11"/>
  <c r="G7" i="11" s="1"/>
  <c r="D30" i="11" s="1"/>
  <c r="Y23" i="11" l="1"/>
  <c r="AA23" i="11" s="1"/>
  <c r="U44" i="12"/>
  <c r="AC44" i="12" s="1"/>
  <c r="Y23" i="20" s="1"/>
  <c r="AA23" i="20" s="1"/>
  <c r="AA44" i="12"/>
  <c r="Y44" i="12"/>
  <c r="W44" i="12"/>
  <c r="F18" i="11"/>
  <c r="H18" i="11" s="1"/>
  <c r="G30" i="12"/>
  <c r="O30" i="12" s="1"/>
  <c r="F18" i="20" s="1"/>
  <c r="H18" i="20" s="1"/>
  <c r="I30" i="12"/>
  <c r="K30" i="12"/>
  <c r="M30" i="12"/>
  <c r="E24" i="11"/>
  <c r="G24" i="11" s="1"/>
  <c r="L36" i="12"/>
  <c r="J36" i="12"/>
  <c r="H36" i="12"/>
  <c r="F36" i="12"/>
  <c r="N36" i="12" s="1"/>
  <c r="E24" i="20" s="1"/>
  <c r="G24" i="20" s="1"/>
  <c r="S22" i="11"/>
  <c r="U22" i="11" s="1"/>
  <c r="U34" i="12"/>
  <c r="AC34" i="12" s="1"/>
  <c r="S22" i="20" s="1"/>
  <c r="U22" i="20" s="1"/>
  <c r="AA34" i="12"/>
  <c r="W34" i="12"/>
  <c r="Y34" i="12"/>
  <c r="Y19" i="11"/>
  <c r="AA19" i="11" s="1"/>
  <c r="U40" i="12"/>
  <c r="AC40" i="12" s="1"/>
  <c r="Y19" i="20" s="1"/>
  <c r="AA19" i="20" s="1"/>
  <c r="AA40" i="12"/>
  <c r="W40" i="12"/>
  <c r="Y40" i="12"/>
  <c r="S19" i="11"/>
  <c r="U19" i="11" s="1"/>
  <c r="U31" i="12"/>
  <c r="AC31" i="12" s="1"/>
  <c r="S19" i="20" s="1"/>
  <c r="U19" i="20" s="1"/>
  <c r="AA31" i="12"/>
  <c r="W31" i="12"/>
  <c r="Y31" i="12"/>
  <c r="E22" i="11"/>
  <c r="G22" i="11" s="1"/>
  <c r="J34" i="12"/>
  <c r="L34" i="12"/>
  <c r="F34" i="12"/>
  <c r="N34" i="12" s="1"/>
  <c r="E22" i="20" s="1"/>
  <c r="G22" i="20" s="1"/>
  <c r="H34" i="12"/>
  <c r="Z23" i="11"/>
  <c r="AB23" i="11" s="1"/>
  <c r="AB44" i="12"/>
  <c r="Z44" i="12"/>
  <c r="X44" i="12"/>
  <c r="Z23" i="20" s="1"/>
  <c r="AB23" i="20" s="1"/>
  <c r="V44" i="12"/>
  <c r="T21" i="11"/>
  <c r="V21" i="11" s="1"/>
  <c r="AB33" i="12"/>
  <c r="Z33" i="12"/>
  <c r="X33" i="12"/>
  <c r="V33" i="12"/>
  <c r="AD33" i="12" s="1"/>
  <c r="T21" i="20" s="1"/>
  <c r="V21" i="20" s="1"/>
  <c r="K35" i="12"/>
  <c r="G35" i="12"/>
  <c r="O35" i="12" s="1"/>
  <c r="F23" i="20" s="1"/>
  <c r="H23" i="20" s="1"/>
  <c r="I35" i="12"/>
  <c r="M35" i="12"/>
  <c r="F20" i="11"/>
  <c r="H20" i="11" s="1"/>
  <c r="I32" i="12"/>
  <c r="G32" i="12"/>
  <c r="O32" i="12" s="1"/>
  <c r="F20" i="20" s="1"/>
  <c r="H20" i="20" s="1"/>
  <c r="K32" i="12"/>
  <c r="M32" i="12"/>
  <c r="Z20" i="11"/>
  <c r="AB20" i="11" s="1"/>
  <c r="AB41" i="12"/>
  <c r="Z41" i="12"/>
  <c r="X41" i="12"/>
  <c r="Z20" i="20" s="1"/>
  <c r="AB20" i="20" s="1"/>
  <c r="V41" i="12"/>
  <c r="T20" i="11"/>
  <c r="V20" i="11" s="1"/>
  <c r="AB32" i="12"/>
  <c r="Z32" i="12"/>
  <c r="X32" i="12"/>
  <c r="V32" i="12"/>
  <c r="AD32" i="12" s="1"/>
  <c r="T20" i="20" s="1"/>
  <c r="V20" i="20" s="1"/>
  <c r="F38" i="12"/>
  <c r="N38" i="12" s="1"/>
  <c r="K17" i="20" s="1"/>
  <c r="L38" i="12"/>
  <c r="J38" i="12"/>
  <c r="H38" i="12"/>
  <c r="C65" i="15"/>
  <c r="T22" i="11"/>
  <c r="V22" i="11" s="1"/>
  <c r="V25" i="11" s="1"/>
  <c r="AB34" i="12"/>
  <c r="X34" i="12"/>
  <c r="V34" i="12"/>
  <c r="AD34" i="12" s="1"/>
  <c r="T22" i="20" s="1"/>
  <c r="V22" i="20" s="1"/>
  <c r="Z34" i="12"/>
  <c r="Y22" i="11"/>
  <c r="AA22" i="11" s="1"/>
  <c r="U43" i="12"/>
  <c r="AC43" i="12" s="1"/>
  <c r="Y22" i="20" s="1"/>
  <c r="AA22" i="20" s="1"/>
  <c r="AA43" i="12"/>
  <c r="W43" i="12"/>
  <c r="Y43" i="12"/>
  <c r="S24" i="11"/>
  <c r="U24" i="11" s="1"/>
  <c r="U36" i="12"/>
  <c r="AC36" i="12" s="1"/>
  <c r="S24" i="20" s="1"/>
  <c r="U24" i="20" s="1"/>
  <c r="AA36" i="12"/>
  <c r="W36" i="12"/>
  <c r="Y36" i="12"/>
  <c r="S23" i="11"/>
  <c r="U23" i="11" s="1"/>
  <c r="U35" i="12"/>
  <c r="AC35" i="12" s="1"/>
  <c r="S23" i="20" s="1"/>
  <c r="U23" i="20" s="1"/>
  <c r="AA35" i="12"/>
  <c r="Y35" i="12"/>
  <c r="W35" i="12"/>
  <c r="L20" i="11"/>
  <c r="N20" i="11" s="1"/>
  <c r="M41" i="12"/>
  <c r="K41" i="12"/>
  <c r="I41" i="12"/>
  <c r="G41" i="12"/>
  <c r="O41" i="12" s="1"/>
  <c r="L20" i="20" s="1"/>
  <c r="N20" i="20" s="1"/>
  <c r="S17" i="11"/>
  <c r="U17" i="11" s="1"/>
  <c r="U29" i="12"/>
  <c r="AC29" i="12" s="1"/>
  <c r="S17" i="20" s="1"/>
  <c r="U17" i="20" s="1"/>
  <c r="AA29" i="12"/>
  <c r="Y29" i="12"/>
  <c r="W29" i="12"/>
  <c r="F42" i="12"/>
  <c r="N42" i="12" s="1"/>
  <c r="K21" i="20" s="1"/>
  <c r="M21" i="20" s="1"/>
  <c r="L42" i="12"/>
  <c r="J42" i="12"/>
  <c r="H42" i="12"/>
  <c r="J33" i="12"/>
  <c r="H33" i="12"/>
  <c r="L33" i="12"/>
  <c r="F33" i="12"/>
  <c r="N33" i="12" s="1"/>
  <c r="E21" i="20" s="1"/>
  <c r="G21" i="20" s="1"/>
  <c r="Y18" i="11"/>
  <c r="AA18" i="11" s="1"/>
  <c r="U39" i="12"/>
  <c r="AC39" i="12" s="1"/>
  <c r="Y18" i="20" s="1"/>
  <c r="AA18" i="20" s="1"/>
  <c r="AA39" i="12"/>
  <c r="Y39" i="12"/>
  <c r="W39" i="12"/>
  <c r="Y21" i="11"/>
  <c r="AA21" i="11" s="1"/>
  <c r="U42" i="12"/>
  <c r="AC42" i="12" s="1"/>
  <c r="Y21" i="20" s="1"/>
  <c r="AA21" i="20" s="1"/>
  <c r="AA42" i="12"/>
  <c r="Y42" i="12"/>
  <c r="W42" i="12"/>
  <c r="Y17" i="11"/>
  <c r="AA17" i="11" s="1"/>
  <c r="AA25" i="11" s="1"/>
  <c r="U38" i="12"/>
  <c r="AC38" i="12" s="1"/>
  <c r="Y17" i="20" s="1"/>
  <c r="AA17" i="20" s="1"/>
  <c r="AA38" i="12"/>
  <c r="Y38" i="12"/>
  <c r="W38" i="12"/>
  <c r="K22" i="11"/>
  <c r="M22" i="11" s="1"/>
  <c r="F43" i="12"/>
  <c r="N43" i="12" s="1"/>
  <c r="K22" i="20" s="1"/>
  <c r="M22" i="20" s="1"/>
  <c r="L43" i="12"/>
  <c r="H43" i="12"/>
  <c r="J43" i="12"/>
  <c r="Y24" i="11"/>
  <c r="AA24" i="11" s="1"/>
  <c r="U45" i="12"/>
  <c r="AC45" i="12" s="1"/>
  <c r="Y24" i="20" s="1"/>
  <c r="AA24" i="20" s="1"/>
  <c r="AA45" i="12"/>
  <c r="Y45" i="12"/>
  <c r="W45" i="12"/>
  <c r="T19" i="11"/>
  <c r="V19" i="11" s="1"/>
  <c r="AB31" i="12"/>
  <c r="V31" i="12"/>
  <c r="AD31" i="12" s="1"/>
  <c r="T19" i="20" s="1"/>
  <c r="V19" i="20" s="1"/>
  <c r="Z31" i="12"/>
  <c r="X31" i="12"/>
  <c r="S21" i="11"/>
  <c r="U21" i="11" s="1"/>
  <c r="U33" i="12"/>
  <c r="AC33" i="12" s="1"/>
  <c r="S21" i="20" s="1"/>
  <c r="U21" i="20" s="1"/>
  <c r="AA33" i="12"/>
  <c r="Y33" i="12"/>
  <c r="W33" i="12"/>
  <c r="L18" i="11"/>
  <c r="N18" i="11" s="1"/>
  <c r="M39" i="12"/>
  <c r="G39" i="12"/>
  <c r="O39" i="12" s="1"/>
  <c r="L18" i="20" s="1"/>
  <c r="N18" i="20" s="1"/>
  <c r="K39" i="12"/>
  <c r="I39" i="12"/>
  <c r="Z24" i="11"/>
  <c r="AB24" i="11" s="1"/>
  <c r="AB45" i="12"/>
  <c r="V45" i="12"/>
  <c r="Z45" i="12"/>
  <c r="X45" i="12"/>
  <c r="Z24" i="20" s="1"/>
  <c r="AB24" i="20" s="1"/>
  <c r="K20" i="11"/>
  <c r="M20" i="11" s="1"/>
  <c r="F41" i="12"/>
  <c r="N41" i="12" s="1"/>
  <c r="K20" i="20" s="1"/>
  <c r="M20" i="20" s="1"/>
  <c r="L41" i="12"/>
  <c r="J41" i="12"/>
  <c r="H41" i="12"/>
  <c r="E20" i="11"/>
  <c r="G20" i="11" s="1"/>
  <c r="H32" i="12"/>
  <c r="F32" i="12"/>
  <c r="N32" i="12" s="1"/>
  <c r="E20" i="20" s="1"/>
  <c r="G20" i="20" s="1"/>
  <c r="J32" i="12"/>
  <c r="L32" i="12"/>
  <c r="E17" i="11"/>
  <c r="F29" i="12"/>
  <c r="N29" i="12" s="1"/>
  <c r="E17" i="20" s="1"/>
  <c r="H29" i="12"/>
  <c r="L29" i="12"/>
  <c r="J29" i="12"/>
  <c r="S18" i="11"/>
  <c r="U18" i="11" s="1"/>
  <c r="U30" i="12"/>
  <c r="AC30" i="12" s="1"/>
  <c r="S18" i="20" s="1"/>
  <c r="U18" i="20" s="1"/>
  <c r="AA30" i="12"/>
  <c r="Y30" i="12"/>
  <c r="W30" i="12"/>
  <c r="F21" i="11"/>
  <c r="H21" i="11" s="1"/>
  <c r="I33" i="12"/>
  <c r="G33" i="12"/>
  <c r="O33" i="12" s="1"/>
  <c r="F21" i="20" s="1"/>
  <c r="H21" i="20" s="1"/>
  <c r="K33" i="12"/>
  <c r="M33" i="12"/>
  <c r="F45" i="12"/>
  <c r="N45" i="12" s="1"/>
  <c r="K24" i="20" s="1"/>
  <c r="M24" i="20" s="1"/>
  <c r="L45" i="12"/>
  <c r="H45" i="12"/>
  <c r="J45" i="12"/>
  <c r="M45" i="12"/>
  <c r="G45" i="12"/>
  <c r="O45" i="12" s="1"/>
  <c r="L24" i="20" s="1"/>
  <c r="N24" i="20" s="1"/>
  <c r="K45" i="12"/>
  <c r="I45" i="12"/>
  <c r="E23" i="11"/>
  <c r="G23" i="11" s="1"/>
  <c r="L35" i="12"/>
  <c r="H35" i="12"/>
  <c r="J35" i="12"/>
  <c r="F35" i="12"/>
  <c r="N35" i="12" s="1"/>
  <c r="E23" i="20" s="1"/>
  <c r="G23" i="20" s="1"/>
  <c r="Y20" i="11"/>
  <c r="AA20" i="11" s="1"/>
  <c r="U41" i="12"/>
  <c r="AC41" i="12" s="1"/>
  <c r="Y20" i="20" s="1"/>
  <c r="AA20" i="20" s="1"/>
  <c r="AA41" i="12"/>
  <c r="Y41" i="12"/>
  <c r="W41" i="12"/>
  <c r="L22" i="11"/>
  <c r="N22" i="11" s="1"/>
  <c r="M43" i="12"/>
  <c r="I43" i="12"/>
  <c r="G43" i="12"/>
  <c r="O43" i="12" s="1"/>
  <c r="L22" i="20" s="1"/>
  <c r="N22" i="20" s="1"/>
  <c r="K43" i="12"/>
  <c r="Z19" i="11"/>
  <c r="AB19" i="11" s="1"/>
  <c r="AB40" i="12"/>
  <c r="V40" i="12"/>
  <c r="X40" i="12"/>
  <c r="Z19" i="20" s="1"/>
  <c r="AB19" i="20" s="1"/>
  <c r="Z40" i="12"/>
  <c r="L23" i="11"/>
  <c r="N23" i="11" s="1"/>
  <c r="M44" i="12"/>
  <c r="K44" i="12"/>
  <c r="I44" i="12"/>
  <c r="G44" i="12"/>
  <c r="O44" i="12" s="1"/>
  <c r="L23" i="20" s="1"/>
  <c r="N23" i="20" s="1"/>
  <c r="M36" i="12"/>
  <c r="I36" i="12"/>
  <c r="K36" i="12"/>
  <c r="G36" i="12"/>
  <c r="O36" i="12" s="1"/>
  <c r="F24" i="20" s="1"/>
  <c r="H24" i="20" s="1"/>
  <c r="Z22" i="11"/>
  <c r="AB22" i="11" s="1"/>
  <c r="AB43" i="12"/>
  <c r="X43" i="12"/>
  <c r="Z22" i="20" s="1"/>
  <c r="AB22" i="20" s="1"/>
  <c r="V43" i="12"/>
  <c r="Z43" i="12"/>
  <c r="K19" i="11"/>
  <c r="M19" i="11" s="1"/>
  <c r="F40" i="12"/>
  <c r="N40" i="12" s="1"/>
  <c r="K19" i="20" s="1"/>
  <c r="M19" i="20" s="1"/>
  <c r="J40" i="12"/>
  <c r="H40" i="12"/>
  <c r="L40" i="12"/>
  <c r="E19" i="11"/>
  <c r="G19" i="11" s="1"/>
  <c r="H31" i="12"/>
  <c r="F31" i="12"/>
  <c r="N31" i="12" s="1"/>
  <c r="E19" i="20" s="1"/>
  <c r="G19" i="20" s="1"/>
  <c r="L31" i="12"/>
  <c r="J31" i="12"/>
  <c r="C60" i="15"/>
  <c r="M38" i="12"/>
  <c r="K38" i="12"/>
  <c r="I38" i="12"/>
  <c r="G38" i="12"/>
  <c r="O38" i="12" s="1"/>
  <c r="L17" i="20" s="1"/>
  <c r="C57" i="15"/>
  <c r="Z21" i="11"/>
  <c r="AB21" i="11" s="1"/>
  <c r="AB42" i="12"/>
  <c r="Z42" i="12"/>
  <c r="X42" i="12"/>
  <c r="Z21" i="20" s="1"/>
  <c r="AB21" i="20" s="1"/>
  <c r="V42" i="12"/>
  <c r="Z17" i="11"/>
  <c r="AB17" i="11" s="1"/>
  <c r="AB25" i="11" s="1"/>
  <c r="AB38" i="12"/>
  <c r="X38" i="12"/>
  <c r="Z17" i="20" s="1"/>
  <c r="AB17" i="20" s="1"/>
  <c r="V38" i="12"/>
  <c r="Z38" i="12"/>
  <c r="S20" i="11"/>
  <c r="U20" i="11" s="1"/>
  <c r="U32" i="12"/>
  <c r="AC32" i="12" s="1"/>
  <c r="S20" i="20" s="1"/>
  <c r="U20" i="20" s="1"/>
  <c r="AA32" i="12"/>
  <c r="Y32" i="12"/>
  <c r="W32" i="12"/>
  <c r="K23" i="11"/>
  <c r="M23" i="11" s="1"/>
  <c r="F44" i="12"/>
  <c r="N44" i="12" s="1"/>
  <c r="K23" i="20" s="1"/>
  <c r="M23" i="20" s="1"/>
  <c r="L44" i="12"/>
  <c r="J44" i="12"/>
  <c r="H44" i="12"/>
  <c r="H17" i="20"/>
  <c r="T23" i="11"/>
  <c r="V23" i="11" s="1"/>
  <c r="AB35" i="12"/>
  <c r="Z35" i="12"/>
  <c r="X35" i="12"/>
  <c r="V35" i="12"/>
  <c r="AD35" i="12" s="1"/>
  <c r="T23" i="20" s="1"/>
  <c r="V23" i="20" s="1"/>
  <c r="L21" i="11"/>
  <c r="N21" i="11" s="1"/>
  <c r="M42" i="12"/>
  <c r="G42" i="12"/>
  <c r="O42" i="12" s="1"/>
  <c r="L21" i="20" s="1"/>
  <c r="N21" i="20" s="1"/>
  <c r="K42" i="12"/>
  <c r="I42" i="12"/>
  <c r="F22" i="11"/>
  <c r="H22" i="11" s="1"/>
  <c r="K34" i="12"/>
  <c r="M34" i="12"/>
  <c r="G34" i="12"/>
  <c r="O34" i="12" s="1"/>
  <c r="F22" i="20" s="1"/>
  <c r="H22" i="20" s="1"/>
  <c r="H25" i="20" s="1"/>
  <c r="I34" i="12"/>
  <c r="T24" i="11"/>
  <c r="V24" i="11" s="1"/>
  <c r="AB36" i="12"/>
  <c r="V36" i="12"/>
  <c r="AD36" i="12" s="1"/>
  <c r="T24" i="20" s="1"/>
  <c r="V24" i="20" s="1"/>
  <c r="Z36" i="12"/>
  <c r="X36" i="12"/>
  <c r="K18" i="11"/>
  <c r="M18" i="11" s="1"/>
  <c r="F39" i="12"/>
  <c r="N39" i="12" s="1"/>
  <c r="K18" i="20" s="1"/>
  <c r="M18" i="20" s="1"/>
  <c r="L39" i="12"/>
  <c r="J39" i="12"/>
  <c r="H39" i="12"/>
  <c r="E18" i="11"/>
  <c r="G18" i="11" s="1"/>
  <c r="F30" i="12"/>
  <c r="N30" i="12" s="1"/>
  <c r="E18" i="20" s="1"/>
  <c r="G18" i="20" s="1"/>
  <c r="J30" i="12"/>
  <c r="H30" i="12"/>
  <c r="L30" i="12"/>
  <c r="C63" i="15"/>
  <c r="N44" i="3"/>
  <c r="C56" i="15"/>
  <c r="C59" i="15"/>
  <c r="C66" i="15"/>
  <c r="C68" i="15"/>
  <c r="M35" i="3"/>
  <c r="N27" i="3"/>
  <c r="M39" i="3"/>
  <c r="L18" i="3"/>
  <c r="N18" i="3"/>
  <c r="M27" i="3"/>
  <c r="M37" i="3"/>
  <c r="U25" i="11"/>
  <c r="L22" i="3"/>
  <c r="M22" i="3"/>
  <c r="N35" i="3"/>
  <c r="N39" i="3"/>
  <c r="L32" i="3"/>
  <c r="N32" i="3"/>
  <c r="G17" i="11"/>
  <c r="N17" i="11"/>
  <c r="M17" i="11"/>
  <c r="H17" i="11"/>
  <c r="M43" i="3"/>
  <c r="N43" i="3"/>
  <c r="L43" i="3"/>
  <c r="L28" i="3"/>
  <c r="N28" i="3"/>
  <c r="M28" i="3"/>
  <c r="N31" i="3"/>
  <c r="M31" i="3"/>
  <c r="N37" i="3"/>
  <c r="N17" i="3"/>
  <c r="M17" i="3"/>
  <c r="L17" i="3"/>
  <c r="L34" i="3"/>
  <c r="M34" i="3"/>
  <c r="N34" i="3"/>
  <c r="N33" i="3"/>
  <c r="L30" i="3"/>
  <c r="N30" i="3"/>
  <c r="M30" i="3"/>
  <c r="N29" i="3"/>
  <c r="M33" i="3"/>
  <c r="L26" i="3"/>
  <c r="M26" i="3"/>
  <c r="N26" i="3"/>
  <c r="L38" i="3"/>
  <c r="N38" i="3"/>
  <c r="M38" i="3"/>
  <c r="N25" i="3"/>
  <c r="L8" i="3"/>
  <c r="N8" i="3"/>
  <c r="M29" i="3"/>
  <c r="M25" i="3"/>
  <c r="L36" i="3"/>
  <c r="N36" i="3"/>
  <c r="M36" i="3"/>
  <c r="M19" i="3"/>
  <c r="L19" i="3"/>
  <c r="N19" i="3"/>
  <c r="L55" i="3"/>
  <c r="N55" i="3"/>
  <c r="M55" i="3"/>
  <c r="N10" i="3"/>
  <c r="M10" i="3"/>
  <c r="L10" i="3"/>
  <c r="O23" i="3"/>
  <c r="B114" i="3"/>
  <c r="N52" i="3"/>
  <c r="M52" i="3"/>
  <c r="L52" i="3"/>
  <c r="M45" i="3"/>
  <c r="N45" i="3"/>
  <c r="L45" i="3"/>
  <c r="N47" i="3"/>
  <c r="M47" i="3"/>
  <c r="L47" i="3"/>
  <c r="N12" i="3"/>
  <c r="L12" i="3"/>
  <c r="M12" i="3"/>
  <c r="N21" i="3"/>
  <c r="M21" i="3"/>
  <c r="L21" i="3"/>
  <c r="M53" i="3"/>
  <c r="L53" i="3"/>
  <c r="N53" i="3"/>
  <c r="N20" i="3"/>
  <c r="L20" i="3"/>
  <c r="M20" i="3"/>
  <c r="N48" i="3"/>
  <c r="M48" i="3"/>
  <c r="L48" i="3"/>
  <c r="P23" i="3"/>
  <c r="N40" i="3"/>
  <c r="M40" i="3"/>
  <c r="L40" i="3"/>
  <c r="N54" i="3"/>
  <c r="M54" i="3"/>
  <c r="L54" i="3"/>
  <c r="M11" i="3"/>
  <c r="N11" i="3"/>
  <c r="L11" i="3"/>
  <c r="N14" i="3"/>
  <c r="M14" i="3"/>
  <c r="L14" i="3"/>
  <c r="N46" i="3"/>
  <c r="L46" i="3"/>
  <c r="M46" i="3"/>
  <c r="G6" i="20"/>
  <c r="G7" i="20" s="1"/>
  <c r="D30" i="20" s="1"/>
  <c r="J11" i="10"/>
  <c r="G8" i="20" s="1"/>
  <c r="H11" i="10"/>
  <c r="G11" i="10"/>
  <c r="J10" i="10"/>
  <c r="E30" i="11"/>
  <c r="G30" i="11" s="1"/>
  <c r="J9" i="10"/>
  <c r="E25" i="11" l="1"/>
  <c r="V25" i="20"/>
  <c r="AA25" i="20"/>
  <c r="G17" i="20"/>
  <c r="G25" i="20" s="1"/>
  <c r="J23" i="20" s="1"/>
  <c r="E25" i="20"/>
  <c r="M25" i="11"/>
  <c r="P23" i="11" s="1"/>
  <c r="AB25" i="20"/>
  <c r="X21" i="11"/>
  <c r="F25" i="11"/>
  <c r="L25" i="20"/>
  <c r="N17" i="20"/>
  <c r="N25" i="20" s="1"/>
  <c r="K25" i="11"/>
  <c r="N25" i="11"/>
  <c r="M17" i="20"/>
  <c r="M25" i="20" s="1"/>
  <c r="P19" i="20" s="1"/>
  <c r="K25" i="20"/>
  <c r="L25" i="11"/>
  <c r="U25" i="20"/>
  <c r="F25" i="20"/>
  <c r="W23" i="11"/>
  <c r="AD21" i="11"/>
  <c r="X19" i="11"/>
  <c r="W19" i="11"/>
  <c r="W21" i="11"/>
  <c r="AC22" i="11"/>
  <c r="X23" i="11"/>
  <c r="X18" i="11"/>
  <c r="W20" i="11"/>
  <c r="X17" i="11"/>
  <c r="W18" i="11"/>
  <c r="W22" i="11"/>
  <c r="W24" i="11"/>
  <c r="X20" i="11"/>
  <c r="P56" i="3"/>
  <c r="P57" i="3" s="1"/>
  <c r="O57" i="3"/>
  <c r="O56" i="3"/>
  <c r="AC24" i="11"/>
  <c r="AC23" i="11"/>
  <c r="AD23" i="11"/>
  <c r="AD24" i="11"/>
  <c r="AC19" i="11"/>
  <c r="AD19" i="11"/>
  <c r="P21" i="11"/>
  <c r="AH21" i="11" s="1"/>
  <c r="AC20" i="11"/>
  <c r="AD18" i="11"/>
  <c r="W17" i="11"/>
  <c r="X24" i="11"/>
  <c r="AD20" i="11"/>
  <c r="X22" i="11"/>
  <c r="O23" i="11"/>
  <c r="AG23" i="11" s="1"/>
  <c r="H25" i="11"/>
  <c r="O21" i="11"/>
  <c r="P24" i="11"/>
  <c r="AC21" i="11"/>
  <c r="AD17" i="11"/>
  <c r="AC18" i="11"/>
  <c r="AD22" i="11"/>
  <c r="AC17" i="11"/>
  <c r="G25" i="11"/>
  <c r="M23" i="3"/>
  <c r="N23" i="3"/>
  <c r="L23" i="3"/>
  <c r="E30" i="20"/>
  <c r="G30" i="20" s="1"/>
  <c r="F30" i="11"/>
  <c r="K30" i="11" s="1"/>
  <c r="P30" i="11" s="1"/>
  <c r="O17" i="20"/>
  <c r="G10" i="20"/>
  <c r="J8" i="10"/>
  <c r="G9" i="20"/>
  <c r="J7" i="10"/>
  <c r="I20" i="20"/>
  <c r="J21" i="20"/>
  <c r="P18" i="20"/>
  <c r="O18" i="20"/>
  <c r="O23" i="20"/>
  <c r="J17" i="20"/>
  <c r="I19" i="20"/>
  <c r="O24" i="20" l="1"/>
  <c r="I17" i="20"/>
  <c r="P24" i="20"/>
  <c r="D46" i="20" s="1"/>
  <c r="O21" i="20"/>
  <c r="J19" i="20"/>
  <c r="O18" i="11"/>
  <c r="P17" i="20"/>
  <c r="D39" i="20" s="1"/>
  <c r="P20" i="20"/>
  <c r="R20" i="20" s="1"/>
  <c r="J22" i="20"/>
  <c r="I24" i="20"/>
  <c r="J18" i="20"/>
  <c r="D40" i="20" s="1"/>
  <c r="P22" i="11"/>
  <c r="AH22" i="11" s="1"/>
  <c r="O20" i="11"/>
  <c r="O24" i="11"/>
  <c r="AG24" i="11" s="1"/>
  <c r="P21" i="20"/>
  <c r="R21" i="20" s="1"/>
  <c r="AG18" i="11"/>
  <c r="O22" i="11"/>
  <c r="P19" i="11"/>
  <c r="I18" i="20"/>
  <c r="Q18" i="20" s="1"/>
  <c r="O20" i="20"/>
  <c r="J24" i="20"/>
  <c r="P17" i="11"/>
  <c r="O19" i="11"/>
  <c r="AG19" i="11" s="1"/>
  <c r="I23" i="20"/>
  <c r="D37" i="20" s="1"/>
  <c r="P18" i="11"/>
  <c r="O19" i="20"/>
  <c r="O17" i="11"/>
  <c r="O25" i="11" s="1"/>
  <c r="AH19" i="11"/>
  <c r="O22" i="20"/>
  <c r="P23" i="20"/>
  <c r="R23" i="20" s="1"/>
  <c r="J20" i="20"/>
  <c r="D42" i="20" s="1"/>
  <c r="E42" i="20" s="1"/>
  <c r="G42" i="20" s="1"/>
  <c r="P20" i="11"/>
  <c r="P25" i="11" s="1"/>
  <c r="P22" i="20"/>
  <c r="I21" i="20"/>
  <c r="I22" i="20"/>
  <c r="Q22" i="20" s="1"/>
  <c r="AG22" i="11"/>
  <c r="AH24" i="11"/>
  <c r="N57" i="3"/>
  <c r="M57" i="3"/>
  <c r="L56" i="3"/>
  <c r="M56" i="3"/>
  <c r="N56" i="3"/>
  <c r="L57" i="3"/>
  <c r="AG20" i="11"/>
  <c r="I17" i="11"/>
  <c r="AE17" i="11" s="1"/>
  <c r="AI17" i="11" s="1"/>
  <c r="AH18" i="11"/>
  <c r="AG21" i="11"/>
  <c r="AH23" i="11"/>
  <c r="AH17" i="11"/>
  <c r="AG17" i="11"/>
  <c r="J23" i="11"/>
  <c r="I18" i="11"/>
  <c r="J20" i="11"/>
  <c r="I20" i="11"/>
  <c r="J21" i="11"/>
  <c r="I22" i="11"/>
  <c r="I19" i="11"/>
  <c r="J18" i="11"/>
  <c r="R18" i="11" s="1"/>
  <c r="J22" i="11"/>
  <c r="R22" i="11" s="1"/>
  <c r="J24" i="11"/>
  <c r="I24" i="11"/>
  <c r="I23" i="11"/>
  <c r="I21" i="11"/>
  <c r="Q21" i="11" s="1"/>
  <c r="J19" i="11"/>
  <c r="J17" i="11"/>
  <c r="F30" i="20"/>
  <c r="L30" i="20" s="1"/>
  <c r="Q30" i="20" s="1"/>
  <c r="D33" i="20"/>
  <c r="E33" i="20" s="1"/>
  <c r="G33" i="20" s="1"/>
  <c r="L30" i="11"/>
  <c r="Q30" i="11" s="1"/>
  <c r="V30" i="11" s="1"/>
  <c r="AA30" i="11" s="1"/>
  <c r="I30" i="11"/>
  <c r="N30" i="11" s="1"/>
  <c r="S30" i="11" s="1"/>
  <c r="X30" i="11" s="1"/>
  <c r="R24" i="20"/>
  <c r="Q21" i="20"/>
  <c r="H30" i="11"/>
  <c r="M30" i="11" s="1"/>
  <c r="R30" i="11" s="1"/>
  <c r="W30" i="11" s="1"/>
  <c r="D32" i="20"/>
  <c r="E32" i="20" s="1"/>
  <c r="G32" i="20" s="1"/>
  <c r="D31" i="20"/>
  <c r="E31" i="20" s="1"/>
  <c r="G31" i="20" s="1"/>
  <c r="J30" i="11"/>
  <c r="O30" i="11" s="1"/>
  <c r="T30" i="11" s="1"/>
  <c r="Y30" i="11" s="1"/>
  <c r="Q24" i="20"/>
  <c r="Q20" i="20"/>
  <c r="D44" i="20"/>
  <c r="E44" i="20" s="1"/>
  <c r="G44" i="20" s="1"/>
  <c r="D41" i="20"/>
  <c r="E41" i="20" s="1"/>
  <c r="G41" i="20" s="1"/>
  <c r="R22" i="20"/>
  <c r="R19" i="20"/>
  <c r="D35" i="20"/>
  <c r="D38" i="20"/>
  <c r="G11" i="20"/>
  <c r="X21" i="20"/>
  <c r="X24" i="20"/>
  <c r="W20" i="20"/>
  <c r="X18" i="20"/>
  <c r="W18" i="20"/>
  <c r="W24" i="20"/>
  <c r="X23" i="20"/>
  <c r="X20" i="20"/>
  <c r="W19" i="20"/>
  <c r="W17" i="20"/>
  <c r="W22" i="20"/>
  <c r="W21" i="20"/>
  <c r="X19" i="20"/>
  <c r="W23" i="20"/>
  <c r="X22" i="20"/>
  <c r="X17" i="20"/>
  <c r="AD22" i="20"/>
  <c r="AH22" i="20" s="1"/>
  <c r="AC18" i="20"/>
  <c r="AG18" i="20" s="1"/>
  <c r="AD21" i="20"/>
  <c r="AD19" i="20"/>
  <c r="AH19" i="20" s="1"/>
  <c r="AD18" i="20"/>
  <c r="AH18" i="20" s="1"/>
  <c r="AC21" i="20"/>
  <c r="AG21" i="20" s="1"/>
  <c r="AC24" i="20"/>
  <c r="AG24" i="20" s="1"/>
  <c r="AC20" i="20"/>
  <c r="AG20" i="20" s="1"/>
  <c r="AC19" i="20"/>
  <c r="AG19" i="20" s="1"/>
  <c r="AC17" i="20"/>
  <c r="AG17" i="20" s="1"/>
  <c r="AD20" i="20"/>
  <c r="AD17" i="20"/>
  <c r="AH17" i="20" s="1"/>
  <c r="AD23" i="20"/>
  <c r="AH23" i="20" s="1"/>
  <c r="AD24" i="20"/>
  <c r="AC23" i="20"/>
  <c r="AG23" i="20" s="1"/>
  <c r="AC22" i="20"/>
  <c r="AG22" i="20" s="1"/>
  <c r="U30" i="11"/>
  <c r="Z30" i="11" s="1"/>
  <c r="R18" i="20"/>
  <c r="D34" i="20"/>
  <c r="P25" i="20"/>
  <c r="Q19" i="20"/>
  <c r="Q17" i="20"/>
  <c r="O25" i="20"/>
  <c r="D36" i="20" l="1"/>
  <c r="D43" i="20"/>
  <c r="E43" i="20" s="1"/>
  <c r="D45" i="20"/>
  <c r="AH20" i="20"/>
  <c r="AH20" i="11"/>
  <c r="Q23" i="20"/>
  <c r="AH21" i="20"/>
  <c r="R17" i="20"/>
  <c r="AH24" i="20"/>
  <c r="P58" i="3"/>
  <c r="L58" i="3"/>
  <c r="M58" i="3"/>
  <c r="N58" i="3"/>
  <c r="Q17" i="11"/>
  <c r="D31" i="11"/>
  <c r="E31" i="11" s="1"/>
  <c r="G31" i="11" s="1"/>
  <c r="AF20" i="11"/>
  <c r="AJ20" i="11" s="1"/>
  <c r="D42" i="11"/>
  <c r="E42" i="11" s="1"/>
  <c r="G42" i="11" s="1"/>
  <c r="R24" i="11"/>
  <c r="D46" i="11"/>
  <c r="E46" i="11" s="1"/>
  <c r="G46" i="11" s="1"/>
  <c r="AF24" i="11"/>
  <c r="AJ24" i="11" s="1"/>
  <c r="AF23" i="11"/>
  <c r="AJ23" i="11" s="1"/>
  <c r="D45" i="11"/>
  <c r="E45" i="11" s="1"/>
  <c r="G45" i="11" s="1"/>
  <c r="AE21" i="11"/>
  <c r="AI21" i="11" s="1"/>
  <c r="D35" i="11"/>
  <c r="AF21" i="11"/>
  <c r="AJ21" i="11" s="1"/>
  <c r="D43" i="11"/>
  <c r="R21" i="11"/>
  <c r="AE23" i="11"/>
  <c r="AI23" i="11" s="1"/>
  <c r="Q23" i="11"/>
  <c r="D37" i="11"/>
  <c r="D34" i="11"/>
  <c r="E34" i="11" s="1"/>
  <c r="G34" i="11" s="1"/>
  <c r="AE20" i="11"/>
  <c r="AI20" i="11" s="1"/>
  <c r="Q20" i="11"/>
  <c r="Q18" i="11"/>
  <c r="AE18" i="11"/>
  <c r="AI18" i="11" s="1"/>
  <c r="D32" i="11"/>
  <c r="E32" i="11" s="1"/>
  <c r="G32" i="11" s="1"/>
  <c r="R23" i="11"/>
  <c r="R20" i="11"/>
  <c r="AF18" i="11"/>
  <c r="AJ18" i="11" s="1"/>
  <c r="D40" i="11"/>
  <c r="E40" i="11" s="1"/>
  <c r="G40" i="11" s="1"/>
  <c r="D44" i="11"/>
  <c r="AF22" i="11"/>
  <c r="AJ22" i="11" s="1"/>
  <c r="D39" i="11"/>
  <c r="AF17" i="11"/>
  <c r="AJ17" i="11" s="1"/>
  <c r="R17" i="11"/>
  <c r="AE19" i="11"/>
  <c r="AI19" i="11" s="1"/>
  <c r="D33" i="11"/>
  <c r="Q19" i="11"/>
  <c r="AE24" i="11"/>
  <c r="AI24" i="11" s="1"/>
  <c r="D38" i="11"/>
  <c r="Q24" i="11"/>
  <c r="AF19" i="11"/>
  <c r="AJ19" i="11" s="1"/>
  <c r="R19" i="11"/>
  <c r="D41" i="11"/>
  <c r="E41" i="11" s="1"/>
  <c r="G41" i="11" s="1"/>
  <c r="AE22" i="11"/>
  <c r="AI22" i="11" s="1"/>
  <c r="D36" i="11"/>
  <c r="E36" i="11" s="1"/>
  <c r="G36" i="11" s="1"/>
  <c r="Q22" i="11"/>
  <c r="H30" i="20"/>
  <c r="M30" i="20" s="1"/>
  <c r="R30" i="20" s="1"/>
  <c r="W30" i="20" s="1"/>
  <c r="I30" i="20"/>
  <c r="N30" i="20" s="1"/>
  <c r="S30" i="20" s="1"/>
  <c r="X30" i="20" s="1"/>
  <c r="J30" i="20"/>
  <c r="O30" i="20" s="1"/>
  <c r="T30" i="20" s="1"/>
  <c r="Y30" i="20" s="1"/>
  <c r="K30" i="20"/>
  <c r="P30" i="20" s="1"/>
  <c r="U30" i="20" s="1"/>
  <c r="Z30" i="20" s="1"/>
  <c r="F45" i="11"/>
  <c r="L45" i="11" s="1"/>
  <c r="Q45" i="11" s="1"/>
  <c r="F32" i="20"/>
  <c r="H32" i="20" s="1"/>
  <c r="M32" i="20" s="1"/>
  <c r="G43" i="20"/>
  <c r="F43" i="20"/>
  <c r="E40" i="20"/>
  <c r="G40" i="20" s="1"/>
  <c r="F31" i="20"/>
  <c r="L31" i="20" s="1"/>
  <c r="Q31" i="20" s="1"/>
  <c r="AF22" i="20"/>
  <c r="AJ22" i="20" s="1"/>
  <c r="AF23" i="20"/>
  <c r="AJ23" i="20" s="1"/>
  <c r="E46" i="20"/>
  <c r="G46" i="20" s="1"/>
  <c r="V30" i="20"/>
  <c r="AA30" i="20" s="1"/>
  <c r="AE23" i="20"/>
  <c r="AI23" i="20" s="1"/>
  <c r="AE24" i="20"/>
  <c r="AI24" i="20" s="1"/>
  <c r="F42" i="20"/>
  <c r="AF19" i="20"/>
  <c r="AJ19" i="20" s="1"/>
  <c r="AE18" i="20"/>
  <c r="AI18" i="20" s="1"/>
  <c r="AE21" i="20"/>
  <c r="AI21" i="20" s="1"/>
  <c r="F44" i="20"/>
  <c r="AE22" i="20"/>
  <c r="AI22" i="20" s="1"/>
  <c r="E36" i="20"/>
  <c r="G36" i="20" s="1"/>
  <c r="AE17" i="20"/>
  <c r="AI17" i="20" s="1"/>
  <c r="E34" i="20"/>
  <c r="G34" i="20" s="1"/>
  <c r="E45" i="20"/>
  <c r="G45" i="20" s="1"/>
  <c r="AE19" i="20"/>
  <c r="AI19" i="20" s="1"/>
  <c r="AF21" i="20"/>
  <c r="AJ21" i="20" s="1"/>
  <c r="E38" i="20"/>
  <c r="G38" i="20" s="1"/>
  <c r="F41" i="20"/>
  <c r="AF18" i="20"/>
  <c r="AJ18" i="20" s="1"/>
  <c r="E39" i="20"/>
  <c r="G39" i="20" s="1"/>
  <c r="AE20" i="20"/>
  <c r="AI20" i="20" s="1"/>
  <c r="E35" i="20"/>
  <c r="G35" i="20" s="1"/>
  <c r="AF24" i="20"/>
  <c r="AJ24" i="20" s="1"/>
  <c r="F33" i="20"/>
  <c r="AF17" i="20"/>
  <c r="AJ17" i="20" s="1"/>
  <c r="AF20" i="20"/>
  <c r="AJ20" i="20" s="1"/>
  <c r="E37" i="20"/>
  <c r="G37" i="20" s="1"/>
  <c r="F31" i="11" l="1"/>
  <c r="K31" i="11" s="1"/>
  <c r="P31" i="11" s="1"/>
  <c r="F42" i="11"/>
  <c r="I42" i="11" s="1"/>
  <c r="N42" i="11" s="1"/>
  <c r="F40" i="11"/>
  <c r="F36" i="11"/>
  <c r="J36" i="11" s="1"/>
  <c r="O36" i="11" s="1"/>
  <c r="P59" i="3"/>
  <c r="N59" i="3"/>
  <c r="L59" i="3"/>
  <c r="M59" i="3"/>
  <c r="F46" i="11"/>
  <c r="L46" i="11" s="1"/>
  <c r="Q46" i="11" s="1"/>
  <c r="F41" i="11"/>
  <c r="K41" i="11" s="1"/>
  <c r="P41" i="11" s="1"/>
  <c r="E39" i="11"/>
  <c r="G39" i="11" s="1"/>
  <c r="E33" i="11"/>
  <c r="G33" i="11" s="1"/>
  <c r="E37" i="11"/>
  <c r="G37" i="11" s="1"/>
  <c r="F32" i="11"/>
  <c r="J32" i="11" s="1"/>
  <c r="O32" i="11" s="1"/>
  <c r="T32" i="11" s="1"/>
  <c r="AD32" i="11" s="1"/>
  <c r="E38" i="11"/>
  <c r="G38" i="11" s="1"/>
  <c r="E43" i="11"/>
  <c r="G43" i="11" s="1"/>
  <c r="E44" i="11"/>
  <c r="G44" i="11" s="1"/>
  <c r="F34" i="11"/>
  <c r="L34" i="11" s="1"/>
  <c r="Q34" i="11" s="1"/>
  <c r="V34" i="11" s="1"/>
  <c r="AF34" i="11" s="1"/>
  <c r="E35" i="11"/>
  <c r="G35" i="11" s="1"/>
  <c r="K45" i="11"/>
  <c r="P45" i="11" s="1"/>
  <c r="U45" i="11" s="1"/>
  <c r="AE45" i="11" s="1"/>
  <c r="J31" i="20"/>
  <c r="O31" i="20" s="1"/>
  <c r="T31" i="20" s="1"/>
  <c r="AD31" i="20" s="1"/>
  <c r="J32" i="20"/>
  <c r="O32" i="20" s="1"/>
  <c r="T32" i="20" s="1"/>
  <c r="AD32" i="20" s="1"/>
  <c r="K32" i="20"/>
  <c r="P32" i="20" s="1"/>
  <c r="U32" i="20" s="1"/>
  <c r="AE32" i="20" s="1"/>
  <c r="I31" i="20"/>
  <c r="N31" i="20" s="1"/>
  <c r="S31" i="20" s="1"/>
  <c r="AC31" i="20" s="1"/>
  <c r="K43" i="20"/>
  <c r="P43" i="20" s="1"/>
  <c r="U43" i="20" s="1"/>
  <c r="AE43" i="20" s="1"/>
  <c r="J45" i="11"/>
  <c r="O45" i="11" s="1"/>
  <c r="T45" i="11" s="1"/>
  <c r="AD45" i="11" s="1"/>
  <c r="H45" i="11"/>
  <c r="M45" i="11" s="1"/>
  <c r="R45" i="11" s="1"/>
  <c r="AB45" i="11" s="1"/>
  <c r="I45" i="11"/>
  <c r="N45" i="11" s="1"/>
  <c r="S45" i="11" s="1"/>
  <c r="AC45" i="11" s="1"/>
  <c r="K31" i="20"/>
  <c r="P31" i="20" s="1"/>
  <c r="U31" i="20" s="1"/>
  <c r="AE31" i="20" s="1"/>
  <c r="I32" i="20"/>
  <c r="N32" i="20" s="1"/>
  <c r="S32" i="20" s="1"/>
  <c r="AC32" i="20" s="1"/>
  <c r="L32" i="20"/>
  <c r="Q32" i="20" s="1"/>
  <c r="V32" i="20" s="1"/>
  <c r="AF32" i="20" s="1"/>
  <c r="H43" i="20"/>
  <c r="M43" i="20" s="1"/>
  <c r="R43" i="20" s="1"/>
  <c r="AB43" i="20" s="1"/>
  <c r="I43" i="20"/>
  <c r="N43" i="20" s="1"/>
  <c r="S43" i="20" s="1"/>
  <c r="AC43" i="20" s="1"/>
  <c r="J43" i="20"/>
  <c r="O43" i="20" s="1"/>
  <c r="T43" i="20" s="1"/>
  <c r="AD43" i="20" s="1"/>
  <c r="L43" i="20"/>
  <c r="Q43" i="20" s="1"/>
  <c r="V43" i="20" s="1"/>
  <c r="AF43" i="20" s="1"/>
  <c r="I31" i="11"/>
  <c r="N31" i="11" s="1"/>
  <c r="S31" i="11" s="1"/>
  <c r="AC31" i="11" s="1"/>
  <c r="H31" i="20"/>
  <c r="M31" i="20" s="1"/>
  <c r="R31" i="20" s="1"/>
  <c r="AB31" i="20" s="1"/>
  <c r="L36" i="11"/>
  <c r="Q36" i="11" s="1"/>
  <c r="V36" i="11" s="1"/>
  <c r="AF36" i="11" s="1"/>
  <c r="H36" i="11"/>
  <c r="M36" i="11" s="1"/>
  <c r="R36" i="11" s="1"/>
  <c r="AB36" i="11" s="1"/>
  <c r="L31" i="11"/>
  <c r="Q31" i="11" s="1"/>
  <c r="V31" i="11" s="1"/>
  <c r="AF31" i="11" s="1"/>
  <c r="K36" i="11"/>
  <c r="P36" i="11" s="1"/>
  <c r="U36" i="11" s="1"/>
  <c r="AE36" i="11" s="1"/>
  <c r="J31" i="11"/>
  <c r="O31" i="11" s="1"/>
  <c r="T31" i="11" s="1"/>
  <c r="AD31" i="11" s="1"/>
  <c r="I36" i="11"/>
  <c r="N36" i="11" s="1"/>
  <c r="H31" i="11"/>
  <c r="M31" i="11" s="1"/>
  <c r="R31" i="11" s="1"/>
  <c r="F36" i="20"/>
  <c r="K36" i="20" s="1"/>
  <c r="P36" i="20" s="1"/>
  <c r="F40" i="20"/>
  <c r="V45" i="11"/>
  <c r="AF45" i="11" s="1"/>
  <c r="L44" i="20"/>
  <c r="Q44" i="20" s="1"/>
  <c r="I44" i="20"/>
  <c r="N44" i="20" s="1"/>
  <c r="K44" i="20"/>
  <c r="P44" i="20" s="1"/>
  <c r="J44" i="20"/>
  <c r="O44" i="20" s="1"/>
  <c r="H44" i="20"/>
  <c r="M44" i="20" s="1"/>
  <c r="I41" i="20"/>
  <c r="N41" i="20" s="1"/>
  <c r="J41" i="20"/>
  <c r="O41" i="20" s="1"/>
  <c r="H41" i="20"/>
  <c r="M41" i="20" s="1"/>
  <c r="L41" i="20"/>
  <c r="Q41" i="20" s="1"/>
  <c r="K41" i="20"/>
  <c r="P41" i="20" s="1"/>
  <c r="H40" i="11"/>
  <c r="M40" i="11" s="1"/>
  <c r="L40" i="11"/>
  <c r="Q40" i="11" s="1"/>
  <c r="K40" i="11"/>
  <c r="P40" i="11" s="1"/>
  <c r="J40" i="11"/>
  <c r="O40" i="11" s="1"/>
  <c r="I40" i="11"/>
  <c r="N40" i="11" s="1"/>
  <c r="F37" i="20"/>
  <c r="F45" i="20"/>
  <c r="I33" i="20"/>
  <c r="N33" i="20" s="1"/>
  <c r="L33" i="20"/>
  <c r="Q33" i="20" s="1"/>
  <c r="K33" i="20"/>
  <c r="P33" i="20" s="1"/>
  <c r="J33" i="20"/>
  <c r="O33" i="20" s="1"/>
  <c r="H33" i="20"/>
  <c r="M33" i="20" s="1"/>
  <c r="T36" i="11"/>
  <c r="AD36" i="11" s="1"/>
  <c r="R32" i="20"/>
  <c r="AB32" i="20" s="1"/>
  <c r="F35" i="20"/>
  <c r="F34" i="20"/>
  <c r="J42" i="20"/>
  <c r="O42" i="20" s="1"/>
  <c r="L42" i="20"/>
  <c r="Q42" i="20" s="1"/>
  <c r="K42" i="20"/>
  <c r="P42" i="20" s="1"/>
  <c r="I42" i="20"/>
  <c r="N42" i="20" s="1"/>
  <c r="H42" i="20"/>
  <c r="M42" i="20" s="1"/>
  <c r="V31" i="20"/>
  <c r="AF31" i="20" s="1"/>
  <c r="F46" i="20"/>
  <c r="H46" i="11"/>
  <c r="M46" i="11" s="1"/>
  <c r="F38" i="20"/>
  <c r="F39" i="20"/>
  <c r="U31" i="11"/>
  <c r="AE31" i="11" s="1"/>
  <c r="L41" i="11" l="1"/>
  <c r="Q41" i="11" s="1"/>
  <c r="H42" i="11"/>
  <c r="M42" i="11" s="1"/>
  <c r="K42" i="11"/>
  <c r="P42" i="11" s="1"/>
  <c r="U42" i="11" s="1"/>
  <c r="AE42" i="11" s="1"/>
  <c r="L42" i="11"/>
  <c r="Q42" i="11" s="1"/>
  <c r="V42" i="11" s="1"/>
  <c r="AF42" i="11" s="1"/>
  <c r="J42" i="11"/>
  <c r="O42" i="11" s="1"/>
  <c r="T42" i="11" s="1"/>
  <c r="AD42" i="11" s="1"/>
  <c r="K46" i="11"/>
  <c r="P46" i="11" s="1"/>
  <c r="U46" i="11" s="1"/>
  <c r="AE46" i="11" s="1"/>
  <c r="J46" i="11"/>
  <c r="O46" i="11" s="1"/>
  <c r="T46" i="11" s="1"/>
  <c r="AD46" i="11" s="1"/>
  <c r="F44" i="11"/>
  <c r="L44" i="11" s="1"/>
  <c r="Q44" i="11" s="1"/>
  <c r="N60" i="3"/>
  <c r="L60" i="3"/>
  <c r="P60" i="3"/>
  <c r="M60" i="3"/>
  <c r="J41" i="11"/>
  <c r="O41" i="11" s="1"/>
  <c r="T41" i="11" s="1"/>
  <c r="AD41" i="11" s="1"/>
  <c r="H41" i="11"/>
  <c r="M41" i="11" s="1"/>
  <c r="R41" i="11" s="1"/>
  <c r="AB41" i="11" s="1"/>
  <c r="I41" i="11"/>
  <c r="N41" i="11" s="1"/>
  <c r="S41" i="11" s="1"/>
  <c r="AC41" i="11" s="1"/>
  <c r="I46" i="11"/>
  <c r="N46" i="11" s="1"/>
  <c r="S46" i="11" s="1"/>
  <c r="AC46" i="11" s="1"/>
  <c r="F39" i="11"/>
  <c r="J39" i="11" s="1"/>
  <c r="O39" i="11" s="1"/>
  <c r="K34" i="11"/>
  <c r="P34" i="11" s="1"/>
  <c r="U34" i="11" s="1"/>
  <c r="AE34" i="11" s="1"/>
  <c r="F37" i="11"/>
  <c r="I37" i="11" s="1"/>
  <c r="N37" i="11" s="1"/>
  <c r="S37" i="11" s="1"/>
  <c r="AC37" i="11" s="1"/>
  <c r="F33" i="11"/>
  <c r="J33" i="11" s="1"/>
  <c r="O33" i="11" s="1"/>
  <c r="T33" i="11" s="1"/>
  <c r="AD33" i="11" s="1"/>
  <c r="F38" i="11"/>
  <c r="J38" i="11" s="1"/>
  <c r="O38" i="11" s="1"/>
  <c r="F35" i="11"/>
  <c r="J34" i="11"/>
  <c r="O34" i="11" s="1"/>
  <c r="T34" i="11" s="1"/>
  <c r="AD34" i="11" s="1"/>
  <c r="K32" i="11"/>
  <c r="P32" i="11" s="1"/>
  <c r="U32" i="11" s="1"/>
  <c r="AE32" i="11" s="1"/>
  <c r="I34" i="11"/>
  <c r="N34" i="11" s="1"/>
  <c r="S34" i="11" s="1"/>
  <c r="AC34" i="11" s="1"/>
  <c r="L32" i="11"/>
  <c r="Q32" i="11" s="1"/>
  <c r="V32" i="11" s="1"/>
  <c r="AF32" i="11" s="1"/>
  <c r="F43" i="11"/>
  <c r="H34" i="11"/>
  <c r="M34" i="11" s="1"/>
  <c r="R34" i="11" s="1"/>
  <c r="AB34" i="11" s="1"/>
  <c r="H32" i="11"/>
  <c r="M32" i="11" s="1"/>
  <c r="R32" i="11" s="1"/>
  <c r="AB32" i="11" s="1"/>
  <c r="K39" i="11"/>
  <c r="P39" i="11" s="1"/>
  <c r="H39" i="11"/>
  <c r="M39" i="11" s="1"/>
  <c r="L39" i="11"/>
  <c r="Q39" i="11" s="1"/>
  <c r="I39" i="11"/>
  <c r="N39" i="11" s="1"/>
  <c r="S39" i="11" s="1"/>
  <c r="AC39" i="11" s="1"/>
  <c r="I32" i="11"/>
  <c r="N32" i="11" s="1"/>
  <c r="S32" i="11" s="1"/>
  <c r="AC32" i="11" s="1"/>
  <c r="I44" i="11"/>
  <c r="N44" i="11" s="1"/>
  <c r="Y45" i="11"/>
  <c r="AI45" i="11" s="1"/>
  <c r="AN45" i="11" s="1"/>
  <c r="Y32" i="11"/>
  <c r="AI32" i="11" s="1"/>
  <c r="AN32" i="11" s="1"/>
  <c r="H36" i="20"/>
  <c r="M36" i="20" s="1"/>
  <c r="R36" i="20" s="1"/>
  <c r="AB36" i="20" s="1"/>
  <c r="I36" i="20"/>
  <c r="N36" i="20" s="1"/>
  <c r="S36" i="20" s="1"/>
  <c r="AC36" i="20" s="1"/>
  <c r="AA31" i="20"/>
  <c r="AK31" i="20" s="1"/>
  <c r="AP31" i="20" s="1"/>
  <c r="L36" i="20"/>
  <c r="Q36" i="20" s="1"/>
  <c r="V36" i="20" s="1"/>
  <c r="AF36" i="20" s="1"/>
  <c r="J36" i="20"/>
  <c r="O36" i="20" s="1"/>
  <c r="T36" i="20" s="1"/>
  <c r="AD36" i="20" s="1"/>
  <c r="W36" i="11"/>
  <c r="AG36" i="11" s="1"/>
  <c r="AL36" i="11" s="1"/>
  <c r="X31" i="20"/>
  <c r="AH31" i="20" s="1"/>
  <c r="AM31" i="20" s="1"/>
  <c r="AA43" i="20"/>
  <c r="AK43" i="20" s="1"/>
  <c r="AP43" i="20" s="1"/>
  <c r="AB31" i="11"/>
  <c r="W31" i="11"/>
  <c r="AG31" i="11" s="1"/>
  <c r="W31" i="20"/>
  <c r="AG31" i="20" s="1"/>
  <c r="AL31" i="20" s="1"/>
  <c r="H40" i="20"/>
  <c r="M40" i="20" s="1"/>
  <c r="L40" i="20"/>
  <c r="Q40" i="20" s="1"/>
  <c r="V40" i="20" s="1"/>
  <c r="AF40" i="20" s="1"/>
  <c r="I40" i="20"/>
  <c r="N40" i="20" s="1"/>
  <c r="S40" i="20" s="1"/>
  <c r="AC40" i="20" s="1"/>
  <c r="J40" i="20"/>
  <c r="O40" i="20" s="1"/>
  <c r="K40" i="20"/>
  <c r="P40" i="20" s="1"/>
  <c r="U40" i="20" s="1"/>
  <c r="AE40" i="20" s="1"/>
  <c r="S36" i="11"/>
  <c r="AC36" i="11" s="1"/>
  <c r="AA36" i="11"/>
  <c r="AK36" i="11" s="1"/>
  <c r="AP36" i="11" s="1"/>
  <c r="Y31" i="20"/>
  <c r="AI31" i="20" s="1"/>
  <c r="AN31" i="20" s="1"/>
  <c r="X32" i="20"/>
  <c r="AH32" i="20" s="1"/>
  <c r="AM32" i="20" s="1"/>
  <c r="W32" i="20"/>
  <c r="AG32" i="20" s="1"/>
  <c r="AL32" i="20" s="1"/>
  <c r="X45" i="11"/>
  <c r="AH45" i="11" s="1"/>
  <c r="AM45" i="11" s="1"/>
  <c r="AA45" i="11"/>
  <c r="AK45" i="11" s="1"/>
  <c r="AP45" i="11" s="1"/>
  <c r="V41" i="11"/>
  <c r="AF41" i="11" s="1"/>
  <c r="R33" i="20"/>
  <c r="AB33" i="20" s="1"/>
  <c r="V41" i="20"/>
  <c r="AF41" i="20" s="1"/>
  <c r="W43" i="20"/>
  <c r="AG43" i="20" s="1"/>
  <c r="AL43" i="20" s="1"/>
  <c r="R46" i="11"/>
  <c r="AB46" i="11" s="1"/>
  <c r="Z31" i="20"/>
  <c r="AJ31" i="20" s="1"/>
  <c r="AO31" i="20" s="1"/>
  <c r="Y31" i="11"/>
  <c r="AI31" i="11" s="1"/>
  <c r="AN31" i="11" s="1"/>
  <c r="T33" i="20"/>
  <c r="AD33" i="20" s="1"/>
  <c r="Y32" i="20"/>
  <c r="AI32" i="20" s="1"/>
  <c r="AN32" i="20" s="1"/>
  <c r="AA31" i="11"/>
  <c r="AK31" i="11" s="1"/>
  <c r="AP31" i="11" s="1"/>
  <c r="R41" i="20"/>
  <c r="AB41" i="20" s="1"/>
  <c r="U33" i="20"/>
  <c r="AE33" i="20" s="1"/>
  <c r="S40" i="11"/>
  <c r="AC40" i="11" s="1"/>
  <c r="Y43" i="20"/>
  <c r="AI43" i="20" s="1"/>
  <c r="AN43" i="20" s="1"/>
  <c r="R42" i="20"/>
  <c r="AB42" i="20" s="1"/>
  <c r="V33" i="20"/>
  <c r="AF33" i="20" s="1"/>
  <c r="K37" i="20"/>
  <c r="P37" i="20" s="1"/>
  <c r="J37" i="20"/>
  <c r="O37" i="20" s="1"/>
  <c r="I37" i="20"/>
  <c r="N37" i="20" s="1"/>
  <c r="H37" i="20"/>
  <c r="M37" i="20" s="1"/>
  <c r="L37" i="20"/>
  <c r="Q37" i="20" s="1"/>
  <c r="S41" i="20"/>
  <c r="AC41" i="20" s="1"/>
  <c r="U40" i="11"/>
  <c r="AE40" i="11" s="1"/>
  <c r="U44" i="20"/>
  <c r="AE44" i="20" s="1"/>
  <c r="Z43" i="20"/>
  <c r="AJ43" i="20" s="1"/>
  <c r="AO43" i="20" s="1"/>
  <c r="U42" i="20"/>
  <c r="AE42" i="20" s="1"/>
  <c r="AA34" i="11"/>
  <c r="AK34" i="11" s="1"/>
  <c r="AP34" i="11" s="1"/>
  <c r="V40" i="11"/>
  <c r="AF40" i="11" s="1"/>
  <c r="S44" i="20"/>
  <c r="AC44" i="20" s="1"/>
  <c r="R42" i="11"/>
  <c r="AB42" i="11" s="1"/>
  <c r="R44" i="20"/>
  <c r="AB44" i="20" s="1"/>
  <c r="J34" i="20"/>
  <c r="O34" i="20" s="1"/>
  <c r="I34" i="20"/>
  <c r="N34" i="20" s="1"/>
  <c r="H34" i="20"/>
  <c r="M34" i="20" s="1"/>
  <c r="K34" i="20"/>
  <c r="P34" i="20" s="1"/>
  <c r="L34" i="20"/>
  <c r="Q34" i="20" s="1"/>
  <c r="T40" i="11"/>
  <c r="AD40" i="11" s="1"/>
  <c r="T44" i="20"/>
  <c r="AD44" i="20" s="1"/>
  <c r="S42" i="20"/>
  <c r="AC42" i="20" s="1"/>
  <c r="S33" i="20"/>
  <c r="AC33" i="20" s="1"/>
  <c r="S42" i="11"/>
  <c r="AC42" i="11" s="1"/>
  <c r="V42" i="20"/>
  <c r="AF42" i="20" s="1"/>
  <c r="K35" i="20"/>
  <c r="P35" i="20" s="1"/>
  <c r="L35" i="20"/>
  <c r="Q35" i="20" s="1"/>
  <c r="J35" i="20"/>
  <c r="O35" i="20" s="1"/>
  <c r="I35" i="20"/>
  <c r="N35" i="20" s="1"/>
  <c r="H35" i="20"/>
  <c r="M35" i="20" s="1"/>
  <c r="U36" i="20"/>
  <c r="AE36" i="20" s="1"/>
  <c r="R40" i="11"/>
  <c r="AB40" i="11" s="1"/>
  <c r="V44" i="20"/>
  <c r="AF44" i="20" s="1"/>
  <c r="V46" i="11"/>
  <c r="AF46" i="11" s="1"/>
  <c r="T41" i="20"/>
  <c r="AD41" i="20" s="1"/>
  <c r="Z36" i="11"/>
  <c r="AJ36" i="11" s="1"/>
  <c r="AO36" i="11" s="1"/>
  <c r="J45" i="20"/>
  <c r="O45" i="20" s="1"/>
  <c r="I45" i="20"/>
  <c r="N45" i="20" s="1"/>
  <c r="H45" i="20"/>
  <c r="M45" i="20" s="1"/>
  <c r="L45" i="20"/>
  <c r="Q45" i="20" s="1"/>
  <c r="K45" i="20"/>
  <c r="P45" i="20" s="1"/>
  <c r="W45" i="11"/>
  <c r="AG45" i="11" s="1"/>
  <c r="AL45" i="11" s="1"/>
  <c r="K38" i="20"/>
  <c r="P38" i="20" s="1"/>
  <c r="J38" i="20"/>
  <c r="O38" i="20" s="1"/>
  <c r="I38" i="20"/>
  <c r="N38" i="20" s="1"/>
  <c r="L38" i="20"/>
  <c r="Q38" i="20" s="1"/>
  <c r="H38" i="20"/>
  <c r="M38" i="20" s="1"/>
  <c r="L46" i="20"/>
  <c r="Q46" i="20" s="1"/>
  <c r="K46" i="20"/>
  <c r="P46" i="20" s="1"/>
  <c r="J46" i="20"/>
  <c r="O46" i="20" s="1"/>
  <c r="H46" i="20"/>
  <c r="M46" i="20" s="1"/>
  <c r="I46" i="20"/>
  <c r="N46" i="20" s="1"/>
  <c r="Y36" i="11"/>
  <c r="AI36" i="11" s="1"/>
  <c r="AN36" i="11" s="1"/>
  <c r="U41" i="11"/>
  <c r="AE41" i="11" s="1"/>
  <c r="X31" i="11"/>
  <c r="AH31" i="11" s="1"/>
  <c r="AM31" i="11" s="1"/>
  <c r="Z31" i="11"/>
  <c r="AJ31" i="11" s="1"/>
  <c r="AO31" i="11" s="1"/>
  <c r="L39" i="20"/>
  <c r="Q39" i="20" s="1"/>
  <c r="K39" i="20"/>
  <c r="P39" i="20" s="1"/>
  <c r="J39" i="20"/>
  <c r="O39" i="20" s="1"/>
  <c r="I39" i="20"/>
  <c r="N39" i="20" s="1"/>
  <c r="H39" i="20"/>
  <c r="M39" i="20" s="1"/>
  <c r="X43" i="20"/>
  <c r="AH43" i="20" s="1"/>
  <c r="AM43" i="20" s="1"/>
  <c r="T42" i="20"/>
  <c r="AD42" i="20" s="1"/>
  <c r="AA32" i="20"/>
  <c r="AK32" i="20" s="1"/>
  <c r="AP32" i="20" s="1"/>
  <c r="Z32" i="20"/>
  <c r="AJ32" i="20" s="1"/>
  <c r="AO32" i="20" s="1"/>
  <c r="Z45" i="11"/>
  <c r="AJ45" i="11" s="1"/>
  <c r="AO45" i="11" s="1"/>
  <c r="U41" i="20"/>
  <c r="AE41" i="20" s="1"/>
  <c r="K38" i="11" l="1"/>
  <c r="P38" i="11" s="1"/>
  <c r="H38" i="11"/>
  <c r="M38" i="11" s="1"/>
  <c r="I38" i="11"/>
  <c r="N38" i="11" s="1"/>
  <c r="S38" i="11" s="1"/>
  <c r="AC38" i="11" s="1"/>
  <c r="J44" i="11"/>
  <c r="O44" i="11" s="1"/>
  <c r="H44" i="11"/>
  <c r="M44" i="11" s="1"/>
  <c r="K33" i="11"/>
  <c r="P33" i="11" s="1"/>
  <c r="U33" i="11" s="1"/>
  <c r="AE33" i="11" s="1"/>
  <c r="K44" i="11"/>
  <c r="P44" i="11" s="1"/>
  <c r="U44" i="11" s="1"/>
  <c r="AE44" i="11" s="1"/>
  <c r="L33" i="11"/>
  <c r="Q33" i="11" s="1"/>
  <c r="V33" i="11" s="1"/>
  <c r="AF33" i="11" s="1"/>
  <c r="K37" i="11"/>
  <c r="P37" i="11" s="1"/>
  <c r="U37" i="11" s="1"/>
  <c r="AE37" i="11" s="1"/>
  <c r="W32" i="11"/>
  <c r="AG32" i="11" s="1"/>
  <c r="AL32" i="11" s="1"/>
  <c r="D7" i="17" s="1"/>
  <c r="I7" i="17" s="1"/>
  <c r="O7" i="17" s="1"/>
  <c r="Y7" i="17" s="1"/>
  <c r="L37" i="11"/>
  <c r="Q37" i="11" s="1"/>
  <c r="H37" i="11"/>
  <c r="M37" i="11" s="1"/>
  <c r="R37" i="11" s="1"/>
  <c r="AB37" i="11" s="1"/>
  <c r="J37" i="11"/>
  <c r="O37" i="11" s="1"/>
  <c r="T37" i="11" s="1"/>
  <c r="AD37" i="11" s="1"/>
  <c r="P61" i="3"/>
  <c r="M61" i="3"/>
  <c r="N61" i="3"/>
  <c r="L61" i="3"/>
  <c r="I33" i="11"/>
  <c r="N33" i="11" s="1"/>
  <c r="S33" i="11" s="1"/>
  <c r="AC33" i="11" s="1"/>
  <c r="AA32" i="11"/>
  <c r="AK32" i="11" s="1"/>
  <c r="AP32" i="11" s="1"/>
  <c r="H7" i="17" s="1"/>
  <c r="M7" i="17" s="1"/>
  <c r="S7" i="17" s="1"/>
  <c r="Z34" i="11"/>
  <c r="AJ34" i="11" s="1"/>
  <c r="AO34" i="11" s="1"/>
  <c r="G9" i="24" s="1"/>
  <c r="L9" i="24" s="1"/>
  <c r="R9" i="24" s="1"/>
  <c r="H33" i="11"/>
  <c r="M33" i="11" s="1"/>
  <c r="Y34" i="11"/>
  <c r="AI34" i="11" s="1"/>
  <c r="AN34" i="11" s="1"/>
  <c r="F9" i="21" s="1"/>
  <c r="K9" i="21" s="1"/>
  <c r="Q9" i="21" s="1"/>
  <c r="L38" i="11"/>
  <c r="Q38" i="11" s="1"/>
  <c r="X32" i="11"/>
  <c r="AH32" i="11" s="1"/>
  <c r="AM32" i="11" s="1"/>
  <c r="E7" i="27" s="1"/>
  <c r="J7" i="27" s="1"/>
  <c r="P7" i="27" s="1"/>
  <c r="AA33" i="11"/>
  <c r="AK33" i="11" s="1"/>
  <c r="AP33" i="11" s="1"/>
  <c r="H8" i="30" s="1"/>
  <c r="M8" i="30" s="1"/>
  <c r="S8" i="30" s="1"/>
  <c r="X37" i="11"/>
  <c r="AH37" i="11" s="1"/>
  <c r="AM37" i="11" s="1"/>
  <c r="X39" i="11"/>
  <c r="AH39" i="11" s="1"/>
  <c r="AM39" i="11" s="1"/>
  <c r="E14" i="27" s="1"/>
  <c r="J14" i="27" s="1"/>
  <c r="P14" i="27" s="1"/>
  <c r="V39" i="11"/>
  <c r="AF39" i="11" s="1"/>
  <c r="AA39" i="11"/>
  <c r="AK39" i="11" s="1"/>
  <c r="AP39" i="11" s="1"/>
  <c r="R44" i="11"/>
  <c r="AB44" i="11" s="1"/>
  <c r="J43" i="11"/>
  <c r="O43" i="11" s="1"/>
  <c r="I43" i="11"/>
  <c r="N43" i="11" s="1"/>
  <c r="K43" i="11"/>
  <c r="P43" i="11" s="1"/>
  <c r="H43" i="11"/>
  <c r="M43" i="11" s="1"/>
  <c r="L43" i="11"/>
  <c r="Q43" i="11" s="1"/>
  <c r="Z32" i="11"/>
  <c r="AJ32" i="11" s="1"/>
  <c r="AO32" i="11" s="1"/>
  <c r="G7" i="17" s="1"/>
  <c r="L7" i="17" s="1"/>
  <c r="R7" i="17" s="1"/>
  <c r="W34" i="11"/>
  <c r="AG34" i="11" s="1"/>
  <c r="AL34" i="11" s="1"/>
  <c r="D9" i="17" s="1"/>
  <c r="I9" i="17" s="1"/>
  <c r="O9" i="17" s="1"/>
  <c r="Y9" i="17" s="1"/>
  <c r="T38" i="11"/>
  <c r="AD38" i="11" s="1"/>
  <c r="V38" i="11"/>
  <c r="AF38" i="11" s="1"/>
  <c r="K35" i="11"/>
  <c r="P35" i="11" s="1"/>
  <c r="I35" i="11"/>
  <c r="N35" i="11" s="1"/>
  <c r="H35" i="11"/>
  <c r="M35" i="11" s="1"/>
  <c r="L35" i="11"/>
  <c r="Q35" i="11" s="1"/>
  <c r="J35" i="11"/>
  <c r="O35" i="11" s="1"/>
  <c r="V44" i="11"/>
  <c r="AF44" i="11" s="1"/>
  <c r="S44" i="11"/>
  <c r="AC44" i="11" s="1"/>
  <c r="U39" i="11"/>
  <c r="AE39" i="11" s="1"/>
  <c r="T39" i="11"/>
  <c r="AD39" i="11" s="1"/>
  <c r="R39" i="11"/>
  <c r="AB39" i="11" s="1"/>
  <c r="X34" i="11"/>
  <c r="AH34" i="11" s="1"/>
  <c r="AM34" i="11" s="1"/>
  <c r="E9" i="27" s="1"/>
  <c r="J9" i="27" s="1"/>
  <c r="P9" i="27" s="1"/>
  <c r="Y33" i="11"/>
  <c r="AI33" i="11" s="1"/>
  <c r="AN33" i="11" s="1"/>
  <c r="F8" i="27" s="1"/>
  <c r="K8" i="27" s="1"/>
  <c r="Q8" i="27" s="1"/>
  <c r="W37" i="11"/>
  <c r="AG37" i="11" s="1"/>
  <c r="AL37" i="11" s="1"/>
  <c r="D12" i="27" s="1"/>
  <c r="I12" i="27" s="1"/>
  <c r="O12" i="27" s="1"/>
  <c r="Y12" i="27" s="1"/>
  <c r="U38" i="11"/>
  <c r="AE38" i="11" s="1"/>
  <c r="T44" i="11"/>
  <c r="AD44" i="11" s="1"/>
  <c r="R38" i="11"/>
  <c r="AB38" i="11" s="1"/>
  <c r="Z40" i="20"/>
  <c r="AJ40" i="20" s="1"/>
  <c r="AO40" i="20" s="1"/>
  <c r="G33" i="17" s="1"/>
  <c r="L33" i="17" s="1"/>
  <c r="R33" i="17" s="1"/>
  <c r="X33" i="20"/>
  <c r="AH33" i="20" s="1"/>
  <c r="AM33" i="20" s="1"/>
  <c r="X44" i="20"/>
  <c r="AH44" i="20" s="1"/>
  <c r="AM44" i="20" s="1"/>
  <c r="AA40" i="20"/>
  <c r="AK40" i="20" s="1"/>
  <c r="AP40" i="20" s="1"/>
  <c r="H33" i="27" s="1"/>
  <c r="M33" i="27" s="1"/>
  <c r="S33" i="27" s="1"/>
  <c r="E14" i="21"/>
  <c r="J14" i="21" s="1"/>
  <c r="P14" i="21" s="1"/>
  <c r="AA36" i="20"/>
  <c r="AK36" i="20" s="1"/>
  <c r="AP36" i="20" s="1"/>
  <c r="X46" i="11"/>
  <c r="AH46" i="11" s="1"/>
  <c r="AM46" i="11" s="1"/>
  <c r="W46" i="11"/>
  <c r="AG46" i="11" s="1"/>
  <c r="AL46" i="11" s="1"/>
  <c r="Z44" i="20"/>
  <c r="AJ44" i="20" s="1"/>
  <c r="AO44" i="20" s="1"/>
  <c r="Z33" i="20"/>
  <c r="AJ33" i="20" s="1"/>
  <c r="AO33" i="20" s="1"/>
  <c r="AL31" i="11"/>
  <c r="D6" i="30" s="1"/>
  <c r="I6" i="30" s="1"/>
  <c r="O6" i="30" s="1"/>
  <c r="Y6" i="30" s="1"/>
  <c r="Y44" i="20"/>
  <c r="AI44" i="20" s="1"/>
  <c r="AN44" i="20" s="1"/>
  <c r="W33" i="20"/>
  <c r="AG33" i="20" s="1"/>
  <c r="AL33" i="20" s="1"/>
  <c r="Y40" i="11"/>
  <c r="AI40" i="11" s="1"/>
  <c r="AN40" i="11" s="1"/>
  <c r="X42" i="20"/>
  <c r="AH42" i="20" s="1"/>
  <c r="AM42" i="20" s="1"/>
  <c r="W41" i="20"/>
  <c r="AG41" i="20" s="1"/>
  <c r="AL41" i="20" s="1"/>
  <c r="Z41" i="11"/>
  <c r="AJ41" i="11" s="1"/>
  <c r="AO41" i="11" s="1"/>
  <c r="D7" i="22"/>
  <c r="I7" i="22" s="1"/>
  <c r="O7" i="22" s="1"/>
  <c r="Y7" i="22" s="1"/>
  <c r="Z36" i="20"/>
  <c r="AJ36" i="20" s="1"/>
  <c r="AO36" i="20" s="1"/>
  <c r="AA42" i="20"/>
  <c r="AK42" i="20" s="1"/>
  <c r="AP42" i="20" s="1"/>
  <c r="Z42" i="11"/>
  <c r="AJ42" i="11" s="1"/>
  <c r="AO42" i="11" s="1"/>
  <c r="Y36" i="20"/>
  <c r="AI36" i="20" s="1"/>
  <c r="AN36" i="20" s="1"/>
  <c r="Z46" i="11"/>
  <c r="AJ46" i="11" s="1"/>
  <c r="AO46" i="11" s="1"/>
  <c r="X41" i="20"/>
  <c r="AH41" i="20" s="1"/>
  <c r="AM41" i="20" s="1"/>
  <c r="W42" i="20"/>
  <c r="AG42" i="20" s="1"/>
  <c r="AL42" i="20" s="1"/>
  <c r="AA41" i="20"/>
  <c r="AK41" i="20" s="1"/>
  <c r="AP41" i="20" s="1"/>
  <c r="T40" i="20"/>
  <c r="AD40" i="20" s="1"/>
  <c r="Z41" i="20"/>
  <c r="AJ41" i="20" s="1"/>
  <c r="AO41" i="20" s="1"/>
  <c r="X40" i="20"/>
  <c r="AH40" i="20" s="1"/>
  <c r="AM40" i="20" s="1"/>
  <c r="E33" i="27" s="1"/>
  <c r="J33" i="27" s="1"/>
  <c r="P33" i="27" s="1"/>
  <c r="AA41" i="11"/>
  <c r="AK41" i="11" s="1"/>
  <c r="AP41" i="11" s="1"/>
  <c r="R40" i="20"/>
  <c r="AB40" i="20" s="1"/>
  <c r="X36" i="11"/>
  <c r="AH36" i="11" s="1"/>
  <c r="AM36" i="11" s="1"/>
  <c r="E11" i="27" s="1"/>
  <c r="J11" i="27" s="1"/>
  <c r="P11" i="27" s="1"/>
  <c r="H25" i="27"/>
  <c r="M25" i="27" s="1"/>
  <c r="S25" i="27" s="1"/>
  <c r="H25" i="30"/>
  <c r="M25" i="30" s="1"/>
  <c r="S25" i="30" s="1"/>
  <c r="H25" i="24"/>
  <c r="M25" i="24" s="1"/>
  <c r="S25" i="24" s="1"/>
  <c r="H25" i="17"/>
  <c r="M25" i="17" s="1"/>
  <c r="S25" i="17" s="1"/>
  <c r="H25" i="21"/>
  <c r="M25" i="21" s="1"/>
  <c r="S25" i="21" s="1"/>
  <c r="H25" i="22"/>
  <c r="M25" i="22" s="1"/>
  <c r="S25" i="22" s="1"/>
  <c r="D20" i="27"/>
  <c r="I20" i="27" s="1"/>
  <c r="O20" i="27" s="1"/>
  <c r="Y20" i="27" s="1"/>
  <c r="D20" i="30"/>
  <c r="I20" i="30" s="1"/>
  <c r="O20" i="30" s="1"/>
  <c r="Y20" i="30" s="1"/>
  <c r="D20" i="21"/>
  <c r="I20" i="21" s="1"/>
  <c r="O20" i="21" s="1"/>
  <c r="Y20" i="21" s="1"/>
  <c r="D20" i="24"/>
  <c r="I20" i="24" s="1"/>
  <c r="O20" i="24" s="1"/>
  <c r="Y20" i="24" s="1"/>
  <c r="D20" i="17"/>
  <c r="I20" i="17" s="1"/>
  <c r="O20" i="17" s="1"/>
  <c r="Y20" i="17" s="1"/>
  <c r="D20" i="22"/>
  <c r="I20" i="22" s="1"/>
  <c r="O20" i="22" s="1"/>
  <c r="Y20" i="22" s="1"/>
  <c r="D36" i="30"/>
  <c r="I36" i="30" s="1"/>
  <c r="O36" i="30" s="1"/>
  <c r="D36" i="24"/>
  <c r="I36" i="24" s="1"/>
  <c r="O36" i="24" s="1"/>
  <c r="D36" i="27"/>
  <c r="I36" i="27" s="1"/>
  <c r="O36" i="27" s="1"/>
  <c r="D36" i="17"/>
  <c r="I36" i="17" s="1"/>
  <c r="O36" i="17" s="1"/>
  <c r="D36" i="21"/>
  <c r="I36" i="21" s="1"/>
  <c r="O36" i="21" s="1"/>
  <c r="D36" i="22"/>
  <c r="I36" i="22" s="1"/>
  <c r="O36" i="22" s="1"/>
  <c r="G20" i="27"/>
  <c r="L20" i="27" s="1"/>
  <c r="R20" i="27" s="1"/>
  <c r="G20" i="30"/>
  <c r="L20" i="30" s="1"/>
  <c r="R20" i="30" s="1"/>
  <c r="G20" i="24"/>
  <c r="L20" i="24" s="1"/>
  <c r="R20" i="24" s="1"/>
  <c r="G20" i="17"/>
  <c r="L20" i="17" s="1"/>
  <c r="R20" i="17" s="1"/>
  <c r="G20" i="22"/>
  <c r="L20" i="22" s="1"/>
  <c r="R20" i="22" s="1"/>
  <c r="G20" i="21"/>
  <c r="L20" i="21" s="1"/>
  <c r="R20" i="21" s="1"/>
  <c r="F11" i="24"/>
  <c r="K11" i="24" s="1"/>
  <c r="Q11" i="24" s="1"/>
  <c r="F11" i="17"/>
  <c r="K11" i="17" s="1"/>
  <c r="Q11" i="17" s="1"/>
  <c r="F11" i="30"/>
  <c r="K11" i="30" s="1"/>
  <c r="Q11" i="30" s="1"/>
  <c r="F11" i="27"/>
  <c r="K11" i="27" s="1"/>
  <c r="Q11" i="27" s="1"/>
  <c r="F11" i="21"/>
  <c r="K11" i="21" s="1"/>
  <c r="Q11" i="21" s="1"/>
  <c r="F11" i="22"/>
  <c r="K11" i="22" s="1"/>
  <c r="Q11" i="22" s="1"/>
  <c r="G25" i="27"/>
  <c r="L25" i="27" s="1"/>
  <c r="R25" i="27" s="1"/>
  <c r="G25" i="30"/>
  <c r="L25" i="30" s="1"/>
  <c r="R25" i="30" s="1"/>
  <c r="G25" i="24"/>
  <c r="L25" i="24" s="1"/>
  <c r="R25" i="24" s="1"/>
  <c r="G25" i="17"/>
  <c r="L25" i="17" s="1"/>
  <c r="R25" i="17" s="1"/>
  <c r="G25" i="22"/>
  <c r="L25" i="22" s="1"/>
  <c r="R25" i="22" s="1"/>
  <c r="G25" i="21"/>
  <c r="L25" i="21" s="1"/>
  <c r="R25" i="21" s="1"/>
  <c r="G6" i="27"/>
  <c r="L6" i="27" s="1"/>
  <c r="R6" i="27" s="1"/>
  <c r="G6" i="30"/>
  <c r="L6" i="30" s="1"/>
  <c r="R6" i="30" s="1"/>
  <c r="G6" i="24"/>
  <c r="L6" i="24" s="1"/>
  <c r="R6" i="24" s="1"/>
  <c r="G6" i="17"/>
  <c r="L6" i="17" s="1"/>
  <c r="R6" i="17" s="1"/>
  <c r="G6" i="22"/>
  <c r="L6" i="22" s="1"/>
  <c r="R6" i="22" s="1"/>
  <c r="G6" i="21"/>
  <c r="L6" i="21" s="1"/>
  <c r="R6" i="21" s="1"/>
  <c r="G11" i="27"/>
  <c r="L11" i="27" s="1"/>
  <c r="R11" i="27" s="1"/>
  <c r="G11" i="30"/>
  <c r="L11" i="30" s="1"/>
  <c r="R11" i="30" s="1"/>
  <c r="G11" i="24"/>
  <c r="L11" i="24" s="1"/>
  <c r="R11" i="24" s="1"/>
  <c r="G11" i="17"/>
  <c r="L11" i="17" s="1"/>
  <c r="R11" i="17" s="1"/>
  <c r="G11" i="22"/>
  <c r="L11" i="22" s="1"/>
  <c r="R11" i="22" s="1"/>
  <c r="G11" i="21"/>
  <c r="L11" i="21" s="1"/>
  <c r="R11" i="21" s="1"/>
  <c r="H9" i="27"/>
  <c r="M9" i="27" s="1"/>
  <c r="S9" i="27" s="1"/>
  <c r="H9" i="24"/>
  <c r="M9" i="24" s="1"/>
  <c r="S9" i="24" s="1"/>
  <c r="H9" i="30"/>
  <c r="M9" i="30" s="1"/>
  <c r="S9" i="30" s="1"/>
  <c r="H9" i="17"/>
  <c r="M9" i="17" s="1"/>
  <c r="S9" i="17" s="1"/>
  <c r="H9" i="22"/>
  <c r="M9" i="22" s="1"/>
  <c r="S9" i="22" s="1"/>
  <c r="H9" i="21"/>
  <c r="M9" i="21" s="1"/>
  <c r="S9" i="21" s="1"/>
  <c r="E36" i="27"/>
  <c r="J36" i="27" s="1"/>
  <c r="P36" i="27" s="1"/>
  <c r="E36" i="24"/>
  <c r="J36" i="24" s="1"/>
  <c r="P36" i="24" s="1"/>
  <c r="E36" i="30"/>
  <c r="J36" i="30" s="1"/>
  <c r="P36" i="30" s="1"/>
  <c r="E36" i="17"/>
  <c r="J36" i="17" s="1"/>
  <c r="P36" i="17" s="1"/>
  <c r="E36" i="22"/>
  <c r="J36" i="22" s="1"/>
  <c r="P36" i="22" s="1"/>
  <c r="E36" i="21"/>
  <c r="J36" i="21" s="1"/>
  <c r="P36" i="21" s="1"/>
  <c r="E6" i="27"/>
  <c r="J6" i="27" s="1"/>
  <c r="P6" i="27" s="1"/>
  <c r="E6" i="30"/>
  <c r="J6" i="30" s="1"/>
  <c r="P6" i="30" s="1"/>
  <c r="E6" i="17"/>
  <c r="J6" i="17" s="1"/>
  <c r="P6" i="17" s="1"/>
  <c r="E6" i="24"/>
  <c r="J6" i="24" s="1"/>
  <c r="P6" i="24" s="1"/>
  <c r="E6" i="21"/>
  <c r="J6" i="21" s="1"/>
  <c r="P6" i="21" s="1"/>
  <c r="E6" i="22"/>
  <c r="J6" i="22" s="1"/>
  <c r="P6" i="22" s="1"/>
  <c r="T46" i="20"/>
  <c r="AD46" i="20" s="1"/>
  <c r="V34" i="20"/>
  <c r="AF34" i="20" s="1"/>
  <c r="U34" i="20"/>
  <c r="AE34" i="20" s="1"/>
  <c r="H6" i="27"/>
  <c r="M6" i="27" s="1"/>
  <c r="S6" i="27" s="1"/>
  <c r="H6" i="24"/>
  <c r="M6" i="24" s="1"/>
  <c r="S6" i="24" s="1"/>
  <c r="H6" i="22"/>
  <c r="M6" i="22" s="1"/>
  <c r="S6" i="22" s="1"/>
  <c r="H6" i="21"/>
  <c r="M6" i="21" s="1"/>
  <c r="S6" i="21" s="1"/>
  <c r="H6" i="30"/>
  <c r="M6" i="30" s="1"/>
  <c r="S6" i="30" s="1"/>
  <c r="H6" i="17"/>
  <c r="M6" i="17" s="1"/>
  <c r="S6" i="17" s="1"/>
  <c r="D11" i="27"/>
  <c r="I11" i="27" s="1"/>
  <c r="O11" i="27" s="1"/>
  <c r="Y11" i="27" s="1"/>
  <c r="D11" i="24"/>
  <c r="I11" i="24" s="1"/>
  <c r="O11" i="24" s="1"/>
  <c r="Y11" i="24" s="1"/>
  <c r="D11" i="30"/>
  <c r="I11" i="30" s="1"/>
  <c r="O11" i="30" s="1"/>
  <c r="Y11" i="30" s="1"/>
  <c r="D11" i="17"/>
  <c r="I11" i="17" s="1"/>
  <c r="O11" i="17" s="1"/>
  <c r="Y11" i="17" s="1"/>
  <c r="D11" i="22"/>
  <c r="I11" i="22" s="1"/>
  <c r="O11" i="22" s="1"/>
  <c r="Y11" i="22" s="1"/>
  <c r="D11" i="21"/>
  <c r="I11" i="21" s="1"/>
  <c r="O11" i="21" s="1"/>
  <c r="Y11" i="21" s="1"/>
  <c r="R34" i="20"/>
  <c r="AB34" i="20" s="1"/>
  <c r="X41" i="11"/>
  <c r="AH41" i="11" s="1"/>
  <c r="AM41" i="11" s="1"/>
  <c r="V45" i="20"/>
  <c r="AF45" i="20" s="1"/>
  <c r="S34" i="20"/>
  <c r="AC34" i="20" s="1"/>
  <c r="F24" i="27"/>
  <c r="K24" i="27" s="1"/>
  <c r="Q24" i="27" s="1"/>
  <c r="F24" i="30"/>
  <c r="K24" i="30" s="1"/>
  <c r="Q24" i="30" s="1"/>
  <c r="F24" i="24"/>
  <c r="K24" i="24" s="1"/>
  <c r="Q24" i="24" s="1"/>
  <c r="F24" i="17"/>
  <c r="K24" i="17" s="1"/>
  <c r="Q24" i="17" s="1"/>
  <c r="F24" i="21"/>
  <c r="K24" i="21" s="1"/>
  <c r="Q24" i="21" s="1"/>
  <c r="F24" i="22"/>
  <c r="K24" i="22" s="1"/>
  <c r="Q24" i="22" s="1"/>
  <c r="Z40" i="11"/>
  <c r="AJ40" i="11" s="1"/>
  <c r="AO40" i="11" s="1"/>
  <c r="V37" i="20"/>
  <c r="AF37" i="20" s="1"/>
  <c r="E20" i="27"/>
  <c r="J20" i="27" s="1"/>
  <c r="P20" i="27" s="1"/>
  <c r="E20" i="30"/>
  <c r="J20" i="30" s="1"/>
  <c r="P20" i="30" s="1"/>
  <c r="E20" i="24"/>
  <c r="J20" i="24" s="1"/>
  <c r="P20" i="24" s="1"/>
  <c r="E20" i="17"/>
  <c r="J20" i="17" s="1"/>
  <c r="P20" i="17" s="1"/>
  <c r="E20" i="22"/>
  <c r="J20" i="22" s="1"/>
  <c r="P20" i="22" s="1"/>
  <c r="E20" i="21"/>
  <c r="J20" i="21" s="1"/>
  <c r="P20" i="21" s="1"/>
  <c r="V39" i="20"/>
  <c r="AF39" i="20" s="1"/>
  <c r="H7" i="27"/>
  <c r="M7" i="27" s="1"/>
  <c r="S7" i="27" s="1"/>
  <c r="H7" i="30"/>
  <c r="M7" i="30" s="1"/>
  <c r="S7" i="30" s="1"/>
  <c r="H7" i="24"/>
  <c r="M7" i="24" s="1"/>
  <c r="S7" i="24" s="1"/>
  <c r="H7" i="21"/>
  <c r="M7" i="21" s="1"/>
  <c r="S7" i="21" s="1"/>
  <c r="H36" i="27"/>
  <c r="M36" i="27" s="1"/>
  <c r="S36" i="27" s="1"/>
  <c r="H36" i="17"/>
  <c r="M36" i="17" s="1"/>
  <c r="S36" i="17" s="1"/>
  <c r="H36" i="30"/>
  <c r="M36" i="30" s="1"/>
  <c r="S36" i="30" s="1"/>
  <c r="H36" i="24"/>
  <c r="M36" i="24" s="1"/>
  <c r="S36" i="24" s="1"/>
  <c r="H36" i="22"/>
  <c r="M36" i="22" s="1"/>
  <c r="S36" i="22" s="1"/>
  <c r="H36" i="21"/>
  <c r="M36" i="21" s="1"/>
  <c r="S36" i="21" s="1"/>
  <c r="V46" i="20"/>
  <c r="AF46" i="20" s="1"/>
  <c r="T35" i="20"/>
  <c r="AD35" i="20" s="1"/>
  <c r="E7" i="21"/>
  <c r="J7" i="21" s="1"/>
  <c r="P7" i="21" s="1"/>
  <c r="R38" i="20"/>
  <c r="AB38" i="20" s="1"/>
  <c r="V35" i="20"/>
  <c r="AF35" i="20" s="1"/>
  <c r="G36" i="30"/>
  <c r="L36" i="30" s="1"/>
  <c r="R36" i="30" s="1"/>
  <c r="G36" i="27"/>
  <c r="L36" i="27" s="1"/>
  <c r="R36" i="27" s="1"/>
  <c r="G36" i="24"/>
  <c r="L36" i="24" s="1"/>
  <c r="R36" i="24" s="1"/>
  <c r="G36" i="17"/>
  <c r="L36" i="17" s="1"/>
  <c r="R36" i="17" s="1"/>
  <c r="G36" i="21"/>
  <c r="L36" i="21" s="1"/>
  <c r="R36" i="21" s="1"/>
  <c r="G36" i="22"/>
  <c r="L36" i="22" s="1"/>
  <c r="R36" i="22" s="1"/>
  <c r="V38" i="20"/>
  <c r="AF38" i="20" s="1"/>
  <c r="R45" i="20"/>
  <c r="AB45" i="20" s="1"/>
  <c r="U35" i="20"/>
  <c r="AE35" i="20" s="1"/>
  <c r="T34" i="20"/>
  <c r="AD34" i="20" s="1"/>
  <c r="W42" i="11"/>
  <c r="AG42" i="11" s="1"/>
  <c r="AL42" i="11" s="1"/>
  <c r="X36" i="20"/>
  <c r="AH36" i="20" s="1"/>
  <c r="AM36" i="20" s="1"/>
  <c r="Y41" i="11"/>
  <c r="AI41" i="11" s="1"/>
  <c r="AN41" i="11" s="1"/>
  <c r="E12" i="27"/>
  <c r="J12" i="27" s="1"/>
  <c r="P12" i="27" s="1"/>
  <c r="E12" i="30"/>
  <c r="J12" i="30" s="1"/>
  <c r="P12" i="30" s="1"/>
  <c r="E12" i="17"/>
  <c r="J12" i="17" s="1"/>
  <c r="P12" i="17" s="1"/>
  <c r="E12" i="24"/>
  <c r="J12" i="24" s="1"/>
  <c r="P12" i="24" s="1"/>
  <c r="E12" i="21"/>
  <c r="J12" i="21" s="1"/>
  <c r="P12" i="21" s="1"/>
  <c r="E12" i="22"/>
  <c r="J12" i="22" s="1"/>
  <c r="P12" i="22" s="1"/>
  <c r="R37" i="20"/>
  <c r="AB37" i="20" s="1"/>
  <c r="X40" i="11"/>
  <c r="AH40" i="11" s="1"/>
  <c r="AM40" i="11" s="1"/>
  <c r="H11" i="27"/>
  <c r="M11" i="27" s="1"/>
  <c r="S11" i="27" s="1"/>
  <c r="H11" i="24"/>
  <c r="M11" i="24" s="1"/>
  <c r="S11" i="24" s="1"/>
  <c r="H11" i="30"/>
  <c r="M11" i="30" s="1"/>
  <c r="S11" i="30" s="1"/>
  <c r="H11" i="17"/>
  <c r="M11" i="17" s="1"/>
  <c r="S11" i="17" s="1"/>
  <c r="H11" i="22"/>
  <c r="M11" i="22" s="1"/>
  <c r="S11" i="22" s="1"/>
  <c r="H11" i="21"/>
  <c r="M11" i="21" s="1"/>
  <c r="S11" i="21" s="1"/>
  <c r="W41" i="11"/>
  <c r="AG41" i="11" s="1"/>
  <c r="AL41" i="11" s="1"/>
  <c r="F9" i="24"/>
  <c r="K9" i="24" s="1"/>
  <c r="Q9" i="24" s="1"/>
  <c r="U39" i="20"/>
  <c r="AE39" i="20" s="1"/>
  <c r="F20" i="27"/>
  <c r="K20" i="27" s="1"/>
  <c r="Q20" i="27" s="1"/>
  <c r="F20" i="30"/>
  <c r="K20" i="30" s="1"/>
  <c r="Q20" i="30" s="1"/>
  <c r="F20" i="24"/>
  <c r="K20" i="24" s="1"/>
  <c r="Q20" i="24" s="1"/>
  <c r="F20" i="22"/>
  <c r="K20" i="22" s="1"/>
  <c r="Q20" i="22" s="1"/>
  <c r="F20" i="21"/>
  <c r="K20" i="21" s="1"/>
  <c r="Q20" i="21" s="1"/>
  <c r="F20" i="17"/>
  <c r="K20" i="17" s="1"/>
  <c r="Q20" i="17" s="1"/>
  <c r="R35" i="20"/>
  <c r="AB35" i="20" s="1"/>
  <c r="S35" i="20"/>
  <c r="AC35" i="20" s="1"/>
  <c r="F7" i="27"/>
  <c r="K7" i="27" s="1"/>
  <c r="Q7" i="27" s="1"/>
  <c r="F7" i="30"/>
  <c r="K7" i="30" s="1"/>
  <c r="Q7" i="30" s="1"/>
  <c r="F7" i="24"/>
  <c r="K7" i="24" s="1"/>
  <c r="Q7" i="24" s="1"/>
  <c r="F7" i="17"/>
  <c r="K7" i="17" s="1"/>
  <c r="Q7" i="17" s="1"/>
  <c r="F7" i="22"/>
  <c r="K7" i="22" s="1"/>
  <c r="Q7" i="22" s="1"/>
  <c r="F7" i="21"/>
  <c r="K7" i="21" s="1"/>
  <c r="Q7" i="21" s="1"/>
  <c r="Z42" i="20"/>
  <c r="AJ42" i="20" s="1"/>
  <c r="AO42" i="20" s="1"/>
  <c r="AA33" i="20"/>
  <c r="AK33" i="20" s="1"/>
  <c r="AP33" i="20" s="1"/>
  <c r="R39" i="20"/>
  <c r="AB39" i="20" s="1"/>
  <c r="S38" i="20"/>
  <c r="AC38" i="20" s="1"/>
  <c r="H20" i="27"/>
  <c r="M20" i="27" s="1"/>
  <c r="S20" i="27" s="1"/>
  <c r="H20" i="30"/>
  <c r="M20" i="30" s="1"/>
  <c r="S20" i="30" s="1"/>
  <c r="H20" i="24"/>
  <c r="M20" i="24" s="1"/>
  <c r="S20" i="24" s="1"/>
  <c r="H20" i="17"/>
  <c r="M20" i="17" s="1"/>
  <c r="S20" i="17" s="1"/>
  <c r="H20" i="21"/>
  <c r="M20" i="21" s="1"/>
  <c r="S20" i="21" s="1"/>
  <c r="H20" i="22"/>
  <c r="M20" i="22" s="1"/>
  <c r="S20" i="22" s="1"/>
  <c r="S37" i="20"/>
  <c r="AC37" i="20" s="1"/>
  <c r="F36" i="27"/>
  <c r="K36" i="27" s="1"/>
  <c r="Q36" i="27" s="1"/>
  <c r="F36" i="24"/>
  <c r="K36" i="24" s="1"/>
  <c r="Q36" i="24" s="1"/>
  <c r="F36" i="17"/>
  <c r="K36" i="17" s="1"/>
  <c r="Q36" i="17" s="1"/>
  <c r="F36" i="30"/>
  <c r="K36" i="30" s="1"/>
  <c r="Q36" i="30" s="1"/>
  <c r="F36" i="22"/>
  <c r="K36" i="22" s="1"/>
  <c r="Q36" i="22" s="1"/>
  <c r="F36" i="21"/>
  <c r="K36" i="21" s="1"/>
  <c r="Q36" i="21" s="1"/>
  <c r="S39" i="20"/>
  <c r="AC39" i="20" s="1"/>
  <c r="S46" i="20"/>
  <c r="AC46" i="20" s="1"/>
  <c r="T38" i="20"/>
  <c r="AD38" i="20" s="1"/>
  <c r="T45" i="20"/>
  <c r="AD45" i="20" s="1"/>
  <c r="Y41" i="20"/>
  <c r="AI41" i="20" s="1"/>
  <c r="AN41" i="20" s="1"/>
  <c r="W36" i="20"/>
  <c r="AG36" i="20" s="1"/>
  <c r="AL36" i="20" s="1"/>
  <c r="T37" i="20"/>
  <c r="AD37" i="20" s="1"/>
  <c r="Y33" i="20"/>
  <c r="AI33" i="20" s="1"/>
  <c r="AN33" i="20" s="1"/>
  <c r="D25" i="27"/>
  <c r="I25" i="27" s="1"/>
  <c r="O25" i="27" s="1"/>
  <c r="D25" i="30"/>
  <c r="I25" i="30" s="1"/>
  <c r="O25" i="30" s="1"/>
  <c r="D25" i="17"/>
  <c r="I25" i="17" s="1"/>
  <c r="O25" i="17" s="1"/>
  <c r="D25" i="21"/>
  <c r="I25" i="21" s="1"/>
  <c r="O25" i="21" s="1"/>
  <c r="D25" i="24"/>
  <c r="I25" i="24" s="1"/>
  <c r="O25" i="24" s="1"/>
  <c r="D25" i="22"/>
  <c r="I25" i="22" s="1"/>
  <c r="O25" i="22" s="1"/>
  <c r="G24" i="27"/>
  <c r="L24" i="27" s="1"/>
  <c r="R24" i="27" s="1"/>
  <c r="G24" i="30"/>
  <c r="L24" i="30" s="1"/>
  <c r="R24" i="30" s="1"/>
  <c r="G24" i="24"/>
  <c r="L24" i="24" s="1"/>
  <c r="R24" i="24" s="1"/>
  <c r="G24" i="17"/>
  <c r="L24" i="17" s="1"/>
  <c r="R24" i="17" s="1"/>
  <c r="G24" i="22"/>
  <c r="L24" i="22" s="1"/>
  <c r="R24" i="22" s="1"/>
  <c r="G24" i="21"/>
  <c r="L24" i="21" s="1"/>
  <c r="R24" i="21" s="1"/>
  <c r="U46" i="20"/>
  <c r="AE46" i="20" s="1"/>
  <c r="G9" i="17"/>
  <c r="L9" i="17" s="1"/>
  <c r="R9" i="17" s="1"/>
  <c r="F25" i="27"/>
  <c r="K25" i="27" s="1"/>
  <c r="Q25" i="27" s="1"/>
  <c r="F25" i="30"/>
  <c r="K25" i="30" s="1"/>
  <c r="Q25" i="30" s="1"/>
  <c r="F25" i="24"/>
  <c r="K25" i="24" s="1"/>
  <c r="Q25" i="24" s="1"/>
  <c r="F25" i="22"/>
  <c r="K25" i="22" s="1"/>
  <c r="Q25" i="22" s="1"/>
  <c r="F25" i="21"/>
  <c r="K25" i="21" s="1"/>
  <c r="Q25" i="21" s="1"/>
  <c r="F25" i="17"/>
  <c r="K25" i="17" s="1"/>
  <c r="Q25" i="17" s="1"/>
  <c r="E24" i="30"/>
  <c r="J24" i="30" s="1"/>
  <c r="P24" i="30" s="1"/>
  <c r="E24" i="27"/>
  <c r="J24" i="27" s="1"/>
  <c r="P24" i="27" s="1"/>
  <c r="E24" i="17"/>
  <c r="J24" i="17" s="1"/>
  <c r="P24" i="17" s="1"/>
  <c r="E24" i="22"/>
  <c r="J24" i="22" s="1"/>
  <c r="P24" i="22" s="1"/>
  <c r="E24" i="21"/>
  <c r="J24" i="21" s="1"/>
  <c r="P24" i="21" s="1"/>
  <c r="E24" i="24"/>
  <c r="J24" i="24" s="1"/>
  <c r="P24" i="24" s="1"/>
  <c r="U45" i="20"/>
  <c r="AE45" i="20" s="1"/>
  <c r="Y42" i="11"/>
  <c r="AI42" i="11" s="1"/>
  <c r="AN42" i="11" s="1"/>
  <c r="W40" i="11"/>
  <c r="AG40" i="11" s="1"/>
  <c r="AL40" i="11" s="1"/>
  <c r="AA40" i="11"/>
  <c r="AK40" i="11" s="1"/>
  <c r="AP40" i="11" s="1"/>
  <c r="H24" i="27"/>
  <c r="M24" i="27" s="1"/>
  <c r="S24" i="27" s="1"/>
  <c r="H24" i="30"/>
  <c r="M24" i="30" s="1"/>
  <c r="S24" i="30" s="1"/>
  <c r="H24" i="24"/>
  <c r="M24" i="24" s="1"/>
  <c r="S24" i="24" s="1"/>
  <c r="H24" i="17"/>
  <c r="M24" i="17" s="1"/>
  <c r="S24" i="17" s="1"/>
  <c r="H24" i="22"/>
  <c r="M24" i="22" s="1"/>
  <c r="S24" i="22" s="1"/>
  <c r="H24" i="21"/>
  <c r="M24" i="21" s="1"/>
  <c r="S24" i="21" s="1"/>
  <c r="S45" i="20"/>
  <c r="AC45" i="20" s="1"/>
  <c r="F6" i="27"/>
  <c r="K6" i="27" s="1"/>
  <c r="Q6" i="27" s="1"/>
  <c r="F6" i="30"/>
  <c r="K6" i="30" s="1"/>
  <c r="Q6" i="30" s="1"/>
  <c r="F6" i="22"/>
  <c r="K6" i="22" s="1"/>
  <c r="Q6" i="22" s="1"/>
  <c r="F6" i="24"/>
  <c r="K6" i="24" s="1"/>
  <c r="Q6" i="24" s="1"/>
  <c r="F6" i="17"/>
  <c r="K6" i="17" s="1"/>
  <c r="Q6" i="17" s="1"/>
  <c r="F6" i="21"/>
  <c r="K6" i="21" s="1"/>
  <c r="Q6" i="21" s="1"/>
  <c r="E25" i="27"/>
  <c r="J25" i="27" s="1"/>
  <c r="P25" i="27" s="1"/>
  <c r="E25" i="30"/>
  <c r="J25" i="30" s="1"/>
  <c r="P25" i="30" s="1"/>
  <c r="E25" i="24"/>
  <c r="J25" i="24" s="1"/>
  <c r="P25" i="24" s="1"/>
  <c r="E25" i="22"/>
  <c r="J25" i="22" s="1"/>
  <c r="P25" i="22" s="1"/>
  <c r="E25" i="21"/>
  <c r="J25" i="21" s="1"/>
  <c r="P25" i="21" s="1"/>
  <c r="E25" i="17"/>
  <c r="J25" i="17" s="1"/>
  <c r="P25" i="17" s="1"/>
  <c r="D24" i="27"/>
  <c r="I24" i="27" s="1"/>
  <c r="O24" i="27" s="1"/>
  <c r="D24" i="30"/>
  <c r="I24" i="30" s="1"/>
  <c r="O24" i="30" s="1"/>
  <c r="D24" i="24"/>
  <c r="I24" i="24" s="1"/>
  <c r="O24" i="24" s="1"/>
  <c r="D24" i="17"/>
  <c r="I24" i="17" s="1"/>
  <c r="O24" i="17" s="1"/>
  <c r="D24" i="22"/>
  <c r="I24" i="22" s="1"/>
  <c r="O24" i="22" s="1"/>
  <c r="D24" i="21"/>
  <c r="I24" i="21" s="1"/>
  <c r="O24" i="21" s="1"/>
  <c r="Y42" i="20"/>
  <c r="AI42" i="20" s="1"/>
  <c r="AN42" i="20" s="1"/>
  <c r="T39" i="20"/>
  <c r="AD39" i="20" s="1"/>
  <c r="R46" i="20"/>
  <c r="AB46" i="20" s="1"/>
  <c r="U38" i="20"/>
  <c r="AE38" i="20" s="1"/>
  <c r="AA46" i="11"/>
  <c r="AK46" i="11" s="1"/>
  <c r="AP46" i="11" s="1"/>
  <c r="AA44" i="20"/>
  <c r="AK44" i="20" s="1"/>
  <c r="AP44" i="20" s="1"/>
  <c r="X42" i="11"/>
  <c r="AH42" i="11" s="1"/>
  <c r="AM42" i="11" s="1"/>
  <c r="W44" i="20"/>
  <c r="AG44" i="20" s="1"/>
  <c r="AL44" i="20" s="1"/>
  <c r="AA42" i="11"/>
  <c r="AK42" i="11" s="1"/>
  <c r="AP42" i="11" s="1"/>
  <c r="Y46" i="11"/>
  <c r="AI46" i="11" s="1"/>
  <c r="AN46" i="11" s="1"/>
  <c r="U37" i="20"/>
  <c r="AE37" i="20" s="1"/>
  <c r="E14" i="17" l="1"/>
  <c r="J14" i="17" s="1"/>
  <c r="P14" i="17" s="1"/>
  <c r="Y37" i="11"/>
  <c r="AI37" i="11" s="1"/>
  <c r="AN37" i="11" s="1"/>
  <c r="F12" i="24" s="1"/>
  <c r="K12" i="24" s="1"/>
  <c r="Q12" i="24" s="1"/>
  <c r="D9" i="30"/>
  <c r="I9" i="30" s="1"/>
  <c r="O9" i="30" s="1"/>
  <c r="Y9" i="30" s="1"/>
  <c r="Z33" i="11"/>
  <c r="AJ33" i="11" s="1"/>
  <c r="AO33" i="11" s="1"/>
  <c r="G8" i="17" s="1"/>
  <c r="L8" i="17" s="1"/>
  <c r="R8" i="17" s="1"/>
  <c r="D7" i="30"/>
  <c r="I7" i="30" s="1"/>
  <c r="O7" i="30" s="1"/>
  <c r="Y7" i="30" s="1"/>
  <c r="E14" i="24"/>
  <c r="J14" i="24" s="1"/>
  <c r="P14" i="24" s="1"/>
  <c r="E7" i="17"/>
  <c r="J7" i="17" s="1"/>
  <c r="P7" i="17" s="1"/>
  <c r="U25" i="17" s="1"/>
  <c r="E7" i="24"/>
  <c r="J7" i="24" s="1"/>
  <c r="P7" i="24" s="1"/>
  <c r="G8" i="27"/>
  <c r="L8" i="27" s="1"/>
  <c r="R8" i="27" s="1"/>
  <c r="D7" i="27"/>
  <c r="I7" i="27" s="1"/>
  <c r="O7" i="27" s="1"/>
  <c r="Y7" i="27" s="1"/>
  <c r="D7" i="24"/>
  <c r="I7" i="24" s="1"/>
  <c r="O7" i="24" s="1"/>
  <c r="Y7" i="24" s="1"/>
  <c r="E7" i="30"/>
  <c r="J7" i="30" s="1"/>
  <c r="P7" i="30" s="1"/>
  <c r="Z7" i="30" s="1"/>
  <c r="D7" i="21"/>
  <c r="I7" i="21" s="1"/>
  <c r="O7" i="21" s="1"/>
  <c r="Y7" i="21" s="1"/>
  <c r="H8" i="17"/>
  <c r="M8" i="17" s="1"/>
  <c r="S8" i="17" s="1"/>
  <c r="H8" i="22"/>
  <c r="M8" i="22" s="1"/>
  <c r="S8" i="22" s="1"/>
  <c r="H8" i="27"/>
  <c r="M8" i="27" s="1"/>
  <c r="S8" i="27" s="1"/>
  <c r="G8" i="21"/>
  <c r="L8" i="21" s="1"/>
  <c r="R8" i="21" s="1"/>
  <c r="E14" i="22"/>
  <c r="J14" i="22" s="1"/>
  <c r="P14" i="22" s="1"/>
  <c r="Z37" i="11"/>
  <c r="AJ37" i="11" s="1"/>
  <c r="AO37" i="11" s="1"/>
  <c r="E9" i="24"/>
  <c r="J9" i="24" s="1"/>
  <c r="P9" i="24" s="1"/>
  <c r="V37" i="11"/>
  <c r="AF37" i="11" s="1"/>
  <c r="F8" i="17"/>
  <c r="K8" i="17" s="1"/>
  <c r="Q8" i="17" s="1"/>
  <c r="F8" i="24"/>
  <c r="K8" i="24" s="1"/>
  <c r="Q8" i="24" s="1"/>
  <c r="F8" i="30"/>
  <c r="K8" i="30" s="1"/>
  <c r="Q8" i="30" s="1"/>
  <c r="X44" i="11"/>
  <c r="AH44" i="11" s="1"/>
  <c r="AM44" i="11" s="1"/>
  <c r="E19" i="21" s="1"/>
  <c r="J19" i="21" s="1"/>
  <c r="P19" i="21" s="1"/>
  <c r="H8" i="21"/>
  <c r="M8" i="21" s="1"/>
  <c r="S8" i="21" s="1"/>
  <c r="H8" i="24"/>
  <c r="M8" i="24" s="1"/>
  <c r="S8" i="24" s="1"/>
  <c r="G8" i="24"/>
  <c r="L8" i="24" s="1"/>
  <c r="R8" i="24" s="1"/>
  <c r="E9" i="22"/>
  <c r="J9" i="22" s="1"/>
  <c r="P9" i="22" s="1"/>
  <c r="P62" i="3"/>
  <c r="L62" i="3"/>
  <c r="M62" i="3"/>
  <c r="N62" i="3"/>
  <c r="E9" i="30"/>
  <c r="J9" i="30" s="1"/>
  <c r="P9" i="30" s="1"/>
  <c r="Z9" i="30" s="1"/>
  <c r="F12" i="22"/>
  <c r="K12" i="22" s="1"/>
  <c r="Q12" i="22" s="1"/>
  <c r="F12" i="17"/>
  <c r="K12" i="17" s="1"/>
  <c r="Q12" i="17" s="1"/>
  <c r="E9" i="17"/>
  <c r="J9" i="17" s="1"/>
  <c r="P9" i="17" s="1"/>
  <c r="Z9" i="17" s="1"/>
  <c r="F12" i="30"/>
  <c r="K12" i="30" s="1"/>
  <c r="Q12" i="30" s="1"/>
  <c r="AA38" i="11"/>
  <c r="AK38" i="11" s="1"/>
  <c r="AP38" i="11" s="1"/>
  <c r="H13" i="30" s="1"/>
  <c r="M13" i="30" s="1"/>
  <c r="S13" i="30" s="1"/>
  <c r="F12" i="21"/>
  <c r="K12" i="21" s="1"/>
  <c r="Q12" i="21" s="1"/>
  <c r="F12" i="27"/>
  <c r="K12" i="27" s="1"/>
  <c r="Q12" i="27" s="1"/>
  <c r="AA12" i="27" s="1"/>
  <c r="R33" i="11"/>
  <c r="AB33" i="11" s="1"/>
  <c r="G9" i="30"/>
  <c r="L9" i="30" s="1"/>
  <c r="R9" i="30" s="1"/>
  <c r="F9" i="22"/>
  <c r="K9" i="22" s="1"/>
  <c r="Q9" i="22" s="1"/>
  <c r="E14" i="30"/>
  <c r="J14" i="30" s="1"/>
  <c r="P14" i="30" s="1"/>
  <c r="G9" i="27"/>
  <c r="L9" i="27" s="1"/>
  <c r="R9" i="27" s="1"/>
  <c r="F9" i="17"/>
  <c r="K9" i="17" s="1"/>
  <c r="Q9" i="17" s="1"/>
  <c r="E9" i="21"/>
  <c r="J9" i="21" s="1"/>
  <c r="P9" i="21" s="1"/>
  <c r="E7" i="22"/>
  <c r="J7" i="22" s="1"/>
  <c r="P7" i="22" s="1"/>
  <c r="Z7" i="22" s="1"/>
  <c r="H7" i="22"/>
  <c r="M7" i="22" s="1"/>
  <c r="S7" i="22" s="1"/>
  <c r="AC7" i="22" s="1"/>
  <c r="X33" i="11"/>
  <c r="AH33" i="11" s="1"/>
  <c r="AM33" i="11" s="1"/>
  <c r="E8" i="30" s="1"/>
  <c r="J8" i="30" s="1"/>
  <c r="P8" i="30" s="1"/>
  <c r="G9" i="21"/>
  <c r="L9" i="21" s="1"/>
  <c r="R9" i="21" s="1"/>
  <c r="G9" i="22"/>
  <c r="L9" i="22" s="1"/>
  <c r="R9" i="22" s="1"/>
  <c r="F9" i="30"/>
  <c r="K9" i="30" s="1"/>
  <c r="Q9" i="30" s="1"/>
  <c r="AA9" i="30" s="1"/>
  <c r="F9" i="27"/>
  <c r="K9" i="27" s="1"/>
  <c r="Q9" i="27" s="1"/>
  <c r="Y38" i="11"/>
  <c r="AI38" i="11" s="1"/>
  <c r="AN38" i="11" s="1"/>
  <c r="F13" i="22" s="1"/>
  <c r="K13" i="22" s="1"/>
  <c r="Q13" i="22" s="1"/>
  <c r="Z39" i="11"/>
  <c r="AJ39" i="11" s="1"/>
  <c r="AO39" i="11" s="1"/>
  <c r="G14" i="24" s="1"/>
  <c r="L14" i="24" s="1"/>
  <c r="R14" i="24" s="1"/>
  <c r="W44" i="11"/>
  <c r="AG44" i="11" s="1"/>
  <c r="AL44" i="11" s="1"/>
  <c r="D19" i="22" s="1"/>
  <c r="I19" i="22" s="1"/>
  <c r="O19" i="22" s="1"/>
  <c r="Y19" i="22" s="1"/>
  <c r="D12" i="21"/>
  <c r="I12" i="21" s="1"/>
  <c r="O12" i="21" s="1"/>
  <c r="Y12" i="21" s="1"/>
  <c r="D12" i="17"/>
  <c r="I12" i="17" s="1"/>
  <c r="O12" i="17" s="1"/>
  <c r="Y12" i="17" s="1"/>
  <c r="F8" i="21"/>
  <c r="K8" i="21" s="1"/>
  <c r="Q8" i="21" s="1"/>
  <c r="Y39" i="11"/>
  <c r="AI39" i="11" s="1"/>
  <c r="AN39" i="11" s="1"/>
  <c r="F14" i="30" s="1"/>
  <c r="K14" i="30" s="1"/>
  <c r="Q14" i="30" s="1"/>
  <c r="G7" i="27"/>
  <c r="L7" i="27" s="1"/>
  <c r="R7" i="27" s="1"/>
  <c r="Z44" i="11"/>
  <c r="AJ44" i="11" s="1"/>
  <c r="AO44" i="11" s="1"/>
  <c r="G19" i="27" s="1"/>
  <c r="L19" i="27" s="1"/>
  <c r="R19" i="27" s="1"/>
  <c r="W39" i="11"/>
  <c r="AG39" i="11" s="1"/>
  <c r="AL39" i="11" s="1"/>
  <c r="D14" i="24" s="1"/>
  <c r="I14" i="24" s="1"/>
  <c r="O14" i="24" s="1"/>
  <c r="Y14" i="24" s="1"/>
  <c r="D9" i="27"/>
  <c r="I9" i="27" s="1"/>
  <c r="O9" i="27" s="1"/>
  <c r="Y9" i="27" s="1"/>
  <c r="G7" i="24"/>
  <c r="L7" i="24" s="1"/>
  <c r="R7" i="24" s="1"/>
  <c r="AB7" i="24" s="1"/>
  <c r="T43" i="11"/>
  <c r="AD43" i="11" s="1"/>
  <c r="F8" i="22"/>
  <c r="K8" i="22" s="1"/>
  <c r="Q8" i="22" s="1"/>
  <c r="D12" i="22"/>
  <c r="I12" i="22" s="1"/>
  <c r="O12" i="22" s="1"/>
  <c r="Y12" i="22" s="1"/>
  <c r="D9" i="24"/>
  <c r="I9" i="24" s="1"/>
  <c r="O9" i="24" s="1"/>
  <c r="Y9" i="24" s="1"/>
  <c r="G7" i="30"/>
  <c r="L7" i="30" s="1"/>
  <c r="R7" i="30" s="1"/>
  <c r="Z38" i="11"/>
  <c r="AJ38" i="11" s="1"/>
  <c r="AO38" i="11" s="1"/>
  <c r="T35" i="11"/>
  <c r="AD35" i="11" s="1"/>
  <c r="X38" i="11"/>
  <c r="AH38" i="11" s="1"/>
  <c r="AM38" i="11" s="1"/>
  <c r="D12" i="24"/>
  <c r="I12" i="24" s="1"/>
  <c r="O12" i="24" s="1"/>
  <c r="Y12" i="24" s="1"/>
  <c r="E19" i="24"/>
  <c r="J19" i="24" s="1"/>
  <c r="P19" i="24" s="1"/>
  <c r="E19" i="17"/>
  <c r="J19" i="17" s="1"/>
  <c r="P19" i="17" s="1"/>
  <c r="D19" i="30"/>
  <c r="I19" i="30" s="1"/>
  <c r="O19" i="30" s="1"/>
  <c r="Y19" i="30" s="1"/>
  <c r="D12" i="30"/>
  <c r="I12" i="30" s="1"/>
  <c r="O12" i="30" s="1"/>
  <c r="Y12" i="30" s="1"/>
  <c r="D9" i="22"/>
  <c r="I9" i="22" s="1"/>
  <c r="O9" i="22" s="1"/>
  <c r="Y9" i="22" s="1"/>
  <c r="G7" i="21"/>
  <c r="L7" i="21" s="1"/>
  <c r="R7" i="21" s="1"/>
  <c r="W38" i="11"/>
  <c r="AG38" i="11" s="1"/>
  <c r="AL38" i="11" s="1"/>
  <c r="U35" i="11"/>
  <c r="AE35" i="11" s="1"/>
  <c r="R43" i="11"/>
  <c r="AB43" i="11" s="1"/>
  <c r="V43" i="11"/>
  <c r="AF43" i="11" s="1"/>
  <c r="D9" i="21"/>
  <c r="I9" i="21" s="1"/>
  <c r="O9" i="21" s="1"/>
  <c r="Y9" i="21" s="1"/>
  <c r="G7" i="22"/>
  <c r="L7" i="22" s="1"/>
  <c r="R7" i="22" s="1"/>
  <c r="AB7" i="22" s="1"/>
  <c r="D14" i="22"/>
  <c r="I14" i="22" s="1"/>
  <c r="O14" i="22" s="1"/>
  <c r="Y14" i="22" s="1"/>
  <c r="D14" i="21"/>
  <c r="I14" i="21" s="1"/>
  <c r="O14" i="21" s="1"/>
  <c r="Y14" i="21" s="1"/>
  <c r="H13" i="24"/>
  <c r="M13" i="24" s="1"/>
  <c r="S13" i="24" s="1"/>
  <c r="H13" i="22"/>
  <c r="M13" i="22" s="1"/>
  <c r="S13" i="22" s="1"/>
  <c r="H13" i="17"/>
  <c r="M13" i="17" s="1"/>
  <c r="S13" i="17" s="1"/>
  <c r="H13" i="27"/>
  <c r="M13" i="27" s="1"/>
  <c r="S13" i="27" s="1"/>
  <c r="H13" i="21"/>
  <c r="M13" i="21" s="1"/>
  <c r="S13" i="21" s="1"/>
  <c r="U43" i="11"/>
  <c r="AE43" i="11" s="1"/>
  <c r="H14" i="27"/>
  <c r="M14" i="27" s="1"/>
  <c r="S14" i="27" s="1"/>
  <c r="H14" i="21"/>
  <c r="M14" i="21" s="1"/>
  <c r="S14" i="21" s="1"/>
  <c r="H14" i="24"/>
  <c r="M14" i="24" s="1"/>
  <c r="S14" i="24" s="1"/>
  <c r="H14" i="30"/>
  <c r="M14" i="30" s="1"/>
  <c r="S14" i="30" s="1"/>
  <c r="H14" i="17"/>
  <c r="M14" i="17" s="1"/>
  <c r="S14" i="17" s="1"/>
  <c r="H14" i="22"/>
  <c r="M14" i="22" s="1"/>
  <c r="S14" i="22" s="1"/>
  <c r="V35" i="11"/>
  <c r="AF35" i="11" s="1"/>
  <c r="R35" i="11"/>
  <c r="AB35" i="11" s="1"/>
  <c r="S35" i="11"/>
  <c r="AC35" i="11" s="1"/>
  <c r="Y44" i="11"/>
  <c r="AI44" i="11" s="1"/>
  <c r="AN44" i="11" s="1"/>
  <c r="AA44" i="11"/>
  <c r="AK44" i="11" s="1"/>
  <c r="AP44" i="11" s="1"/>
  <c r="S43" i="11"/>
  <c r="AC43" i="11" s="1"/>
  <c r="G33" i="21"/>
  <c r="L33" i="21" s="1"/>
  <c r="R33" i="21" s="1"/>
  <c r="G33" i="22"/>
  <c r="L33" i="22" s="1"/>
  <c r="R33" i="22" s="1"/>
  <c r="G33" i="24"/>
  <c r="L33" i="24" s="1"/>
  <c r="R33" i="24" s="1"/>
  <c r="G33" i="30"/>
  <c r="L33" i="30" s="1"/>
  <c r="R33" i="30" s="1"/>
  <c r="G33" i="27"/>
  <c r="L33" i="27" s="1"/>
  <c r="R33" i="27" s="1"/>
  <c r="H33" i="22"/>
  <c r="M33" i="22" s="1"/>
  <c r="S33" i="22" s="1"/>
  <c r="H33" i="17"/>
  <c r="M33" i="17" s="1"/>
  <c r="S33" i="17" s="1"/>
  <c r="H33" i="30"/>
  <c r="M33" i="30" s="1"/>
  <c r="S33" i="30" s="1"/>
  <c r="H33" i="21"/>
  <c r="M33" i="21" s="1"/>
  <c r="S33" i="21" s="1"/>
  <c r="AC11" i="17"/>
  <c r="AB7" i="17"/>
  <c r="Z20" i="17"/>
  <c r="AC7" i="30"/>
  <c r="AC20" i="17"/>
  <c r="E33" i="21"/>
  <c r="J33" i="21" s="1"/>
  <c r="P33" i="21" s="1"/>
  <c r="Y40" i="20"/>
  <c r="AI40" i="20" s="1"/>
  <c r="AN40" i="20" s="1"/>
  <c r="H33" i="24"/>
  <c r="M33" i="24" s="1"/>
  <c r="S33" i="24" s="1"/>
  <c r="D6" i="22"/>
  <c r="I6" i="22" s="1"/>
  <c r="O6" i="22" s="1"/>
  <c r="Y6" i="22" s="1"/>
  <c r="D6" i="17"/>
  <c r="I6" i="17" s="1"/>
  <c r="O6" i="17" s="1"/>
  <c r="Y6" i="17" s="1"/>
  <c r="AA7" i="17"/>
  <c r="AC11" i="27"/>
  <c r="Z11" i="27"/>
  <c r="Z39" i="20"/>
  <c r="AJ39" i="20" s="1"/>
  <c r="AO39" i="20" s="1"/>
  <c r="Z7" i="27"/>
  <c r="AA7" i="27"/>
  <c r="AC7" i="17"/>
  <c r="X35" i="20"/>
  <c r="AH35" i="20" s="1"/>
  <c r="AM35" i="20" s="1"/>
  <c r="AC11" i="30"/>
  <c r="AC11" i="24"/>
  <c r="D6" i="21"/>
  <c r="I6" i="21" s="1"/>
  <c r="O6" i="21" s="1"/>
  <c r="Y6" i="21" s="1"/>
  <c r="Z20" i="22"/>
  <c r="E11" i="21"/>
  <c r="J11" i="21" s="1"/>
  <c r="P11" i="21" s="1"/>
  <c r="Z11" i="21" s="1"/>
  <c r="Z7" i="24"/>
  <c r="AC20" i="21"/>
  <c r="E11" i="17"/>
  <c r="J11" i="17" s="1"/>
  <c r="P11" i="17" s="1"/>
  <c r="Z11" i="17" s="1"/>
  <c r="AA20" i="21"/>
  <c r="D6" i="24"/>
  <c r="I6" i="24" s="1"/>
  <c r="O6" i="24" s="1"/>
  <c r="Y6" i="24" s="1"/>
  <c r="E11" i="30"/>
  <c r="J11" i="30" s="1"/>
  <c r="P11" i="30" s="1"/>
  <c r="Z11" i="30" s="1"/>
  <c r="X37" i="20"/>
  <c r="AH37" i="20" s="1"/>
  <c r="AM37" i="20" s="1"/>
  <c r="D6" i="27"/>
  <c r="I6" i="27" s="1"/>
  <c r="O6" i="27" s="1"/>
  <c r="Y6" i="27" s="1"/>
  <c r="E11" i="22"/>
  <c r="J11" i="22" s="1"/>
  <c r="P11" i="22" s="1"/>
  <c r="Z11" i="22" s="1"/>
  <c r="Z37" i="20"/>
  <c r="AJ37" i="20" s="1"/>
  <c r="AO37" i="20" s="1"/>
  <c r="Y37" i="20"/>
  <c r="AI37" i="20" s="1"/>
  <c r="AN37" i="20" s="1"/>
  <c r="E33" i="22"/>
  <c r="J33" i="22" s="1"/>
  <c r="P33" i="22" s="1"/>
  <c r="AB9" i="30"/>
  <c r="AA7" i="22"/>
  <c r="E33" i="17"/>
  <c r="J33" i="17" s="1"/>
  <c r="P33" i="17" s="1"/>
  <c r="E11" i="24"/>
  <c r="J11" i="24" s="1"/>
  <c r="P11" i="24" s="1"/>
  <c r="Z11" i="24" s="1"/>
  <c r="AB20" i="22"/>
  <c r="AA20" i="17"/>
  <c r="E33" i="30"/>
  <c r="J33" i="30" s="1"/>
  <c r="P33" i="30" s="1"/>
  <c r="AB20" i="17"/>
  <c r="AA7" i="24"/>
  <c r="Z12" i="27"/>
  <c r="E33" i="24"/>
  <c r="J33" i="24" s="1"/>
  <c r="P33" i="24" s="1"/>
  <c r="AB11" i="24"/>
  <c r="AA20" i="22"/>
  <c r="AC20" i="22"/>
  <c r="AC7" i="24"/>
  <c r="AC9" i="30"/>
  <c r="X38" i="20"/>
  <c r="AH38" i="20" s="1"/>
  <c r="AM38" i="20" s="1"/>
  <c r="AA38" i="20"/>
  <c r="AK38" i="20" s="1"/>
  <c r="AP38" i="20" s="1"/>
  <c r="W34" i="20"/>
  <c r="AG34" i="20" s="1"/>
  <c r="AL34" i="20" s="1"/>
  <c r="AB11" i="17"/>
  <c r="W40" i="20"/>
  <c r="AG40" i="20" s="1"/>
  <c r="AL40" i="20" s="1"/>
  <c r="AB11" i="27"/>
  <c r="Z45" i="20"/>
  <c r="AJ45" i="20" s="1"/>
  <c r="AO45" i="20" s="1"/>
  <c r="AA35" i="20"/>
  <c r="AK35" i="20" s="1"/>
  <c r="AP35" i="20" s="1"/>
  <c r="X34" i="20"/>
  <c r="AH34" i="20" s="1"/>
  <c r="AM34" i="20" s="1"/>
  <c r="AB9" i="17"/>
  <c r="AC11" i="21"/>
  <c r="Z20" i="21"/>
  <c r="AC11" i="22"/>
  <c r="W37" i="20"/>
  <c r="AG37" i="20" s="1"/>
  <c r="AL37" i="20" s="1"/>
  <c r="W45" i="20"/>
  <c r="AG45" i="20" s="1"/>
  <c r="AL45" i="20" s="1"/>
  <c r="Y46" i="20"/>
  <c r="AI46" i="20" s="1"/>
  <c r="AN46" i="20" s="1"/>
  <c r="AA11" i="17"/>
  <c r="AB20" i="21"/>
  <c r="D16" i="27"/>
  <c r="I16" i="27" s="1"/>
  <c r="O16" i="27" s="1"/>
  <c r="Y16" i="27" s="1"/>
  <c r="D16" i="30"/>
  <c r="I16" i="30" s="1"/>
  <c r="O16" i="30" s="1"/>
  <c r="Y16" i="30" s="1"/>
  <c r="D16" i="24"/>
  <c r="I16" i="24" s="1"/>
  <c r="O16" i="24" s="1"/>
  <c r="Y16" i="24" s="1"/>
  <c r="D16" i="21"/>
  <c r="I16" i="21" s="1"/>
  <c r="O16" i="21" s="1"/>
  <c r="Y16" i="21" s="1"/>
  <c r="D16" i="22"/>
  <c r="I16" i="22" s="1"/>
  <c r="O16" i="22" s="1"/>
  <c r="Y16" i="22" s="1"/>
  <c r="D16" i="17"/>
  <c r="I16" i="17" s="1"/>
  <c r="O16" i="17" s="1"/>
  <c r="Y16" i="17" s="1"/>
  <c r="G35" i="27"/>
  <c r="L35" i="27" s="1"/>
  <c r="R35" i="27" s="1"/>
  <c r="G35" i="30"/>
  <c r="L35" i="30" s="1"/>
  <c r="R35" i="30" s="1"/>
  <c r="G35" i="24"/>
  <c r="L35" i="24" s="1"/>
  <c r="R35" i="24" s="1"/>
  <c r="G35" i="17"/>
  <c r="L35" i="17" s="1"/>
  <c r="R35" i="17" s="1"/>
  <c r="G35" i="22"/>
  <c r="L35" i="22" s="1"/>
  <c r="R35" i="22" s="1"/>
  <c r="G35" i="21"/>
  <c r="L35" i="21" s="1"/>
  <c r="R35" i="21" s="1"/>
  <c r="F16" i="27"/>
  <c r="K16" i="27" s="1"/>
  <c r="Q16" i="27" s="1"/>
  <c r="F16" i="22"/>
  <c r="K16" i="22" s="1"/>
  <c r="Q16" i="22" s="1"/>
  <c r="F16" i="17"/>
  <c r="K16" i="17" s="1"/>
  <c r="Q16" i="17" s="1"/>
  <c r="F16" i="30"/>
  <c r="K16" i="30" s="1"/>
  <c r="Q16" i="30" s="1"/>
  <c r="F16" i="24"/>
  <c r="K16" i="24" s="1"/>
  <c r="Q16" i="24" s="1"/>
  <c r="F16" i="21"/>
  <c r="K16" i="21" s="1"/>
  <c r="Q16" i="21" s="1"/>
  <c r="F21" i="27"/>
  <c r="K21" i="27" s="1"/>
  <c r="Q21" i="27" s="1"/>
  <c r="F21" i="30"/>
  <c r="K21" i="30" s="1"/>
  <c r="Q21" i="30" s="1"/>
  <c r="F21" i="17"/>
  <c r="K21" i="17" s="1"/>
  <c r="Q21" i="17" s="1"/>
  <c r="F21" i="24"/>
  <c r="K21" i="24" s="1"/>
  <c r="Q21" i="24" s="1"/>
  <c r="F21" i="22"/>
  <c r="K21" i="22" s="1"/>
  <c r="Q21" i="22" s="1"/>
  <c r="F21" i="21"/>
  <c r="K21" i="21" s="1"/>
  <c r="Q21" i="21" s="1"/>
  <c r="E29" i="27"/>
  <c r="J29" i="27" s="1"/>
  <c r="P29" i="27" s="1"/>
  <c r="E29" i="30"/>
  <c r="J29" i="30" s="1"/>
  <c r="P29" i="30" s="1"/>
  <c r="E29" i="24"/>
  <c r="J29" i="24" s="1"/>
  <c r="P29" i="24" s="1"/>
  <c r="E29" i="22"/>
  <c r="J29" i="22" s="1"/>
  <c r="P29" i="22" s="1"/>
  <c r="E29" i="17"/>
  <c r="J29" i="17" s="1"/>
  <c r="P29" i="17" s="1"/>
  <c r="E29" i="21"/>
  <c r="J29" i="21" s="1"/>
  <c r="P29" i="21" s="1"/>
  <c r="H26" i="27"/>
  <c r="M26" i="27" s="1"/>
  <c r="S26" i="27" s="1"/>
  <c r="H26" i="24"/>
  <c r="M26" i="24" s="1"/>
  <c r="S26" i="24" s="1"/>
  <c r="H26" i="30"/>
  <c r="M26" i="30" s="1"/>
  <c r="S26" i="30" s="1"/>
  <c r="H26" i="17"/>
  <c r="M26" i="17" s="1"/>
  <c r="S26" i="17" s="1"/>
  <c r="H26" i="21"/>
  <c r="M26" i="21" s="1"/>
  <c r="S26" i="21" s="1"/>
  <c r="H26" i="22"/>
  <c r="M26" i="22" s="1"/>
  <c r="S26" i="22" s="1"/>
  <c r="E15" i="27"/>
  <c r="J15" i="27" s="1"/>
  <c r="P15" i="27" s="1"/>
  <c r="U33" i="27" s="1"/>
  <c r="E15" i="30"/>
  <c r="J15" i="30" s="1"/>
  <c r="P15" i="30" s="1"/>
  <c r="E15" i="24"/>
  <c r="J15" i="24" s="1"/>
  <c r="P15" i="24" s="1"/>
  <c r="E15" i="17"/>
  <c r="J15" i="17" s="1"/>
  <c r="P15" i="17" s="1"/>
  <c r="E15" i="22"/>
  <c r="J15" i="22" s="1"/>
  <c r="P15" i="22" s="1"/>
  <c r="E15" i="21"/>
  <c r="J15" i="21" s="1"/>
  <c r="P15" i="21" s="1"/>
  <c r="D37" i="27"/>
  <c r="I37" i="27" s="1"/>
  <c r="O37" i="27" s="1"/>
  <c r="D37" i="30"/>
  <c r="I37" i="30" s="1"/>
  <c r="O37" i="30" s="1"/>
  <c r="D37" i="24"/>
  <c r="I37" i="24" s="1"/>
  <c r="O37" i="24" s="1"/>
  <c r="D37" i="17"/>
  <c r="I37" i="17" s="1"/>
  <c r="O37" i="17" s="1"/>
  <c r="D37" i="22"/>
  <c r="I37" i="22" s="1"/>
  <c r="O37" i="22" s="1"/>
  <c r="D37" i="21"/>
  <c r="I37" i="21" s="1"/>
  <c r="O37" i="21" s="1"/>
  <c r="D17" i="27"/>
  <c r="I17" i="27" s="1"/>
  <c r="O17" i="27" s="1"/>
  <c r="Y17" i="27" s="1"/>
  <c r="D17" i="30"/>
  <c r="I17" i="30" s="1"/>
  <c r="O17" i="30" s="1"/>
  <c r="Y17" i="30" s="1"/>
  <c r="D17" i="24"/>
  <c r="I17" i="24" s="1"/>
  <c r="O17" i="24" s="1"/>
  <c r="Y17" i="24" s="1"/>
  <c r="D17" i="17"/>
  <c r="I17" i="17" s="1"/>
  <c r="O17" i="17" s="1"/>
  <c r="Y17" i="17" s="1"/>
  <c r="D17" i="21"/>
  <c r="I17" i="21" s="1"/>
  <c r="O17" i="21" s="1"/>
  <c r="Y17" i="21" s="1"/>
  <c r="D17" i="22"/>
  <c r="I17" i="22" s="1"/>
  <c r="O17" i="22" s="1"/>
  <c r="Y17" i="22" s="1"/>
  <c r="F35" i="30"/>
  <c r="K35" i="30" s="1"/>
  <c r="Q35" i="30" s="1"/>
  <c r="F35" i="27"/>
  <c r="K35" i="27" s="1"/>
  <c r="Q35" i="27" s="1"/>
  <c r="F35" i="24"/>
  <c r="K35" i="24" s="1"/>
  <c r="Q35" i="24" s="1"/>
  <c r="F35" i="17"/>
  <c r="K35" i="17" s="1"/>
  <c r="Q35" i="17" s="1"/>
  <c r="F35" i="21"/>
  <c r="K35" i="21" s="1"/>
  <c r="Q35" i="21" s="1"/>
  <c r="F35" i="22"/>
  <c r="K35" i="22" s="1"/>
  <c r="Q35" i="22" s="1"/>
  <c r="H15" i="27"/>
  <c r="M15" i="27" s="1"/>
  <c r="S15" i="27" s="1"/>
  <c r="X33" i="27" s="1"/>
  <c r="H15" i="30"/>
  <c r="M15" i="30" s="1"/>
  <c r="S15" i="30" s="1"/>
  <c r="H15" i="17"/>
  <c r="M15" i="17" s="1"/>
  <c r="S15" i="17" s="1"/>
  <c r="H15" i="22"/>
  <c r="M15" i="22" s="1"/>
  <c r="S15" i="22" s="1"/>
  <c r="H15" i="21"/>
  <c r="M15" i="21" s="1"/>
  <c r="S15" i="21" s="1"/>
  <c r="H15" i="24"/>
  <c r="M15" i="24" s="1"/>
  <c r="S15" i="24" s="1"/>
  <c r="G15" i="27"/>
  <c r="L15" i="27" s="1"/>
  <c r="R15" i="27" s="1"/>
  <c r="G15" i="30"/>
  <c r="L15" i="30" s="1"/>
  <c r="R15" i="30" s="1"/>
  <c r="G15" i="24"/>
  <c r="L15" i="24" s="1"/>
  <c r="R15" i="24" s="1"/>
  <c r="G15" i="17"/>
  <c r="L15" i="17" s="1"/>
  <c r="R15" i="17" s="1"/>
  <c r="W33" i="17" s="1"/>
  <c r="G15" i="22"/>
  <c r="L15" i="22" s="1"/>
  <c r="R15" i="22" s="1"/>
  <c r="G15" i="21"/>
  <c r="L15" i="21" s="1"/>
  <c r="R15" i="21" s="1"/>
  <c r="H37" i="27"/>
  <c r="M37" i="27" s="1"/>
  <c r="S37" i="27" s="1"/>
  <c r="H37" i="24"/>
  <c r="M37" i="24" s="1"/>
  <c r="S37" i="24" s="1"/>
  <c r="H37" i="30"/>
  <c r="M37" i="30" s="1"/>
  <c r="S37" i="30" s="1"/>
  <c r="H37" i="17"/>
  <c r="M37" i="17" s="1"/>
  <c r="S37" i="17" s="1"/>
  <c r="H37" i="22"/>
  <c r="M37" i="22" s="1"/>
  <c r="S37" i="22" s="1"/>
  <c r="H37" i="21"/>
  <c r="M37" i="21" s="1"/>
  <c r="S37" i="21" s="1"/>
  <c r="Y24" i="24"/>
  <c r="Z25" i="24"/>
  <c r="U25" i="24"/>
  <c r="F34" i="27"/>
  <c r="K34" i="27" s="1"/>
  <c r="Q34" i="27" s="1"/>
  <c r="F34" i="30"/>
  <c r="K34" i="30" s="1"/>
  <c r="Q34" i="30" s="1"/>
  <c r="F34" i="24"/>
  <c r="K34" i="24" s="1"/>
  <c r="Q34" i="24" s="1"/>
  <c r="F34" i="17"/>
  <c r="K34" i="17" s="1"/>
  <c r="Q34" i="17" s="1"/>
  <c r="F34" i="21"/>
  <c r="K34" i="21" s="1"/>
  <c r="Q34" i="21" s="1"/>
  <c r="F34" i="22"/>
  <c r="K34" i="22" s="1"/>
  <c r="Q34" i="22" s="1"/>
  <c r="AC24" i="22"/>
  <c r="X24" i="22"/>
  <c r="E16" i="30"/>
  <c r="J16" i="30" s="1"/>
  <c r="P16" i="30" s="1"/>
  <c r="E16" i="27"/>
  <c r="J16" i="27" s="1"/>
  <c r="P16" i="27" s="1"/>
  <c r="E16" i="24"/>
  <c r="J16" i="24" s="1"/>
  <c r="P16" i="24" s="1"/>
  <c r="E16" i="17"/>
  <c r="J16" i="17" s="1"/>
  <c r="P16" i="17" s="1"/>
  <c r="E16" i="21"/>
  <c r="J16" i="21" s="1"/>
  <c r="P16" i="21" s="1"/>
  <c r="E16" i="22"/>
  <c r="J16" i="22" s="1"/>
  <c r="P16" i="22" s="1"/>
  <c r="D15" i="27"/>
  <c r="I15" i="27" s="1"/>
  <c r="O15" i="27" s="1"/>
  <c r="Y15" i="27" s="1"/>
  <c r="D15" i="24"/>
  <c r="I15" i="24" s="1"/>
  <c r="O15" i="24" s="1"/>
  <c r="Y15" i="24" s="1"/>
  <c r="D15" i="30"/>
  <c r="I15" i="30" s="1"/>
  <c r="O15" i="30" s="1"/>
  <c r="Y15" i="30" s="1"/>
  <c r="D15" i="21"/>
  <c r="I15" i="21" s="1"/>
  <c r="O15" i="21" s="1"/>
  <c r="Y15" i="21" s="1"/>
  <c r="D15" i="22"/>
  <c r="I15" i="22" s="1"/>
  <c r="O15" i="22" s="1"/>
  <c r="Y15" i="22" s="1"/>
  <c r="D15" i="17"/>
  <c r="I15" i="17" s="1"/>
  <c r="O15" i="17" s="1"/>
  <c r="Y15" i="17" s="1"/>
  <c r="AB24" i="27"/>
  <c r="W24" i="27"/>
  <c r="H21" i="27"/>
  <c r="M21" i="27" s="1"/>
  <c r="S21" i="27" s="1"/>
  <c r="H21" i="30"/>
  <c r="M21" i="30" s="1"/>
  <c r="S21" i="30" s="1"/>
  <c r="H21" i="24"/>
  <c r="M21" i="24" s="1"/>
  <c r="S21" i="24" s="1"/>
  <c r="H21" i="22"/>
  <c r="M21" i="22" s="1"/>
  <c r="S21" i="22" s="1"/>
  <c r="H21" i="17"/>
  <c r="M21" i="17" s="1"/>
  <c r="S21" i="17" s="1"/>
  <c r="H21" i="21"/>
  <c r="M21" i="21" s="1"/>
  <c r="S21" i="21" s="1"/>
  <c r="AA36" i="22"/>
  <c r="D29" i="27"/>
  <c r="I29" i="27" s="1"/>
  <c r="O29" i="27" s="1"/>
  <c r="D29" i="30"/>
  <c r="I29" i="30" s="1"/>
  <c r="O29" i="30" s="1"/>
  <c r="D29" i="24"/>
  <c r="I29" i="24" s="1"/>
  <c r="O29" i="24" s="1"/>
  <c r="D29" i="22"/>
  <c r="I29" i="22" s="1"/>
  <c r="O29" i="22" s="1"/>
  <c r="D29" i="17"/>
  <c r="I29" i="17" s="1"/>
  <c r="O29" i="17" s="1"/>
  <c r="D29" i="21"/>
  <c r="I29" i="21" s="1"/>
  <c r="O29" i="21" s="1"/>
  <c r="F17" i="27"/>
  <c r="K17" i="27" s="1"/>
  <c r="Q17" i="27" s="1"/>
  <c r="F17" i="30"/>
  <c r="K17" i="30" s="1"/>
  <c r="Q17" i="30" s="1"/>
  <c r="F17" i="24"/>
  <c r="K17" i="24" s="1"/>
  <c r="Q17" i="24" s="1"/>
  <c r="F17" i="17"/>
  <c r="K17" i="17" s="1"/>
  <c r="Q17" i="17" s="1"/>
  <c r="F17" i="22"/>
  <c r="K17" i="22" s="1"/>
  <c r="Q17" i="22" s="1"/>
  <c r="F17" i="21"/>
  <c r="K17" i="21" s="1"/>
  <c r="Q17" i="21" s="1"/>
  <c r="AA20" i="30"/>
  <c r="F15" i="27"/>
  <c r="K15" i="27" s="1"/>
  <c r="Q15" i="27" s="1"/>
  <c r="F15" i="30"/>
  <c r="K15" i="30" s="1"/>
  <c r="Q15" i="30" s="1"/>
  <c r="F15" i="24"/>
  <c r="K15" i="24" s="1"/>
  <c r="Q15" i="24" s="1"/>
  <c r="F15" i="17"/>
  <c r="K15" i="17" s="1"/>
  <c r="Q15" i="17" s="1"/>
  <c r="F15" i="22"/>
  <c r="K15" i="22" s="1"/>
  <c r="Q15" i="22" s="1"/>
  <c r="F15" i="21"/>
  <c r="K15" i="21" s="1"/>
  <c r="Q15" i="21" s="1"/>
  <c r="AB36" i="27"/>
  <c r="H29" i="30"/>
  <c r="M29" i="30" s="1"/>
  <c r="S29" i="30" s="1"/>
  <c r="H29" i="27"/>
  <c r="M29" i="27" s="1"/>
  <c r="S29" i="27" s="1"/>
  <c r="H29" i="24"/>
  <c r="M29" i="24" s="1"/>
  <c r="S29" i="24" s="1"/>
  <c r="H29" i="17"/>
  <c r="M29" i="17" s="1"/>
  <c r="S29" i="17" s="1"/>
  <c r="H29" i="21"/>
  <c r="M29" i="21" s="1"/>
  <c r="S29" i="21" s="1"/>
  <c r="H29" i="22"/>
  <c r="M29" i="22" s="1"/>
  <c r="S29" i="22" s="1"/>
  <c r="AC36" i="21"/>
  <c r="H17" i="27"/>
  <c r="M17" i="27" s="1"/>
  <c r="S17" i="27" s="1"/>
  <c r="H17" i="24"/>
  <c r="M17" i="24" s="1"/>
  <c r="S17" i="24" s="1"/>
  <c r="H17" i="30"/>
  <c r="M17" i="30" s="1"/>
  <c r="S17" i="30" s="1"/>
  <c r="H17" i="17"/>
  <c r="M17" i="17" s="1"/>
  <c r="S17" i="17" s="1"/>
  <c r="H17" i="22"/>
  <c r="M17" i="22" s="1"/>
  <c r="S17" i="22" s="1"/>
  <c r="H17" i="21"/>
  <c r="M17" i="21" s="1"/>
  <c r="S17" i="21" s="1"/>
  <c r="E17" i="27"/>
  <c r="J17" i="27" s="1"/>
  <c r="P17" i="27" s="1"/>
  <c r="E17" i="24"/>
  <c r="J17" i="24" s="1"/>
  <c r="P17" i="24" s="1"/>
  <c r="E17" i="30"/>
  <c r="J17" i="30" s="1"/>
  <c r="P17" i="30" s="1"/>
  <c r="E17" i="22"/>
  <c r="J17" i="22" s="1"/>
  <c r="P17" i="22" s="1"/>
  <c r="E17" i="17"/>
  <c r="J17" i="17" s="1"/>
  <c r="P17" i="17" s="1"/>
  <c r="E17" i="21"/>
  <c r="J17" i="21" s="1"/>
  <c r="P17" i="21" s="1"/>
  <c r="AA24" i="17"/>
  <c r="V24" i="17"/>
  <c r="Z36" i="17"/>
  <c r="AB11" i="21"/>
  <c r="AB25" i="21"/>
  <c r="Y36" i="17"/>
  <c r="Z38" i="20"/>
  <c r="AJ38" i="20" s="1"/>
  <c r="AO38" i="20" s="1"/>
  <c r="Y24" i="30"/>
  <c r="T24" i="30"/>
  <c r="U25" i="30"/>
  <c r="Z25" i="30"/>
  <c r="X45" i="20"/>
  <c r="AH45" i="20" s="1"/>
  <c r="AM45" i="20" s="1"/>
  <c r="X24" i="17"/>
  <c r="AC24" i="17"/>
  <c r="AA25" i="17"/>
  <c r="V25" i="17"/>
  <c r="Z46" i="20"/>
  <c r="AJ46" i="20" s="1"/>
  <c r="AO46" i="20" s="1"/>
  <c r="T25" i="22"/>
  <c r="Y25" i="22"/>
  <c r="D26" i="27"/>
  <c r="I26" i="27" s="1"/>
  <c r="O26" i="27" s="1"/>
  <c r="D26" i="24"/>
  <c r="I26" i="24" s="1"/>
  <c r="O26" i="24" s="1"/>
  <c r="D26" i="17"/>
  <c r="I26" i="17" s="1"/>
  <c r="O26" i="17" s="1"/>
  <c r="D26" i="30"/>
  <c r="I26" i="30" s="1"/>
  <c r="O26" i="30" s="1"/>
  <c r="D26" i="21"/>
  <c r="I26" i="21" s="1"/>
  <c r="O26" i="21" s="1"/>
  <c r="D26" i="22"/>
  <c r="I26" i="22" s="1"/>
  <c r="O26" i="22" s="1"/>
  <c r="G21" i="27"/>
  <c r="L21" i="27" s="1"/>
  <c r="R21" i="27" s="1"/>
  <c r="G21" i="30"/>
  <c r="L21" i="30" s="1"/>
  <c r="R21" i="30" s="1"/>
  <c r="G21" i="24"/>
  <c r="L21" i="24" s="1"/>
  <c r="R21" i="24" s="1"/>
  <c r="G21" i="17"/>
  <c r="L21" i="17" s="1"/>
  <c r="R21" i="17" s="1"/>
  <c r="G21" i="22"/>
  <c r="L21" i="22" s="1"/>
  <c r="R21" i="22" s="1"/>
  <c r="G21" i="21"/>
  <c r="L21" i="21" s="1"/>
  <c r="R21" i="21" s="1"/>
  <c r="X39" i="20"/>
  <c r="AH39" i="20" s="1"/>
  <c r="AM39" i="20" s="1"/>
  <c r="AA36" i="30"/>
  <c r="G16" i="27"/>
  <c r="L16" i="27" s="1"/>
  <c r="R16" i="27" s="1"/>
  <c r="G16" i="30"/>
  <c r="L16" i="30" s="1"/>
  <c r="R16" i="30" s="1"/>
  <c r="G16" i="24"/>
  <c r="L16" i="24" s="1"/>
  <c r="R16" i="24" s="1"/>
  <c r="G16" i="17"/>
  <c r="L16" i="17" s="1"/>
  <c r="R16" i="17" s="1"/>
  <c r="G16" i="22"/>
  <c r="L16" i="22" s="1"/>
  <c r="R16" i="22" s="1"/>
  <c r="G16" i="21"/>
  <c r="L16" i="21" s="1"/>
  <c r="R16" i="21" s="1"/>
  <c r="AA20" i="27"/>
  <c r="E35" i="27"/>
  <c r="J35" i="27" s="1"/>
  <c r="P35" i="27" s="1"/>
  <c r="E35" i="24"/>
  <c r="J35" i="24" s="1"/>
  <c r="P35" i="24" s="1"/>
  <c r="E35" i="30"/>
  <c r="J35" i="30" s="1"/>
  <c r="P35" i="30" s="1"/>
  <c r="E35" i="17"/>
  <c r="J35" i="17" s="1"/>
  <c r="P35" i="17" s="1"/>
  <c r="E35" i="22"/>
  <c r="J35" i="22" s="1"/>
  <c r="P35" i="22" s="1"/>
  <c r="E35" i="21"/>
  <c r="J35" i="21" s="1"/>
  <c r="P35" i="21" s="1"/>
  <c r="AB36" i="30"/>
  <c r="G34" i="27"/>
  <c r="L34" i="27" s="1"/>
  <c r="R34" i="27" s="1"/>
  <c r="G34" i="30"/>
  <c r="L34" i="30" s="1"/>
  <c r="R34" i="30" s="1"/>
  <c r="G34" i="24"/>
  <c r="L34" i="24" s="1"/>
  <c r="R34" i="24" s="1"/>
  <c r="G34" i="22"/>
  <c r="L34" i="22" s="1"/>
  <c r="R34" i="22" s="1"/>
  <c r="G34" i="17"/>
  <c r="L34" i="17" s="1"/>
  <c r="R34" i="17" s="1"/>
  <c r="G34" i="21"/>
  <c r="L34" i="21" s="1"/>
  <c r="R34" i="21" s="1"/>
  <c r="E34" i="27"/>
  <c r="J34" i="27" s="1"/>
  <c r="P34" i="27" s="1"/>
  <c r="E34" i="30"/>
  <c r="J34" i="30" s="1"/>
  <c r="P34" i="30" s="1"/>
  <c r="E34" i="24"/>
  <c r="J34" i="24" s="1"/>
  <c r="P34" i="24" s="1"/>
  <c r="E34" i="21"/>
  <c r="J34" i="21" s="1"/>
  <c r="P34" i="21" s="1"/>
  <c r="E34" i="17"/>
  <c r="J34" i="17" s="1"/>
  <c r="P34" i="17" s="1"/>
  <c r="E34" i="22"/>
  <c r="J34" i="22" s="1"/>
  <c r="P34" i="22" s="1"/>
  <c r="AC36" i="22"/>
  <c r="V24" i="24"/>
  <c r="AA24" i="24"/>
  <c r="AC6" i="30"/>
  <c r="AA34" i="20"/>
  <c r="AK34" i="20" s="1"/>
  <c r="AP34" i="20" s="1"/>
  <c r="Z36" i="30"/>
  <c r="AB11" i="22"/>
  <c r="AB25" i="22"/>
  <c r="AA11" i="24"/>
  <c r="Y36" i="27"/>
  <c r="Y24" i="27"/>
  <c r="X24" i="24"/>
  <c r="AC24" i="24"/>
  <c r="Y25" i="24"/>
  <c r="T25" i="24"/>
  <c r="AA24" i="30"/>
  <c r="V24" i="30"/>
  <c r="E26" i="27"/>
  <c r="J26" i="27" s="1"/>
  <c r="P26" i="27" s="1"/>
  <c r="E26" i="30"/>
  <c r="J26" i="30" s="1"/>
  <c r="P26" i="30" s="1"/>
  <c r="E26" i="24"/>
  <c r="J26" i="24" s="1"/>
  <c r="P26" i="24" s="1"/>
  <c r="E26" i="17"/>
  <c r="J26" i="17" s="1"/>
  <c r="P26" i="17" s="1"/>
  <c r="E26" i="22"/>
  <c r="J26" i="22" s="1"/>
  <c r="P26" i="22" s="1"/>
  <c r="E26" i="21"/>
  <c r="J26" i="21" s="1"/>
  <c r="P26" i="21" s="1"/>
  <c r="Z36" i="24"/>
  <c r="Y36" i="24"/>
  <c r="F26" i="27"/>
  <c r="K26" i="27" s="1"/>
  <c r="Q26" i="27" s="1"/>
  <c r="F26" i="30"/>
  <c r="K26" i="30" s="1"/>
  <c r="Q26" i="30" s="1"/>
  <c r="F26" i="17"/>
  <c r="K26" i="17" s="1"/>
  <c r="Q26" i="17" s="1"/>
  <c r="F26" i="22"/>
  <c r="K26" i="22" s="1"/>
  <c r="Q26" i="22" s="1"/>
  <c r="F26" i="24"/>
  <c r="K26" i="24" s="1"/>
  <c r="Q26" i="24" s="1"/>
  <c r="F26" i="21"/>
  <c r="K26" i="21" s="1"/>
  <c r="Q26" i="21" s="1"/>
  <c r="V25" i="22"/>
  <c r="AA25" i="22"/>
  <c r="Y25" i="21"/>
  <c r="E37" i="27"/>
  <c r="J37" i="27" s="1"/>
  <c r="P37" i="27" s="1"/>
  <c r="E37" i="30"/>
  <c r="J37" i="30" s="1"/>
  <c r="P37" i="30" s="1"/>
  <c r="E37" i="24"/>
  <c r="J37" i="24" s="1"/>
  <c r="P37" i="24" s="1"/>
  <c r="E37" i="17"/>
  <c r="J37" i="17" s="1"/>
  <c r="P37" i="17" s="1"/>
  <c r="E37" i="22"/>
  <c r="J37" i="22" s="1"/>
  <c r="P37" i="22" s="1"/>
  <c r="E37" i="21"/>
  <c r="J37" i="21" s="1"/>
  <c r="P37" i="21" s="1"/>
  <c r="Y45" i="20"/>
  <c r="AI45" i="20" s="1"/>
  <c r="AN45" i="20" s="1"/>
  <c r="Z35" i="20"/>
  <c r="AJ35" i="20" s="1"/>
  <c r="AO35" i="20" s="1"/>
  <c r="AC36" i="30"/>
  <c r="V24" i="27"/>
  <c r="AA24" i="27"/>
  <c r="Z36" i="27"/>
  <c r="AB25" i="24"/>
  <c r="AB20" i="24"/>
  <c r="Y36" i="30"/>
  <c r="X25" i="21"/>
  <c r="AC25" i="21"/>
  <c r="W46" i="20"/>
  <c r="AG46" i="20" s="1"/>
  <c r="AL46" i="20" s="1"/>
  <c r="X24" i="27"/>
  <c r="AC24" i="27"/>
  <c r="U24" i="22"/>
  <c r="Z24" i="22"/>
  <c r="AA25" i="24"/>
  <c r="V25" i="24"/>
  <c r="AB24" i="22"/>
  <c r="W24" i="22"/>
  <c r="T25" i="17"/>
  <c r="Y25" i="17"/>
  <c r="E21" i="27"/>
  <c r="J21" i="27" s="1"/>
  <c r="P21" i="27" s="1"/>
  <c r="E21" i="30"/>
  <c r="J21" i="30" s="1"/>
  <c r="P21" i="30" s="1"/>
  <c r="E21" i="17"/>
  <c r="J21" i="17" s="1"/>
  <c r="P21" i="17" s="1"/>
  <c r="E21" i="24"/>
  <c r="J21" i="24" s="1"/>
  <c r="P21" i="24" s="1"/>
  <c r="E21" i="21"/>
  <c r="J21" i="21" s="1"/>
  <c r="P21" i="21" s="1"/>
  <c r="E21" i="22"/>
  <c r="J21" i="22" s="1"/>
  <c r="P21" i="22" s="1"/>
  <c r="Y38" i="20"/>
  <c r="AI38" i="20" s="1"/>
  <c r="AN38" i="20" s="1"/>
  <c r="AA36" i="27"/>
  <c r="AC20" i="24"/>
  <c r="AA9" i="17"/>
  <c r="Z12" i="22"/>
  <c r="AB36" i="22"/>
  <c r="AC36" i="17"/>
  <c r="Z20" i="24"/>
  <c r="AA37" i="20"/>
  <c r="AK37" i="20" s="1"/>
  <c r="AP37" i="20" s="1"/>
  <c r="AC9" i="17"/>
  <c r="AB11" i="30"/>
  <c r="AB25" i="30"/>
  <c r="AA11" i="22"/>
  <c r="AB20" i="30"/>
  <c r="AC25" i="17"/>
  <c r="X25" i="17"/>
  <c r="U25" i="27"/>
  <c r="Z25" i="27"/>
  <c r="V25" i="21"/>
  <c r="AA25" i="21"/>
  <c r="AC25" i="22"/>
  <c r="X25" i="22"/>
  <c r="AC24" i="30"/>
  <c r="X24" i="30"/>
  <c r="AA36" i="24"/>
  <c r="W35" i="20"/>
  <c r="AG35" i="20" s="1"/>
  <c r="AL35" i="20" s="1"/>
  <c r="H34" i="27"/>
  <c r="M34" i="27" s="1"/>
  <c r="S34" i="27" s="1"/>
  <c r="H34" i="30"/>
  <c r="M34" i="30" s="1"/>
  <c r="S34" i="30" s="1"/>
  <c r="H34" i="24"/>
  <c r="M34" i="24" s="1"/>
  <c r="S34" i="24" s="1"/>
  <c r="H34" i="17"/>
  <c r="M34" i="17" s="1"/>
  <c r="S34" i="17" s="1"/>
  <c r="H34" i="21"/>
  <c r="M34" i="21" s="1"/>
  <c r="S34" i="21" s="1"/>
  <c r="H34" i="22"/>
  <c r="M34" i="22" s="1"/>
  <c r="S34" i="22" s="1"/>
  <c r="F29" i="27"/>
  <c r="K29" i="27" s="1"/>
  <c r="Q29" i="27" s="1"/>
  <c r="F29" i="30"/>
  <c r="K29" i="30" s="1"/>
  <c r="Q29" i="30" s="1"/>
  <c r="F29" i="24"/>
  <c r="K29" i="24" s="1"/>
  <c r="Q29" i="24" s="1"/>
  <c r="F29" i="17"/>
  <c r="K29" i="17" s="1"/>
  <c r="Q29" i="17" s="1"/>
  <c r="F29" i="22"/>
  <c r="K29" i="22" s="1"/>
  <c r="Q29" i="22" s="1"/>
  <c r="F29" i="21"/>
  <c r="K29" i="21" s="1"/>
  <c r="Q29" i="21" s="1"/>
  <c r="Z25" i="17"/>
  <c r="V25" i="30"/>
  <c r="AA25" i="30"/>
  <c r="W24" i="17"/>
  <c r="AB24" i="17"/>
  <c r="G37" i="27"/>
  <c r="L37" i="27" s="1"/>
  <c r="R37" i="27" s="1"/>
  <c r="G37" i="30"/>
  <c r="L37" i="30" s="1"/>
  <c r="R37" i="30" s="1"/>
  <c r="G37" i="17"/>
  <c r="L37" i="17" s="1"/>
  <c r="R37" i="17" s="1"/>
  <c r="G37" i="24"/>
  <c r="L37" i="24" s="1"/>
  <c r="R37" i="24" s="1"/>
  <c r="G37" i="22"/>
  <c r="L37" i="22" s="1"/>
  <c r="R37" i="22" s="1"/>
  <c r="G37" i="21"/>
  <c r="L37" i="21" s="1"/>
  <c r="R37" i="21" s="1"/>
  <c r="H35" i="27"/>
  <c r="M35" i="27" s="1"/>
  <c r="S35" i="27" s="1"/>
  <c r="H35" i="30"/>
  <c r="M35" i="30" s="1"/>
  <c r="S35" i="30" s="1"/>
  <c r="H35" i="22"/>
  <c r="M35" i="22" s="1"/>
  <c r="S35" i="22" s="1"/>
  <c r="H35" i="24"/>
  <c r="M35" i="24" s="1"/>
  <c r="S35" i="24" s="1"/>
  <c r="H35" i="17"/>
  <c r="M35" i="17" s="1"/>
  <c r="S35" i="17" s="1"/>
  <c r="H35" i="21"/>
  <c r="M35" i="21" s="1"/>
  <c r="S35" i="21" s="1"/>
  <c r="AC20" i="30"/>
  <c r="AB36" i="21"/>
  <c r="AB25" i="27"/>
  <c r="W25" i="27"/>
  <c r="AB20" i="27"/>
  <c r="Y39" i="20"/>
  <c r="AI39" i="20" s="1"/>
  <c r="AN39" i="20" s="1"/>
  <c r="Y24" i="22"/>
  <c r="AA6" i="30"/>
  <c r="Z24" i="27"/>
  <c r="U24" i="27"/>
  <c r="AA25" i="27"/>
  <c r="V25" i="27"/>
  <c r="W24" i="24"/>
  <c r="AB24" i="24"/>
  <c r="Y25" i="27"/>
  <c r="T25" i="27"/>
  <c r="G29" i="27"/>
  <c r="L29" i="27" s="1"/>
  <c r="R29" i="27" s="1"/>
  <c r="G29" i="30"/>
  <c r="L29" i="30" s="1"/>
  <c r="R29" i="30" s="1"/>
  <c r="G29" i="17"/>
  <c r="L29" i="17" s="1"/>
  <c r="R29" i="17" s="1"/>
  <c r="G29" i="24"/>
  <c r="L29" i="24" s="1"/>
  <c r="R29" i="24" s="1"/>
  <c r="G29" i="22"/>
  <c r="L29" i="22" s="1"/>
  <c r="R29" i="22" s="1"/>
  <c r="G29" i="21"/>
  <c r="L29" i="21" s="1"/>
  <c r="R29" i="21" s="1"/>
  <c r="AC20" i="27"/>
  <c r="AB36" i="17"/>
  <c r="F37" i="27"/>
  <c r="K37" i="27" s="1"/>
  <c r="Q37" i="27" s="1"/>
  <c r="F37" i="30"/>
  <c r="K37" i="30" s="1"/>
  <c r="Q37" i="30" s="1"/>
  <c r="F37" i="24"/>
  <c r="K37" i="24" s="1"/>
  <c r="Q37" i="24" s="1"/>
  <c r="F37" i="17"/>
  <c r="K37" i="17" s="1"/>
  <c r="Q37" i="17" s="1"/>
  <c r="F37" i="21"/>
  <c r="K37" i="21" s="1"/>
  <c r="Q37" i="21" s="1"/>
  <c r="F37" i="22"/>
  <c r="K37" i="22" s="1"/>
  <c r="Q37" i="22" s="1"/>
  <c r="Y35" i="20"/>
  <c r="AI35" i="20" s="1"/>
  <c r="AN35" i="20" s="1"/>
  <c r="Z20" i="27"/>
  <c r="AA24" i="22"/>
  <c r="V24" i="22"/>
  <c r="Z6" i="30"/>
  <c r="Z36" i="21"/>
  <c r="AB6" i="30"/>
  <c r="AA11" i="27"/>
  <c r="Y36" i="22"/>
  <c r="X25" i="30"/>
  <c r="AC25" i="30"/>
  <c r="Z24" i="24"/>
  <c r="U24" i="24"/>
  <c r="AA36" i="17"/>
  <c r="AC36" i="24"/>
  <c r="D35" i="27"/>
  <c r="I35" i="27" s="1"/>
  <c r="O35" i="27" s="1"/>
  <c r="D35" i="24"/>
  <c r="I35" i="24" s="1"/>
  <c r="O35" i="24" s="1"/>
  <c r="D35" i="17"/>
  <c r="I35" i="17" s="1"/>
  <c r="O35" i="17" s="1"/>
  <c r="D35" i="30"/>
  <c r="I35" i="30" s="1"/>
  <c r="O35" i="30" s="1"/>
  <c r="D35" i="22"/>
  <c r="I35" i="22" s="1"/>
  <c r="O35" i="22" s="1"/>
  <c r="D35" i="21"/>
  <c r="I35" i="21" s="1"/>
  <c r="O35" i="21" s="1"/>
  <c r="AB25" i="17"/>
  <c r="W25" i="17"/>
  <c r="U24" i="21"/>
  <c r="Z24" i="21"/>
  <c r="W24" i="21"/>
  <c r="AB24" i="21"/>
  <c r="W38" i="20"/>
  <c r="AG38" i="20" s="1"/>
  <c r="AL38" i="20" s="1"/>
  <c r="Y24" i="21"/>
  <c r="Z24" i="17"/>
  <c r="U24" i="17"/>
  <c r="Y25" i="30"/>
  <c r="G26" i="27"/>
  <c r="L26" i="27" s="1"/>
  <c r="R26" i="27" s="1"/>
  <c r="G26" i="30"/>
  <c r="L26" i="30" s="1"/>
  <c r="R26" i="30" s="1"/>
  <c r="G26" i="24"/>
  <c r="L26" i="24" s="1"/>
  <c r="R26" i="24" s="1"/>
  <c r="G26" i="22"/>
  <c r="L26" i="22" s="1"/>
  <c r="R26" i="22" s="1"/>
  <c r="G26" i="21"/>
  <c r="L26" i="21" s="1"/>
  <c r="R26" i="21" s="1"/>
  <c r="G26" i="17"/>
  <c r="L26" i="17" s="1"/>
  <c r="R26" i="17" s="1"/>
  <c r="AC36" i="27"/>
  <c r="Z20" i="30"/>
  <c r="AA11" i="21"/>
  <c r="X25" i="24"/>
  <c r="AC25" i="24"/>
  <c r="G17" i="27"/>
  <c r="L17" i="27" s="1"/>
  <c r="R17" i="27" s="1"/>
  <c r="G17" i="30"/>
  <c r="L17" i="30" s="1"/>
  <c r="R17" i="30" s="1"/>
  <c r="G17" i="24"/>
  <c r="L17" i="24" s="1"/>
  <c r="R17" i="24" s="1"/>
  <c r="G17" i="17"/>
  <c r="L17" i="17" s="1"/>
  <c r="R17" i="17" s="1"/>
  <c r="G17" i="22"/>
  <c r="L17" i="22" s="1"/>
  <c r="R17" i="22" s="1"/>
  <c r="G17" i="21"/>
  <c r="L17" i="21" s="1"/>
  <c r="R17" i="21" s="1"/>
  <c r="U25" i="21"/>
  <c r="Z25" i="21"/>
  <c r="D21" i="27"/>
  <c r="I21" i="27" s="1"/>
  <c r="O21" i="27" s="1"/>
  <c r="Y21" i="27" s="1"/>
  <c r="D21" i="30"/>
  <c r="I21" i="30" s="1"/>
  <c r="O21" i="30" s="1"/>
  <c r="Y21" i="30" s="1"/>
  <c r="D21" i="24"/>
  <c r="I21" i="24" s="1"/>
  <c r="O21" i="24" s="1"/>
  <c r="Y21" i="24" s="1"/>
  <c r="D21" i="17"/>
  <c r="I21" i="17" s="1"/>
  <c r="O21" i="17" s="1"/>
  <c r="Y21" i="17" s="1"/>
  <c r="D21" i="21"/>
  <c r="I21" i="21" s="1"/>
  <c r="O21" i="21" s="1"/>
  <c r="Y21" i="21" s="1"/>
  <c r="D21" i="22"/>
  <c r="I21" i="22" s="1"/>
  <c r="O21" i="22" s="1"/>
  <c r="Y21" i="22" s="1"/>
  <c r="Y24" i="17"/>
  <c r="Z25" i="22"/>
  <c r="U25" i="22"/>
  <c r="AC24" i="21"/>
  <c r="X24" i="21"/>
  <c r="U24" i="30"/>
  <c r="Z24" i="30"/>
  <c r="W24" i="30"/>
  <c r="AB24" i="30"/>
  <c r="X46" i="20"/>
  <c r="AH46" i="20" s="1"/>
  <c r="AM46" i="20" s="1"/>
  <c r="AA36" i="21"/>
  <c r="W39" i="20"/>
  <c r="AG39" i="20" s="1"/>
  <c r="AL39" i="20" s="1"/>
  <c r="AA20" i="24"/>
  <c r="Y34" i="20"/>
  <c r="AI34" i="20" s="1"/>
  <c r="AN34" i="20" s="1"/>
  <c r="AB36" i="24"/>
  <c r="D34" i="27"/>
  <c r="I34" i="27" s="1"/>
  <c r="O34" i="27" s="1"/>
  <c r="D34" i="30"/>
  <c r="I34" i="30" s="1"/>
  <c r="O34" i="30" s="1"/>
  <c r="D34" i="17"/>
  <c r="I34" i="17" s="1"/>
  <c r="O34" i="17" s="1"/>
  <c r="D34" i="24"/>
  <c r="I34" i="24" s="1"/>
  <c r="O34" i="24" s="1"/>
  <c r="D34" i="22"/>
  <c r="I34" i="22" s="1"/>
  <c r="O34" i="22" s="1"/>
  <c r="D34" i="21"/>
  <c r="I34" i="21" s="1"/>
  <c r="O34" i="21" s="1"/>
  <c r="AA46" i="20"/>
  <c r="AK46" i="20" s="1"/>
  <c r="AP46" i="20" s="1"/>
  <c r="AA39" i="20"/>
  <c r="AK39" i="20" s="1"/>
  <c r="AP39" i="20" s="1"/>
  <c r="H16" i="27"/>
  <c r="M16" i="27" s="1"/>
  <c r="S16" i="27" s="1"/>
  <c r="H16" i="30"/>
  <c r="M16" i="30" s="1"/>
  <c r="S16" i="30" s="1"/>
  <c r="H16" i="24"/>
  <c r="M16" i="24" s="1"/>
  <c r="S16" i="24" s="1"/>
  <c r="H16" i="17"/>
  <c r="M16" i="17" s="1"/>
  <c r="S16" i="17" s="1"/>
  <c r="H16" i="22"/>
  <c r="M16" i="22" s="1"/>
  <c r="S16" i="22" s="1"/>
  <c r="H16" i="21"/>
  <c r="M16" i="21" s="1"/>
  <c r="S16" i="21" s="1"/>
  <c r="V24" i="21"/>
  <c r="AA24" i="21"/>
  <c r="AA45" i="20"/>
  <c r="AK45" i="20" s="1"/>
  <c r="AP45" i="20" s="1"/>
  <c r="Z34" i="20"/>
  <c r="AJ34" i="20" s="1"/>
  <c r="AO34" i="20" s="1"/>
  <c r="Z36" i="22"/>
  <c r="AA11" i="30"/>
  <c r="Y36" i="21"/>
  <c r="AC25" i="27"/>
  <c r="X25" i="27"/>
  <c r="G8" i="22" l="1"/>
  <c r="L8" i="22" s="1"/>
  <c r="R8" i="22" s="1"/>
  <c r="T25" i="30"/>
  <c r="AA12" i="21"/>
  <c r="Z7" i="17"/>
  <c r="E8" i="24"/>
  <c r="J8" i="24" s="1"/>
  <c r="P8" i="24" s="1"/>
  <c r="AB7" i="30"/>
  <c r="AF7" i="30" s="1"/>
  <c r="AI7" i="30" s="1"/>
  <c r="Z12" i="21"/>
  <c r="AA7" i="30"/>
  <c r="D19" i="27"/>
  <c r="I19" i="27" s="1"/>
  <c r="O19" i="27" s="1"/>
  <c r="Y19" i="27" s="1"/>
  <c r="G8" i="30"/>
  <c r="L8" i="30" s="1"/>
  <c r="R8" i="30" s="1"/>
  <c r="AC7" i="21"/>
  <c r="AB7" i="21"/>
  <c r="E19" i="22"/>
  <c r="J19" i="22" s="1"/>
  <c r="P19" i="22" s="1"/>
  <c r="U37" i="22" s="1"/>
  <c r="AA7" i="21"/>
  <c r="AC7" i="27"/>
  <c r="E19" i="30"/>
  <c r="J19" i="30" s="1"/>
  <c r="P19" i="30" s="1"/>
  <c r="Z19" i="30" s="1"/>
  <c r="E8" i="22"/>
  <c r="J8" i="22" s="1"/>
  <c r="P8" i="22" s="1"/>
  <c r="Z7" i="21"/>
  <c r="G14" i="27"/>
  <c r="L14" i="27" s="1"/>
  <c r="R14" i="27" s="1"/>
  <c r="E8" i="17"/>
  <c r="J8" i="17" s="1"/>
  <c r="P8" i="17" s="1"/>
  <c r="E19" i="27"/>
  <c r="J19" i="27" s="1"/>
  <c r="P19" i="27" s="1"/>
  <c r="U37" i="27" s="1"/>
  <c r="AB7" i="27"/>
  <c r="AF7" i="27" s="1"/>
  <c r="AH7" i="27" s="1"/>
  <c r="T25" i="21"/>
  <c r="G14" i="22"/>
  <c r="L14" i="22" s="1"/>
  <c r="R14" i="22" s="1"/>
  <c r="D19" i="21"/>
  <c r="I19" i="21" s="1"/>
  <c r="O19" i="21" s="1"/>
  <c r="Y19" i="21" s="1"/>
  <c r="G12" i="30"/>
  <c r="L12" i="30" s="1"/>
  <c r="R12" i="30" s="1"/>
  <c r="AB12" i="30" s="1"/>
  <c r="G12" i="21"/>
  <c r="L12" i="21" s="1"/>
  <c r="R12" i="21" s="1"/>
  <c r="AB12" i="21" s="1"/>
  <c r="G12" i="27"/>
  <c r="L12" i="27" s="1"/>
  <c r="R12" i="27" s="1"/>
  <c r="AB12" i="27" s="1"/>
  <c r="G12" i="22"/>
  <c r="L12" i="22" s="1"/>
  <c r="R12" i="22" s="1"/>
  <c r="AB12" i="22" s="1"/>
  <c r="G12" i="24"/>
  <c r="L12" i="24" s="1"/>
  <c r="R12" i="24" s="1"/>
  <c r="AB12" i="24" s="1"/>
  <c r="G12" i="17"/>
  <c r="L12" i="17" s="1"/>
  <c r="R12" i="17" s="1"/>
  <c r="AB12" i="17" s="1"/>
  <c r="D19" i="17"/>
  <c r="I19" i="17" s="1"/>
  <c r="O19" i="17" s="1"/>
  <c r="Y19" i="17" s="1"/>
  <c r="D14" i="30"/>
  <c r="I14" i="30" s="1"/>
  <c r="O14" i="30" s="1"/>
  <c r="Y14" i="30" s="1"/>
  <c r="D19" i="24"/>
  <c r="I19" i="24" s="1"/>
  <c r="O19" i="24" s="1"/>
  <c r="Y19" i="24" s="1"/>
  <c r="AA37" i="11"/>
  <c r="AK37" i="11" s="1"/>
  <c r="AP37" i="11" s="1"/>
  <c r="Z12" i="17"/>
  <c r="G14" i="21"/>
  <c r="L14" i="21" s="1"/>
  <c r="R14" i="21" s="1"/>
  <c r="AB14" i="21" s="1"/>
  <c r="G14" i="30"/>
  <c r="L14" i="30" s="1"/>
  <c r="R14" i="30" s="1"/>
  <c r="W25" i="30"/>
  <c r="AD25" i="30" s="1"/>
  <c r="AE25" i="30" s="1"/>
  <c r="W25" i="22"/>
  <c r="AD25" i="22" s="1"/>
  <c r="AE25" i="22" s="1"/>
  <c r="G14" i="17"/>
  <c r="L14" i="17" s="1"/>
  <c r="R14" i="17" s="1"/>
  <c r="P63" i="3"/>
  <c r="O63" i="3"/>
  <c r="F13" i="21"/>
  <c r="K13" i="21" s="1"/>
  <c r="Q13" i="21" s="1"/>
  <c r="F13" i="24"/>
  <c r="K13" i="24" s="1"/>
  <c r="Q13" i="24" s="1"/>
  <c r="F13" i="27"/>
  <c r="K13" i="27" s="1"/>
  <c r="Q13" i="27" s="1"/>
  <c r="W33" i="11"/>
  <c r="AG33" i="11" s="1"/>
  <c r="AL33" i="11" s="1"/>
  <c r="D8" i="30" s="1"/>
  <c r="I8" i="30" s="1"/>
  <c r="O8" i="30" s="1"/>
  <c r="T26" i="30" s="1"/>
  <c r="AB9" i="27"/>
  <c r="Y35" i="11"/>
  <c r="AI35" i="11" s="1"/>
  <c r="AN35" i="11" s="1"/>
  <c r="F10" i="24" s="1"/>
  <c r="K10" i="24" s="1"/>
  <c r="Q10" i="24" s="1"/>
  <c r="W43" i="11"/>
  <c r="AG43" i="11" s="1"/>
  <c r="AL43" i="11" s="1"/>
  <c r="D18" i="21" s="1"/>
  <c r="I18" i="21" s="1"/>
  <c r="O18" i="21" s="1"/>
  <c r="AB9" i="22"/>
  <c r="F14" i="24"/>
  <c r="K14" i="24" s="1"/>
  <c r="Q14" i="24" s="1"/>
  <c r="AA14" i="24" s="1"/>
  <c r="AA6" i="17"/>
  <c r="AC14" i="22"/>
  <c r="W25" i="24"/>
  <c r="AD25" i="24" s="1"/>
  <c r="AE25" i="24" s="1"/>
  <c r="X43" i="11"/>
  <c r="AH43" i="11" s="1"/>
  <c r="AM43" i="11" s="1"/>
  <c r="E18" i="21" s="1"/>
  <c r="J18" i="21" s="1"/>
  <c r="P18" i="21" s="1"/>
  <c r="D14" i="27"/>
  <c r="I14" i="27" s="1"/>
  <c r="O14" i="27" s="1"/>
  <c r="Y14" i="27" s="1"/>
  <c r="F13" i="17"/>
  <c r="K13" i="17" s="1"/>
  <c r="Q13" i="17" s="1"/>
  <c r="AC9" i="27"/>
  <c r="D14" i="17"/>
  <c r="I14" i="17" s="1"/>
  <c r="O14" i="17" s="1"/>
  <c r="Y14" i="17" s="1"/>
  <c r="F13" i="30"/>
  <c r="K13" i="30" s="1"/>
  <c r="Q13" i="30" s="1"/>
  <c r="D8" i="21"/>
  <c r="I8" i="21" s="1"/>
  <c r="O8" i="21" s="1"/>
  <c r="AB14" i="22"/>
  <c r="E8" i="21"/>
  <c r="J8" i="21" s="1"/>
  <c r="P8" i="21" s="1"/>
  <c r="E8" i="27"/>
  <c r="J8" i="27" s="1"/>
  <c r="P8" i="27" s="1"/>
  <c r="U26" i="27" s="1"/>
  <c r="W33" i="22"/>
  <c r="F14" i="17"/>
  <c r="K14" i="17" s="1"/>
  <c r="Q14" i="17" s="1"/>
  <c r="AA43" i="11"/>
  <c r="AK43" i="11" s="1"/>
  <c r="AP43" i="11" s="1"/>
  <c r="H18" i="24" s="1"/>
  <c r="M18" i="24" s="1"/>
  <c r="S18" i="24" s="1"/>
  <c r="Z19" i="22"/>
  <c r="F14" i="27"/>
  <c r="K14" i="27" s="1"/>
  <c r="Q14" i="27" s="1"/>
  <c r="AA14" i="27" s="1"/>
  <c r="Z6" i="22"/>
  <c r="F14" i="22"/>
  <c r="K14" i="22" s="1"/>
  <c r="Q14" i="22" s="1"/>
  <c r="AA14" i="22" s="1"/>
  <c r="AA12" i="17"/>
  <c r="Z9" i="27"/>
  <c r="F14" i="21"/>
  <c r="K14" i="21" s="1"/>
  <c r="Q14" i="21" s="1"/>
  <c r="AA14" i="21" s="1"/>
  <c r="G19" i="22"/>
  <c r="L19" i="22" s="1"/>
  <c r="R19" i="22" s="1"/>
  <c r="AB19" i="22" s="1"/>
  <c r="W35" i="11"/>
  <c r="AG35" i="11" s="1"/>
  <c r="AL35" i="11" s="1"/>
  <c r="D10" i="21" s="1"/>
  <c r="I10" i="21" s="1"/>
  <c r="O10" i="21" s="1"/>
  <c r="Y10" i="21" s="1"/>
  <c r="AA35" i="11"/>
  <c r="AK35" i="11" s="1"/>
  <c r="AP35" i="11" s="1"/>
  <c r="H10" i="21" s="1"/>
  <c r="M10" i="21" s="1"/>
  <c r="S10" i="21" s="1"/>
  <c r="Z43" i="11"/>
  <c r="AJ43" i="11" s="1"/>
  <c r="AO43" i="11" s="1"/>
  <c r="G18" i="30" s="1"/>
  <c r="L18" i="30" s="1"/>
  <c r="R18" i="30" s="1"/>
  <c r="G19" i="21"/>
  <c r="L19" i="21" s="1"/>
  <c r="R19" i="21" s="1"/>
  <c r="G19" i="17"/>
  <c r="L19" i="17" s="1"/>
  <c r="R19" i="17" s="1"/>
  <c r="G19" i="30"/>
  <c r="L19" i="30" s="1"/>
  <c r="R19" i="30" s="1"/>
  <c r="AB19" i="30" s="1"/>
  <c r="Z14" i="22"/>
  <c r="G19" i="24"/>
  <c r="L19" i="24" s="1"/>
  <c r="R19" i="24" s="1"/>
  <c r="AA9" i="27"/>
  <c r="AC14" i="30"/>
  <c r="X35" i="11"/>
  <c r="AH35" i="11" s="1"/>
  <c r="AM35" i="11" s="1"/>
  <c r="E10" i="24" s="1"/>
  <c r="J10" i="24" s="1"/>
  <c r="P10" i="24" s="1"/>
  <c r="AA9" i="24"/>
  <c r="AB19" i="27"/>
  <c r="AC14" i="21"/>
  <c r="Z19" i="27"/>
  <c r="G13" i="24"/>
  <c r="L13" i="24" s="1"/>
  <c r="R13" i="24" s="1"/>
  <c r="G13" i="27"/>
  <c r="L13" i="27" s="1"/>
  <c r="R13" i="27" s="1"/>
  <c r="G13" i="22"/>
  <c r="L13" i="22" s="1"/>
  <c r="R13" i="22" s="1"/>
  <c r="G13" i="21"/>
  <c r="L13" i="21" s="1"/>
  <c r="R13" i="21" s="1"/>
  <c r="G13" i="30"/>
  <c r="L13" i="30" s="1"/>
  <c r="R13" i="30" s="1"/>
  <c r="G13" i="17"/>
  <c r="L13" i="17" s="1"/>
  <c r="R13" i="17" s="1"/>
  <c r="AB9" i="21"/>
  <c r="W25" i="21"/>
  <c r="AB9" i="24"/>
  <c r="D13" i="24"/>
  <c r="I13" i="24" s="1"/>
  <c r="O13" i="24" s="1"/>
  <c r="Y13" i="24" s="1"/>
  <c r="D13" i="21"/>
  <c r="I13" i="21" s="1"/>
  <c r="O13" i="21" s="1"/>
  <c r="Y13" i="21" s="1"/>
  <c r="D13" i="17"/>
  <c r="I13" i="17" s="1"/>
  <c r="O13" i="17" s="1"/>
  <c r="Y13" i="17" s="1"/>
  <c r="D13" i="22"/>
  <c r="I13" i="22" s="1"/>
  <c r="O13" i="22" s="1"/>
  <c r="Y13" i="22" s="1"/>
  <c r="D13" i="27"/>
  <c r="I13" i="27" s="1"/>
  <c r="O13" i="27" s="1"/>
  <c r="Y13" i="27" s="1"/>
  <c r="D13" i="30"/>
  <c r="I13" i="30" s="1"/>
  <c r="O13" i="30" s="1"/>
  <c r="Y13" i="30" s="1"/>
  <c r="Z19" i="21"/>
  <c r="Z14" i="21"/>
  <c r="AA9" i="21"/>
  <c r="AC9" i="24"/>
  <c r="AC9" i="22"/>
  <c r="H19" i="30"/>
  <c r="M19" i="30" s="1"/>
  <c r="S19" i="30" s="1"/>
  <c r="AC19" i="30" s="1"/>
  <c r="H19" i="22"/>
  <c r="M19" i="22" s="1"/>
  <c r="S19" i="22" s="1"/>
  <c r="AC19" i="22" s="1"/>
  <c r="H19" i="21"/>
  <c r="M19" i="21" s="1"/>
  <c r="S19" i="21" s="1"/>
  <c r="AC19" i="21" s="1"/>
  <c r="H19" i="17"/>
  <c r="M19" i="17" s="1"/>
  <c r="S19" i="17" s="1"/>
  <c r="H19" i="27"/>
  <c r="M19" i="27" s="1"/>
  <c r="S19" i="27" s="1"/>
  <c r="AC19" i="27" s="1"/>
  <c r="H19" i="24"/>
  <c r="M19" i="24" s="1"/>
  <c r="S19" i="24" s="1"/>
  <c r="AC14" i="17"/>
  <c r="D18" i="30"/>
  <c r="I18" i="30" s="1"/>
  <c r="O18" i="30" s="1"/>
  <c r="D18" i="17"/>
  <c r="I18" i="17" s="1"/>
  <c r="O18" i="17" s="1"/>
  <c r="D18" i="22"/>
  <c r="I18" i="22" s="1"/>
  <c r="O18" i="22" s="1"/>
  <c r="D18" i="27"/>
  <c r="I18" i="27" s="1"/>
  <c r="O18" i="27" s="1"/>
  <c r="D18" i="24"/>
  <c r="I18" i="24" s="1"/>
  <c r="O18" i="24" s="1"/>
  <c r="E13" i="22"/>
  <c r="J13" i="22" s="1"/>
  <c r="P13" i="22" s="1"/>
  <c r="E13" i="27"/>
  <c r="J13" i="27" s="1"/>
  <c r="P13" i="27" s="1"/>
  <c r="E13" i="21"/>
  <c r="J13" i="21" s="1"/>
  <c r="P13" i="21" s="1"/>
  <c r="E13" i="30"/>
  <c r="J13" i="30" s="1"/>
  <c r="P13" i="30" s="1"/>
  <c r="E13" i="24"/>
  <c r="J13" i="24" s="1"/>
  <c r="P13" i="24" s="1"/>
  <c r="E13" i="17"/>
  <c r="J13" i="17" s="1"/>
  <c r="P13" i="17" s="1"/>
  <c r="Z9" i="24"/>
  <c r="X33" i="22"/>
  <c r="Z9" i="21"/>
  <c r="Z14" i="17"/>
  <c r="Z14" i="24"/>
  <c r="AC9" i="21"/>
  <c r="AA12" i="30"/>
  <c r="AA9" i="22"/>
  <c r="Z12" i="30"/>
  <c r="AA12" i="24"/>
  <c r="Z12" i="24"/>
  <c r="F19" i="27"/>
  <c r="K19" i="27" s="1"/>
  <c r="Q19" i="27" s="1"/>
  <c r="AA19" i="27" s="1"/>
  <c r="F19" i="17"/>
  <c r="K19" i="17" s="1"/>
  <c r="Q19" i="17" s="1"/>
  <c r="F19" i="30"/>
  <c r="K19" i="30" s="1"/>
  <c r="Q19" i="30" s="1"/>
  <c r="AA19" i="30" s="1"/>
  <c r="F19" i="24"/>
  <c r="K19" i="24" s="1"/>
  <c r="Q19" i="24" s="1"/>
  <c r="F19" i="22"/>
  <c r="K19" i="22" s="1"/>
  <c r="Q19" i="22" s="1"/>
  <c r="AA19" i="22" s="1"/>
  <c r="F19" i="21"/>
  <c r="K19" i="21" s="1"/>
  <c r="Q19" i="21" s="1"/>
  <c r="F10" i="17"/>
  <c r="K10" i="17" s="1"/>
  <c r="Q10" i="17" s="1"/>
  <c r="AB14" i="24"/>
  <c r="AA12" i="22"/>
  <c r="Z9" i="22"/>
  <c r="AC14" i="24"/>
  <c r="AB14" i="27"/>
  <c r="Z35" i="11"/>
  <c r="AJ35" i="11" s="1"/>
  <c r="AO35" i="11" s="1"/>
  <c r="Y43" i="11"/>
  <c r="AI43" i="11" s="1"/>
  <c r="AN43" i="11" s="1"/>
  <c r="W33" i="30"/>
  <c r="AB6" i="27"/>
  <c r="AA6" i="27"/>
  <c r="W33" i="24"/>
  <c r="AC17" i="27"/>
  <c r="W33" i="27"/>
  <c r="X33" i="17"/>
  <c r="T24" i="17"/>
  <c r="AD24" i="17" s="1"/>
  <c r="AE24" i="17" s="1"/>
  <c r="T24" i="21"/>
  <c r="AD24" i="21" s="1"/>
  <c r="AE24" i="21" s="1"/>
  <c r="AA6" i="22"/>
  <c r="AF7" i="17"/>
  <c r="AJ7" i="17" s="1"/>
  <c r="AC6" i="21"/>
  <c r="T24" i="22"/>
  <c r="AD24" i="22" s="1"/>
  <c r="AE24" i="22" s="1"/>
  <c r="AC6" i="17"/>
  <c r="AC6" i="22"/>
  <c r="Z6" i="17"/>
  <c r="AB6" i="17"/>
  <c r="AB6" i="22"/>
  <c r="U33" i="30"/>
  <c r="AK20" i="22"/>
  <c r="AN20" i="22" s="1"/>
  <c r="AA6" i="21"/>
  <c r="Z6" i="21"/>
  <c r="AK7" i="17"/>
  <c r="AN7" i="17" s="1"/>
  <c r="AB17" i="27"/>
  <c r="AC6" i="24"/>
  <c r="Z6" i="27"/>
  <c r="T24" i="27"/>
  <c r="AD24" i="27" s="1"/>
  <c r="AE24" i="27" s="1"/>
  <c r="AC6" i="27"/>
  <c r="AB6" i="21"/>
  <c r="AP7" i="17"/>
  <c r="AS7" i="17" s="1"/>
  <c r="AA17" i="24"/>
  <c r="AF7" i="22"/>
  <c r="AG7" i="22" s="1"/>
  <c r="AF20" i="17"/>
  <c r="AI20" i="17" s="1"/>
  <c r="AK11" i="17"/>
  <c r="AL11" i="17" s="1"/>
  <c r="AA15" i="21"/>
  <c r="AF7" i="24"/>
  <c r="AI7" i="24" s="1"/>
  <c r="AK11" i="22"/>
  <c r="AO11" i="22" s="1"/>
  <c r="AK20" i="17"/>
  <c r="AM20" i="17" s="1"/>
  <c r="AB6" i="24"/>
  <c r="AF20" i="30"/>
  <c r="AI20" i="30" s="1"/>
  <c r="Z6" i="24"/>
  <c r="T24" i="24"/>
  <c r="AD24" i="24" s="1"/>
  <c r="AE24" i="24" s="1"/>
  <c r="U33" i="24"/>
  <c r="AA16" i="22"/>
  <c r="AA6" i="24"/>
  <c r="AC17" i="30"/>
  <c r="AA21" i="21"/>
  <c r="Z17" i="27"/>
  <c r="Z15" i="21"/>
  <c r="AF20" i="22"/>
  <c r="AJ20" i="22" s="1"/>
  <c r="AP7" i="22"/>
  <c r="AT7" i="22" s="1"/>
  <c r="AF9" i="30"/>
  <c r="AH9" i="30" s="1"/>
  <c r="AC15" i="24"/>
  <c r="Z17" i="30"/>
  <c r="AA17" i="27"/>
  <c r="AC15" i="21"/>
  <c r="Z21" i="17"/>
  <c r="Z16" i="30"/>
  <c r="AP20" i="22"/>
  <c r="AR20" i="22" s="1"/>
  <c r="AA16" i="27"/>
  <c r="AK7" i="24"/>
  <c r="AP7" i="24"/>
  <c r="AQ7" i="24" s="1"/>
  <c r="AK11" i="21"/>
  <c r="AM11" i="21" s="1"/>
  <c r="AC16" i="30"/>
  <c r="AF11" i="27"/>
  <c r="AJ11" i="27" s="1"/>
  <c r="Z21" i="21"/>
  <c r="AC21" i="17"/>
  <c r="AA16" i="30"/>
  <c r="AP20" i="17"/>
  <c r="AT20" i="17" s="1"/>
  <c r="AC16" i="24"/>
  <c r="AF20" i="27"/>
  <c r="AI20" i="27" s="1"/>
  <c r="AC16" i="27"/>
  <c r="AB16" i="27"/>
  <c r="AB21" i="24"/>
  <c r="Z16" i="27"/>
  <c r="AK7" i="22"/>
  <c r="AF6" i="30"/>
  <c r="AH6" i="30" s="1"/>
  <c r="AF11" i="24"/>
  <c r="AI11" i="24" s="1"/>
  <c r="F33" i="17"/>
  <c r="K33" i="17" s="1"/>
  <c r="Q33" i="17" s="1"/>
  <c r="F33" i="21"/>
  <c r="K33" i="21" s="1"/>
  <c r="Q33" i="21" s="1"/>
  <c r="F33" i="27"/>
  <c r="K33" i="27" s="1"/>
  <c r="Q33" i="27" s="1"/>
  <c r="F33" i="30"/>
  <c r="K33" i="30" s="1"/>
  <c r="Q33" i="30" s="1"/>
  <c r="F33" i="24"/>
  <c r="K33" i="24" s="1"/>
  <c r="Q33" i="24" s="1"/>
  <c r="F33" i="22"/>
  <c r="K33" i="22" s="1"/>
  <c r="Q33" i="22" s="1"/>
  <c r="V33" i="22" s="1"/>
  <c r="AP11" i="17"/>
  <c r="AS11" i="17" s="1"/>
  <c r="AF11" i="17"/>
  <c r="AH11" i="17" s="1"/>
  <c r="AK20" i="21"/>
  <c r="AM20" i="21" s="1"/>
  <c r="AP20" i="21"/>
  <c r="AQ20" i="21" s="1"/>
  <c r="D33" i="27"/>
  <c r="I33" i="27" s="1"/>
  <c r="O33" i="27" s="1"/>
  <c r="D33" i="30"/>
  <c r="I33" i="30" s="1"/>
  <c r="O33" i="30" s="1"/>
  <c r="D33" i="22"/>
  <c r="I33" i="22" s="1"/>
  <c r="O33" i="22" s="1"/>
  <c r="D33" i="24"/>
  <c r="I33" i="24" s="1"/>
  <c r="O33" i="24" s="1"/>
  <c r="D33" i="21"/>
  <c r="I33" i="21" s="1"/>
  <c r="O33" i="21" s="1"/>
  <c r="D33" i="17"/>
  <c r="I33" i="17" s="1"/>
  <c r="O33" i="17" s="1"/>
  <c r="T33" i="17" s="1"/>
  <c r="AF20" i="21"/>
  <c r="AH20" i="21" s="1"/>
  <c r="AB21" i="27"/>
  <c r="Z17" i="21"/>
  <c r="AP11" i="22"/>
  <c r="AQ11" i="22" s="1"/>
  <c r="AP9" i="17"/>
  <c r="AQ9" i="17" s="1"/>
  <c r="AF20" i="24"/>
  <c r="AG20" i="24" s="1"/>
  <c r="AD24" i="30"/>
  <c r="AE24" i="30" s="1"/>
  <c r="Z17" i="17"/>
  <c r="AC15" i="30"/>
  <c r="Z15" i="30"/>
  <c r="AF11" i="30"/>
  <c r="AJ11" i="30" s="1"/>
  <c r="AF11" i="21"/>
  <c r="AH11" i="21" s="1"/>
  <c r="Z21" i="30"/>
  <c r="AC17" i="24"/>
  <c r="AA15" i="24"/>
  <c r="AC21" i="21"/>
  <c r="Z16" i="17"/>
  <c r="AB15" i="24"/>
  <c r="AA16" i="24"/>
  <c r="AC17" i="22"/>
  <c r="AB16" i="21"/>
  <c r="AC17" i="17"/>
  <c r="AB17" i="24"/>
  <c r="Z21" i="27"/>
  <c r="AB16" i="24"/>
  <c r="AA15" i="30"/>
  <c r="AA17" i="22"/>
  <c r="Z16" i="24"/>
  <c r="AB15" i="30"/>
  <c r="AC16" i="22"/>
  <c r="AB17" i="30"/>
  <c r="X33" i="30"/>
  <c r="AB16" i="30"/>
  <c r="Z17" i="24"/>
  <c r="AA15" i="27"/>
  <c r="AA17" i="17"/>
  <c r="E39" i="27"/>
  <c r="J39" i="27" s="1"/>
  <c r="P39" i="27" s="1"/>
  <c r="E39" i="30"/>
  <c r="J39" i="30" s="1"/>
  <c r="P39" i="30" s="1"/>
  <c r="E39" i="24"/>
  <c r="J39" i="24" s="1"/>
  <c r="P39" i="24" s="1"/>
  <c r="E39" i="17"/>
  <c r="J39" i="17" s="1"/>
  <c r="P39" i="17" s="1"/>
  <c r="E39" i="21"/>
  <c r="J39" i="21" s="1"/>
  <c r="P39" i="21" s="1"/>
  <c r="E39" i="22"/>
  <c r="J39" i="22" s="1"/>
  <c r="P39" i="22" s="1"/>
  <c r="G28" i="30"/>
  <c r="L28" i="30" s="1"/>
  <c r="R28" i="30" s="1"/>
  <c r="G28" i="27"/>
  <c r="L28" i="27" s="1"/>
  <c r="R28" i="27" s="1"/>
  <c r="G28" i="24"/>
  <c r="L28" i="24" s="1"/>
  <c r="R28" i="24" s="1"/>
  <c r="G28" i="17"/>
  <c r="L28" i="17" s="1"/>
  <c r="R28" i="17" s="1"/>
  <c r="G28" i="22"/>
  <c r="L28" i="22" s="1"/>
  <c r="R28" i="22" s="1"/>
  <c r="G28" i="21"/>
  <c r="L28" i="21" s="1"/>
  <c r="R28" i="21" s="1"/>
  <c r="E32" i="27"/>
  <c r="J32" i="27" s="1"/>
  <c r="P32" i="27" s="1"/>
  <c r="E32" i="30"/>
  <c r="J32" i="30" s="1"/>
  <c r="P32" i="30" s="1"/>
  <c r="E32" i="22"/>
  <c r="J32" i="22" s="1"/>
  <c r="P32" i="22" s="1"/>
  <c r="E32" i="17"/>
  <c r="J32" i="17" s="1"/>
  <c r="P32" i="17" s="1"/>
  <c r="E32" i="21"/>
  <c r="J32" i="21" s="1"/>
  <c r="P32" i="21" s="1"/>
  <c r="E32" i="24"/>
  <c r="J32" i="24" s="1"/>
  <c r="P32" i="24" s="1"/>
  <c r="G39" i="27"/>
  <c r="L39" i="27" s="1"/>
  <c r="R39" i="27" s="1"/>
  <c r="G39" i="30"/>
  <c r="L39" i="30" s="1"/>
  <c r="R39" i="30" s="1"/>
  <c r="G39" i="24"/>
  <c r="L39" i="24" s="1"/>
  <c r="R39" i="24" s="1"/>
  <c r="G39" i="22"/>
  <c r="L39" i="22" s="1"/>
  <c r="R39" i="22" s="1"/>
  <c r="G39" i="21"/>
  <c r="L39" i="21" s="1"/>
  <c r="R39" i="21" s="1"/>
  <c r="G39" i="17"/>
  <c r="L39" i="17" s="1"/>
  <c r="R39" i="17" s="1"/>
  <c r="D39" i="27"/>
  <c r="I39" i="27" s="1"/>
  <c r="O39" i="27" s="1"/>
  <c r="D39" i="30"/>
  <c r="I39" i="30" s="1"/>
  <c r="O39" i="30" s="1"/>
  <c r="D39" i="24"/>
  <c r="I39" i="24" s="1"/>
  <c r="O39" i="24" s="1"/>
  <c r="D39" i="22"/>
  <c r="I39" i="22" s="1"/>
  <c r="O39" i="22" s="1"/>
  <c r="D39" i="21"/>
  <c r="I39" i="21" s="1"/>
  <c r="O39" i="21" s="1"/>
  <c r="D39" i="17"/>
  <c r="I39" i="17" s="1"/>
  <c r="O39" i="17" s="1"/>
  <c r="H39" i="27"/>
  <c r="M39" i="27" s="1"/>
  <c r="S39" i="27" s="1"/>
  <c r="H39" i="30"/>
  <c r="M39" i="30" s="1"/>
  <c r="S39" i="30" s="1"/>
  <c r="H39" i="24"/>
  <c r="M39" i="24" s="1"/>
  <c r="S39" i="24" s="1"/>
  <c r="H39" i="17"/>
  <c r="M39" i="17" s="1"/>
  <c r="S39" i="17" s="1"/>
  <c r="H39" i="22"/>
  <c r="M39" i="22" s="1"/>
  <c r="S39" i="22" s="1"/>
  <c r="H39" i="21"/>
  <c r="M39" i="21" s="1"/>
  <c r="S39" i="21" s="1"/>
  <c r="H30" i="27"/>
  <c r="M30" i="27" s="1"/>
  <c r="S30" i="27" s="1"/>
  <c r="H30" i="30"/>
  <c r="M30" i="30" s="1"/>
  <c r="S30" i="30" s="1"/>
  <c r="H30" i="24"/>
  <c r="M30" i="24" s="1"/>
  <c r="S30" i="24" s="1"/>
  <c r="H30" i="17"/>
  <c r="M30" i="17" s="1"/>
  <c r="S30" i="17" s="1"/>
  <c r="H30" i="21"/>
  <c r="M30" i="21" s="1"/>
  <c r="S30" i="21" s="1"/>
  <c r="H30" i="22"/>
  <c r="M30" i="22" s="1"/>
  <c r="S30" i="22" s="1"/>
  <c r="F27" i="30"/>
  <c r="K27" i="30" s="1"/>
  <c r="Q27" i="30" s="1"/>
  <c r="F27" i="27"/>
  <c r="K27" i="27" s="1"/>
  <c r="Q27" i="27" s="1"/>
  <c r="F27" i="24"/>
  <c r="K27" i="24" s="1"/>
  <c r="Q27" i="24" s="1"/>
  <c r="F27" i="22"/>
  <c r="K27" i="22" s="1"/>
  <c r="Q27" i="22" s="1"/>
  <c r="F27" i="21"/>
  <c r="K27" i="21" s="1"/>
  <c r="Q27" i="21" s="1"/>
  <c r="F27" i="17"/>
  <c r="K27" i="17" s="1"/>
  <c r="Q27" i="17" s="1"/>
  <c r="D31" i="27"/>
  <c r="I31" i="27" s="1"/>
  <c r="O31" i="27" s="1"/>
  <c r="D31" i="30"/>
  <c r="I31" i="30" s="1"/>
  <c r="O31" i="30" s="1"/>
  <c r="D31" i="22"/>
  <c r="I31" i="22" s="1"/>
  <c r="O31" i="22" s="1"/>
  <c r="D31" i="17"/>
  <c r="I31" i="17" s="1"/>
  <c r="O31" i="17" s="1"/>
  <c r="D31" i="21"/>
  <c r="I31" i="21" s="1"/>
  <c r="O31" i="21" s="1"/>
  <c r="D31" i="24"/>
  <c r="I31" i="24" s="1"/>
  <c r="O31" i="24" s="1"/>
  <c r="H38" i="27"/>
  <c r="M38" i="27" s="1"/>
  <c r="S38" i="27" s="1"/>
  <c r="H38" i="30"/>
  <c r="M38" i="30" s="1"/>
  <c r="S38" i="30" s="1"/>
  <c r="H38" i="17"/>
  <c r="M38" i="17" s="1"/>
  <c r="S38" i="17" s="1"/>
  <c r="H38" i="24"/>
  <c r="M38" i="24" s="1"/>
  <c r="S38" i="24" s="1"/>
  <c r="H38" i="22"/>
  <c r="M38" i="22" s="1"/>
  <c r="S38" i="22" s="1"/>
  <c r="H38" i="21"/>
  <c r="M38" i="21" s="1"/>
  <c r="S38" i="21" s="1"/>
  <c r="F38" i="27"/>
  <c r="K38" i="27" s="1"/>
  <c r="Q38" i="27" s="1"/>
  <c r="F38" i="30"/>
  <c r="K38" i="30" s="1"/>
  <c r="Q38" i="30" s="1"/>
  <c r="F38" i="17"/>
  <c r="K38" i="17" s="1"/>
  <c r="Q38" i="17" s="1"/>
  <c r="F38" i="24"/>
  <c r="K38" i="24" s="1"/>
  <c r="Q38" i="24" s="1"/>
  <c r="F38" i="22"/>
  <c r="K38" i="22" s="1"/>
  <c r="Q38" i="22" s="1"/>
  <c r="F38" i="21"/>
  <c r="K38" i="21" s="1"/>
  <c r="Q38" i="21" s="1"/>
  <c r="X35" i="27"/>
  <c r="AC35" i="27"/>
  <c r="E27" i="27"/>
  <c r="J27" i="27" s="1"/>
  <c r="P27" i="27" s="1"/>
  <c r="E27" i="24"/>
  <c r="J27" i="24" s="1"/>
  <c r="P27" i="24" s="1"/>
  <c r="E27" i="17"/>
  <c r="J27" i="17" s="1"/>
  <c r="P27" i="17" s="1"/>
  <c r="E27" i="30"/>
  <c r="J27" i="30" s="1"/>
  <c r="P27" i="30" s="1"/>
  <c r="E27" i="22"/>
  <c r="J27" i="22" s="1"/>
  <c r="P27" i="22" s="1"/>
  <c r="E27" i="21"/>
  <c r="J27" i="21" s="1"/>
  <c r="P27" i="21" s="1"/>
  <c r="W34" i="24"/>
  <c r="AB34" i="24"/>
  <c r="V35" i="17"/>
  <c r="AA35" i="17"/>
  <c r="X26" i="17"/>
  <c r="AC26" i="17"/>
  <c r="Y34" i="24"/>
  <c r="T34" i="24"/>
  <c r="X34" i="17"/>
  <c r="AC34" i="17"/>
  <c r="AF9" i="17"/>
  <c r="AC29" i="22"/>
  <c r="X29" i="22"/>
  <c r="E28" i="27"/>
  <c r="J28" i="27" s="1"/>
  <c r="P28" i="27" s="1"/>
  <c r="E28" i="30"/>
  <c r="J28" i="30" s="1"/>
  <c r="P28" i="30" s="1"/>
  <c r="E28" i="24"/>
  <c r="J28" i="24" s="1"/>
  <c r="P28" i="24" s="1"/>
  <c r="E28" i="17"/>
  <c r="J28" i="17" s="1"/>
  <c r="P28" i="17" s="1"/>
  <c r="E28" i="22"/>
  <c r="J28" i="22" s="1"/>
  <c r="P28" i="22" s="1"/>
  <c r="E28" i="21"/>
  <c r="J28" i="21" s="1"/>
  <c r="P28" i="21" s="1"/>
  <c r="Y35" i="21"/>
  <c r="T35" i="21"/>
  <c r="D28" i="27"/>
  <c r="I28" i="27" s="1"/>
  <c r="O28" i="27" s="1"/>
  <c r="D28" i="30"/>
  <c r="I28" i="30" s="1"/>
  <c r="O28" i="30" s="1"/>
  <c r="D28" i="17"/>
  <c r="I28" i="17" s="1"/>
  <c r="O28" i="17" s="1"/>
  <c r="D28" i="24"/>
  <c r="I28" i="24" s="1"/>
  <c r="O28" i="24" s="1"/>
  <c r="D28" i="22"/>
  <c r="I28" i="22" s="1"/>
  <c r="O28" i="22" s="1"/>
  <c r="D28" i="21"/>
  <c r="I28" i="21" s="1"/>
  <c r="O28" i="21" s="1"/>
  <c r="G27" i="27"/>
  <c r="L27" i="27" s="1"/>
  <c r="R27" i="27" s="1"/>
  <c r="G27" i="30"/>
  <c r="L27" i="30" s="1"/>
  <c r="R27" i="30" s="1"/>
  <c r="G27" i="24"/>
  <c r="L27" i="24" s="1"/>
  <c r="R27" i="24" s="1"/>
  <c r="G27" i="22"/>
  <c r="L27" i="22" s="1"/>
  <c r="R27" i="22" s="1"/>
  <c r="G27" i="21"/>
  <c r="L27" i="21" s="1"/>
  <c r="R27" i="21" s="1"/>
  <c r="G27" i="17"/>
  <c r="L27" i="17" s="1"/>
  <c r="R27" i="17" s="1"/>
  <c r="X35" i="22"/>
  <c r="AC35" i="22"/>
  <c r="AB37" i="27"/>
  <c r="W37" i="27"/>
  <c r="Z37" i="30"/>
  <c r="AA26" i="21"/>
  <c r="V26" i="21"/>
  <c r="D27" i="27"/>
  <c r="I27" i="27" s="1"/>
  <c r="O27" i="27" s="1"/>
  <c r="D27" i="30"/>
  <c r="I27" i="30" s="1"/>
  <c r="O27" i="30" s="1"/>
  <c r="D27" i="24"/>
  <c r="I27" i="24" s="1"/>
  <c r="O27" i="24" s="1"/>
  <c r="D27" i="21"/>
  <c r="I27" i="21" s="1"/>
  <c r="O27" i="21" s="1"/>
  <c r="D27" i="17"/>
  <c r="I27" i="17" s="1"/>
  <c r="O27" i="17" s="1"/>
  <c r="D27" i="22"/>
  <c r="I27" i="22" s="1"/>
  <c r="O27" i="22" s="1"/>
  <c r="U34" i="22"/>
  <c r="Z34" i="22"/>
  <c r="AB34" i="17"/>
  <c r="W34" i="17"/>
  <c r="Z35" i="21"/>
  <c r="U35" i="21"/>
  <c r="Y26" i="24"/>
  <c r="G38" i="27"/>
  <c r="L38" i="27" s="1"/>
  <c r="R38" i="27" s="1"/>
  <c r="G38" i="30"/>
  <c r="L38" i="30" s="1"/>
  <c r="R38" i="30" s="1"/>
  <c r="G38" i="24"/>
  <c r="L38" i="24" s="1"/>
  <c r="R38" i="24" s="1"/>
  <c r="G38" i="17"/>
  <c r="L38" i="17" s="1"/>
  <c r="R38" i="17" s="1"/>
  <c r="G38" i="22"/>
  <c r="L38" i="22" s="1"/>
  <c r="R38" i="22" s="1"/>
  <c r="G38" i="21"/>
  <c r="L38" i="21" s="1"/>
  <c r="R38" i="21" s="1"/>
  <c r="X29" i="30"/>
  <c r="AC29" i="30"/>
  <c r="Z16" i="22"/>
  <c r="V34" i="22"/>
  <c r="AA34" i="22"/>
  <c r="AC37" i="17"/>
  <c r="V35" i="22"/>
  <c r="AA35" i="22"/>
  <c r="Y37" i="21"/>
  <c r="AC26" i="22"/>
  <c r="X26" i="22"/>
  <c r="AA21" i="30"/>
  <c r="W35" i="30"/>
  <c r="AB35" i="30"/>
  <c r="AC16" i="17"/>
  <c r="Y34" i="21"/>
  <c r="T34" i="21"/>
  <c r="F31" i="27"/>
  <c r="K31" i="27" s="1"/>
  <c r="Q31" i="27" s="1"/>
  <c r="F31" i="30"/>
  <c r="K31" i="30" s="1"/>
  <c r="Q31" i="30" s="1"/>
  <c r="F31" i="24"/>
  <c r="K31" i="24" s="1"/>
  <c r="Q31" i="24" s="1"/>
  <c r="F31" i="17"/>
  <c r="K31" i="17" s="1"/>
  <c r="Q31" i="17" s="1"/>
  <c r="F31" i="22"/>
  <c r="K31" i="22" s="1"/>
  <c r="Q31" i="22" s="1"/>
  <c r="F31" i="21"/>
  <c r="K31" i="21" s="1"/>
  <c r="Q31" i="21" s="1"/>
  <c r="Y35" i="22"/>
  <c r="T35" i="22"/>
  <c r="AA37" i="22"/>
  <c r="AD25" i="27"/>
  <c r="AE25" i="27" s="1"/>
  <c r="X35" i="30"/>
  <c r="AC35" i="30"/>
  <c r="AA29" i="21"/>
  <c r="V29" i="21"/>
  <c r="AC34" i="22"/>
  <c r="X34" i="22"/>
  <c r="E31" i="27"/>
  <c r="J31" i="27" s="1"/>
  <c r="P31" i="27" s="1"/>
  <c r="E31" i="24"/>
  <c r="J31" i="24" s="1"/>
  <c r="P31" i="24" s="1"/>
  <c r="E31" i="30"/>
  <c r="J31" i="30" s="1"/>
  <c r="P31" i="30" s="1"/>
  <c r="E31" i="22"/>
  <c r="J31" i="22" s="1"/>
  <c r="P31" i="22" s="1"/>
  <c r="E31" i="21"/>
  <c r="J31" i="21" s="1"/>
  <c r="P31" i="21" s="1"/>
  <c r="E31" i="17"/>
  <c r="J31" i="17" s="1"/>
  <c r="P31" i="17" s="1"/>
  <c r="Z21" i="24"/>
  <c r="AK9" i="17"/>
  <c r="Z37" i="27"/>
  <c r="AA26" i="24"/>
  <c r="V26" i="24"/>
  <c r="U26" i="21"/>
  <c r="Z26" i="21"/>
  <c r="U33" i="21"/>
  <c r="U34" i="17"/>
  <c r="Z34" i="17"/>
  <c r="W34" i="22"/>
  <c r="AB34" i="22"/>
  <c r="U35" i="22"/>
  <c r="Z35" i="22"/>
  <c r="AB21" i="30"/>
  <c r="Y26" i="27"/>
  <c r="AC17" i="21"/>
  <c r="AA17" i="21"/>
  <c r="Y29" i="21"/>
  <c r="T29" i="21"/>
  <c r="Z16" i="21"/>
  <c r="V34" i="21"/>
  <c r="AA34" i="21"/>
  <c r="AC37" i="30"/>
  <c r="AB15" i="27"/>
  <c r="V35" i="21"/>
  <c r="AA35" i="21"/>
  <c r="Y37" i="22"/>
  <c r="T37" i="22"/>
  <c r="AC26" i="21"/>
  <c r="X26" i="21"/>
  <c r="AA21" i="27"/>
  <c r="AA16" i="17"/>
  <c r="AB35" i="27"/>
  <c r="W35" i="27"/>
  <c r="T34" i="22"/>
  <c r="Y34" i="22"/>
  <c r="G30" i="27"/>
  <c r="L30" i="27" s="1"/>
  <c r="R30" i="27" s="1"/>
  <c r="G30" i="30"/>
  <c r="L30" i="30" s="1"/>
  <c r="R30" i="30" s="1"/>
  <c r="G30" i="24"/>
  <c r="L30" i="24" s="1"/>
  <c r="R30" i="24" s="1"/>
  <c r="G30" i="17"/>
  <c r="L30" i="17" s="1"/>
  <c r="R30" i="17" s="1"/>
  <c r="G30" i="21"/>
  <c r="L30" i="21" s="1"/>
  <c r="R30" i="21" s="1"/>
  <c r="G30" i="22"/>
  <c r="L30" i="22" s="1"/>
  <c r="R30" i="22" s="1"/>
  <c r="U26" i="22"/>
  <c r="Z26" i="22"/>
  <c r="Z34" i="21"/>
  <c r="U34" i="21"/>
  <c r="Y29" i="17"/>
  <c r="T29" i="17"/>
  <c r="AA37" i="17"/>
  <c r="V29" i="17"/>
  <c r="AA29" i="17"/>
  <c r="V26" i="17"/>
  <c r="AA26" i="17"/>
  <c r="Z34" i="24"/>
  <c r="U34" i="24"/>
  <c r="Y29" i="22"/>
  <c r="T29" i="22"/>
  <c r="AA34" i="24"/>
  <c r="V34" i="24"/>
  <c r="AC26" i="30"/>
  <c r="X26" i="30"/>
  <c r="T34" i="17"/>
  <c r="Y34" i="17"/>
  <c r="H31" i="27"/>
  <c r="M31" i="27" s="1"/>
  <c r="S31" i="27" s="1"/>
  <c r="H31" i="30"/>
  <c r="M31" i="30" s="1"/>
  <c r="S31" i="30" s="1"/>
  <c r="H31" i="17"/>
  <c r="M31" i="17" s="1"/>
  <c r="S31" i="17" s="1"/>
  <c r="H31" i="24"/>
  <c r="M31" i="24" s="1"/>
  <c r="S31" i="24" s="1"/>
  <c r="H31" i="21"/>
  <c r="M31" i="21" s="1"/>
  <c r="S31" i="21" s="1"/>
  <c r="H31" i="22"/>
  <c r="M31" i="22" s="1"/>
  <c r="S31" i="22" s="1"/>
  <c r="AA37" i="24"/>
  <c r="AA29" i="24"/>
  <c r="V29" i="24"/>
  <c r="V26" i="30"/>
  <c r="AA26" i="30"/>
  <c r="Z35" i="24"/>
  <c r="U35" i="24"/>
  <c r="AC29" i="21"/>
  <c r="X29" i="21"/>
  <c r="AB15" i="21"/>
  <c r="AC15" i="22"/>
  <c r="Z15" i="17"/>
  <c r="Z29" i="22"/>
  <c r="U29" i="22"/>
  <c r="W35" i="21"/>
  <c r="AB35" i="21"/>
  <c r="Y34" i="30"/>
  <c r="T34" i="30"/>
  <c r="AB17" i="22"/>
  <c r="AB26" i="24"/>
  <c r="W26" i="24"/>
  <c r="F30" i="27"/>
  <c r="K30" i="27" s="1"/>
  <c r="Q30" i="27" s="1"/>
  <c r="F30" i="30"/>
  <c r="K30" i="30" s="1"/>
  <c r="Q30" i="30" s="1"/>
  <c r="F30" i="24"/>
  <c r="K30" i="24" s="1"/>
  <c r="Q30" i="24" s="1"/>
  <c r="F30" i="22"/>
  <c r="K30" i="22" s="1"/>
  <c r="Q30" i="22" s="1"/>
  <c r="F30" i="21"/>
  <c r="K30" i="21" s="1"/>
  <c r="Q30" i="21" s="1"/>
  <c r="F30" i="17"/>
  <c r="K30" i="17" s="1"/>
  <c r="Q30" i="17" s="1"/>
  <c r="T35" i="27"/>
  <c r="Y35" i="27"/>
  <c r="AA37" i="30"/>
  <c r="W29" i="17"/>
  <c r="AB29" i="17"/>
  <c r="X35" i="21"/>
  <c r="AC35" i="21"/>
  <c r="AB37" i="24"/>
  <c r="AA29" i="30"/>
  <c r="V29" i="30"/>
  <c r="AC34" i="30"/>
  <c r="X34" i="30"/>
  <c r="X33" i="21"/>
  <c r="AF11" i="22"/>
  <c r="Z37" i="22"/>
  <c r="AA26" i="27"/>
  <c r="V26" i="27"/>
  <c r="U26" i="30"/>
  <c r="Z26" i="30"/>
  <c r="F39" i="27"/>
  <c r="K39" i="27" s="1"/>
  <c r="Q39" i="27" s="1"/>
  <c r="F39" i="30"/>
  <c r="K39" i="30" s="1"/>
  <c r="Q39" i="30" s="1"/>
  <c r="F39" i="24"/>
  <c r="K39" i="24" s="1"/>
  <c r="Q39" i="24" s="1"/>
  <c r="F39" i="22"/>
  <c r="K39" i="22" s="1"/>
  <c r="Q39" i="22" s="1"/>
  <c r="F39" i="21"/>
  <c r="K39" i="21" s="1"/>
  <c r="Q39" i="21" s="1"/>
  <c r="F39" i="17"/>
  <c r="K39" i="17" s="1"/>
  <c r="Q39" i="17" s="1"/>
  <c r="Z34" i="27"/>
  <c r="U34" i="27"/>
  <c r="Z35" i="27"/>
  <c r="U35" i="27"/>
  <c r="AB16" i="17"/>
  <c r="AB21" i="21"/>
  <c r="Y26" i="21"/>
  <c r="Z17" i="22"/>
  <c r="AC29" i="17"/>
  <c r="X29" i="17"/>
  <c r="AA15" i="17"/>
  <c r="AA17" i="30"/>
  <c r="T29" i="30"/>
  <c r="Y29" i="30"/>
  <c r="AC21" i="24"/>
  <c r="AA34" i="27"/>
  <c r="V34" i="27"/>
  <c r="AB15" i="22"/>
  <c r="AC15" i="17"/>
  <c r="V35" i="30"/>
  <c r="AA35" i="30"/>
  <c r="T37" i="27"/>
  <c r="Y37" i="27"/>
  <c r="Z15" i="24"/>
  <c r="X26" i="27"/>
  <c r="AC26" i="27"/>
  <c r="U29" i="24"/>
  <c r="Z29" i="24"/>
  <c r="AA21" i="22"/>
  <c r="AB35" i="22"/>
  <c r="W35" i="22"/>
  <c r="T35" i="30"/>
  <c r="Y35" i="30"/>
  <c r="W29" i="21"/>
  <c r="AB29" i="21"/>
  <c r="X34" i="21"/>
  <c r="AC34" i="21"/>
  <c r="AC37" i="24"/>
  <c r="Y37" i="17"/>
  <c r="W26" i="21"/>
  <c r="AB26" i="21"/>
  <c r="AB29" i="22"/>
  <c r="W29" i="22"/>
  <c r="U26" i="17"/>
  <c r="Z26" i="17"/>
  <c r="W34" i="30"/>
  <c r="AB34" i="30"/>
  <c r="H32" i="27"/>
  <c r="M32" i="27" s="1"/>
  <c r="S32" i="27" s="1"/>
  <c r="H32" i="30"/>
  <c r="M32" i="30" s="1"/>
  <c r="S32" i="30" s="1"/>
  <c r="H32" i="17"/>
  <c r="M32" i="17" s="1"/>
  <c r="S32" i="17" s="1"/>
  <c r="H32" i="22"/>
  <c r="M32" i="22" s="1"/>
  <c r="S32" i="22" s="1"/>
  <c r="H32" i="24"/>
  <c r="M32" i="24" s="1"/>
  <c r="S32" i="24" s="1"/>
  <c r="H32" i="21"/>
  <c r="M32" i="21" s="1"/>
  <c r="S32" i="21" s="1"/>
  <c r="Z15" i="22"/>
  <c r="W26" i="22"/>
  <c r="AB26" i="22"/>
  <c r="AB37" i="22"/>
  <c r="E38" i="27"/>
  <c r="J38" i="27" s="1"/>
  <c r="P38" i="27" s="1"/>
  <c r="E38" i="30"/>
  <c r="J38" i="30" s="1"/>
  <c r="P38" i="30" s="1"/>
  <c r="E38" i="17"/>
  <c r="J38" i="17" s="1"/>
  <c r="P38" i="17" s="1"/>
  <c r="E38" i="24"/>
  <c r="J38" i="24" s="1"/>
  <c r="P38" i="24" s="1"/>
  <c r="E38" i="21"/>
  <c r="J38" i="21" s="1"/>
  <c r="P38" i="21" s="1"/>
  <c r="E38" i="22"/>
  <c r="J38" i="22" s="1"/>
  <c r="P38" i="22" s="1"/>
  <c r="U37" i="21"/>
  <c r="Z37" i="21"/>
  <c r="Z26" i="24"/>
  <c r="U26" i="24"/>
  <c r="U34" i="30"/>
  <c r="Z34" i="30"/>
  <c r="AB16" i="22"/>
  <c r="AC21" i="22"/>
  <c r="V34" i="30"/>
  <c r="AA34" i="30"/>
  <c r="V35" i="27"/>
  <c r="AA35" i="27"/>
  <c r="T37" i="30"/>
  <c r="Y37" i="30"/>
  <c r="X26" i="24"/>
  <c r="AC26" i="24"/>
  <c r="Y34" i="27"/>
  <c r="T34" i="27"/>
  <c r="AB17" i="17"/>
  <c r="F28" i="27"/>
  <c r="K28" i="27" s="1"/>
  <c r="Q28" i="27" s="1"/>
  <c r="F28" i="30"/>
  <c r="K28" i="30" s="1"/>
  <c r="Q28" i="30" s="1"/>
  <c r="F28" i="24"/>
  <c r="K28" i="24" s="1"/>
  <c r="Q28" i="24" s="1"/>
  <c r="F28" i="17"/>
  <c r="K28" i="17" s="1"/>
  <c r="Q28" i="17" s="1"/>
  <c r="F28" i="21"/>
  <c r="K28" i="21" s="1"/>
  <c r="Q28" i="21" s="1"/>
  <c r="F28" i="22"/>
  <c r="K28" i="22" s="1"/>
  <c r="Q28" i="22" s="1"/>
  <c r="W26" i="30"/>
  <c r="AB26" i="30"/>
  <c r="AA37" i="27"/>
  <c r="AB29" i="30"/>
  <c r="W29" i="30"/>
  <c r="AC35" i="17"/>
  <c r="X35" i="17"/>
  <c r="W37" i="17"/>
  <c r="AB37" i="17"/>
  <c r="V29" i="27"/>
  <c r="AA29" i="27"/>
  <c r="AC34" i="27"/>
  <c r="X34" i="27"/>
  <c r="G32" i="27"/>
  <c r="L32" i="27" s="1"/>
  <c r="R32" i="27" s="1"/>
  <c r="G32" i="30"/>
  <c r="L32" i="30" s="1"/>
  <c r="R32" i="30" s="1"/>
  <c r="G32" i="24"/>
  <c r="L32" i="24" s="1"/>
  <c r="R32" i="24" s="1"/>
  <c r="G32" i="17"/>
  <c r="L32" i="17" s="1"/>
  <c r="R32" i="17" s="1"/>
  <c r="G32" i="21"/>
  <c r="L32" i="21" s="1"/>
  <c r="R32" i="21" s="1"/>
  <c r="G32" i="22"/>
  <c r="L32" i="22" s="1"/>
  <c r="R32" i="22" s="1"/>
  <c r="U37" i="17"/>
  <c r="Z37" i="17"/>
  <c r="AP11" i="21"/>
  <c r="Z26" i="27"/>
  <c r="AB21" i="22"/>
  <c r="Y26" i="30"/>
  <c r="X29" i="24"/>
  <c r="AC29" i="24"/>
  <c r="T29" i="27"/>
  <c r="Y29" i="27"/>
  <c r="AC21" i="30"/>
  <c r="AC37" i="21"/>
  <c r="AB15" i="17"/>
  <c r="Z29" i="30"/>
  <c r="U29" i="30"/>
  <c r="AA21" i="24"/>
  <c r="AA16" i="21"/>
  <c r="AB35" i="17"/>
  <c r="W35" i="17"/>
  <c r="E30" i="27"/>
  <c r="J30" i="27" s="1"/>
  <c r="P30" i="27" s="1"/>
  <c r="E30" i="30"/>
  <c r="J30" i="30" s="1"/>
  <c r="P30" i="30" s="1"/>
  <c r="E30" i="24"/>
  <c r="J30" i="24" s="1"/>
  <c r="P30" i="24" s="1"/>
  <c r="E30" i="17"/>
  <c r="J30" i="17" s="1"/>
  <c r="P30" i="17" s="1"/>
  <c r="E30" i="22"/>
  <c r="J30" i="22" s="1"/>
  <c r="P30" i="22" s="1"/>
  <c r="E30" i="21"/>
  <c r="J30" i="21" s="1"/>
  <c r="P30" i="21" s="1"/>
  <c r="AB26" i="17"/>
  <c r="W26" i="17"/>
  <c r="AA37" i="21"/>
  <c r="AA29" i="22"/>
  <c r="V29" i="22"/>
  <c r="V26" i="22"/>
  <c r="AA26" i="22"/>
  <c r="U35" i="17"/>
  <c r="Z35" i="17"/>
  <c r="AA34" i="17"/>
  <c r="V34" i="17"/>
  <c r="U29" i="21"/>
  <c r="Z29" i="21"/>
  <c r="T35" i="17"/>
  <c r="Y35" i="17"/>
  <c r="AB37" i="21"/>
  <c r="Z35" i="30"/>
  <c r="U35" i="30"/>
  <c r="AC37" i="27"/>
  <c r="V35" i="24"/>
  <c r="AA35" i="24"/>
  <c r="T37" i="24"/>
  <c r="Y37" i="24"/>
  <c r="U29" i="17"/>
  <c r="Z29" i="17"/>
  <c r="AB17" i="21"/>
  <c r="T35" i="24"/>
  <c r="Y35" i="24"/>
  <c r="AB29" i="24"/>
  <c r="W29" i="24"/>
  <c r="X34" i="24"/>
  <c r="AC34" i="24"/>
  <c r="W34" i="27"/>
  <c r="AB34" i="27"/>
  <c r="Y26" i="22"/>
  <c r="AA15" i="22"/>
  <c r="T29" i="24"/>
  <c r="Y29" i="24"/>
  <c r="AC16" i="21"/>
  <c r="H28" i="27"/>
  <c r="M28" i="27" s="1"/>
  <c r="S28" i="27" s="1"/>
  <c r="H28" i="30"/>
  <c r="M28" i="30" s="1"/>
  <c r="S28" i="30" s="1"/>
  <c r="H28" i="24"/>
  <c r="M28" i="24" s="1"/>
  <c r="S28" i="24" s="1"/>
  <c r="H28" i="17"/>
  <c r="M28" i="17" s="1"/>
  <c r="S28" i="17" s="1"/>
  <c r="H28" i="21"/>
  <c r="M28" i="21" s="1"/>
  <c r="S28" i="21" s="1"/>
  <c r="H28" i="22"/>
  <c r="M28" i="22" s="1"/>
  <c r="S28" i="22" s="1"/>
  <c r="W26" i="27"/>
  <c r="AB26" i="27"/>
  <c r="F32" i="27"/>
  <c r="K32" i="27" s="1"/>
  <c r="Q32" i="27" s="1"/>
  <c r="F32" i="24"/>
  <c r="K32" i="24" s="1"/>
  <c r="Q32" i="24" s="1"/>
  <c r="F32" i="17"/>
  <c r="K32" i="17" s="1"/>
  <c r="Q32" i="17" s="1"/>
  <c r="F32" i="21"/>
  <c r="K32" i="21" s="1"/>
  <c r="Q32" i="21" s="1"/>
  <c r="F32" i="22"/>
  <c r="K32" i="22" s="1"/>
  <c r="Q32" i="22" s="1"/>
  <c r="F32" i="30"/>
  <c r="K32" i="30" s="1"/>
  <c r="Q32" i="30" s="1"/>
  <c r="D32" i="27"/>
  <c r="I32" i="27" s="1"/>
  <c r="O32" i="27" s="1"/>
  <c r="D32" i="30"/>
  <c r="I32" i="30" s="1"/>
  <c r="O32" i="30" s="1"/>
  <c r="D32" i="24"/>
  <c r="I32" i="24" s="1"/>
  <c r="O32" i="24" s="1"/>
  <c r="D32" i="17"/>
  <c r="I32" i="17" s="1"/>
  <c r="O32" i="17" s="1"/>
  <c r="D32" i="22"/>
  <c r="I32" i="22" s="1"/>
  <c r="O32" i="22" s="1"/>
  <c r="D32" i="21"/>
  <c r="I32" i="21" s="1"/>
  <c r="O32" i="21" s="1"/>
  <c r="AB29" i="27"/>
  <c r="W29" i="27"/>
  <c r="X33" i="24"/>
  <c r="X35" i="24"/>
  <c r="AC35" i="24"/>
  <c r="AB37" i="30"/>
  <c r="G31" i="27"/>
  <c r="L31" i="27" s="1"/>
  <c r="R31" i="27" s="1"/>
  <c r="G31" i="30"/>
  <c r="L31" i="30" s="1"/>
  <c r="R31" i="30" s="1"/>
  <c r="G31" i="24"/>
  <c r="L31" i="24" s="1"/>
  <c r="R31" i="24" s="1"/>
  <c r="G31" i="17"/>
  <c r="L31" i="17" s="1"/>
  <c r="R31" i="17" s="1"/>
  <c r="G31" i="22"/>
  <c r="L31" i="22" s="1"/>
  <c r="R31" i="22" s="1"/>
  <c r="G31" i="21"/>
  <c r="L31" i="21" s="1"/>
  <c r="R31" i="21" s="1"/>
  <c r="W33" i="21"/>
  <c r="U33" i="17"/>
  <c r="D30" i="27"/>
  <c r="I30" i="27" s="1"/>
  <c r="O30" i="27" s="1"/>
  <c r="D30" i="30"/>
  <c r="I30" i="30" s="1"/>
  <c r="O30" i="30" s="1"/>
  <c r="D30" i="24"/>
  <c r="I30" i="24" s="1"/>
  <c r="O30" i="24" s="1"/>
  <c r="D30" i="17"/>
  <c r="I30" i="17" s="1"/>
  <c r="O30" i="17" s="1"/>
  <c r="D30" i="21"/>
  <c r="I30" i="21" s="1"/>
  <c r="O30" i="21" s="1"/>
  <c r="D30" i="22"/>
  <c r="I30" i="22" s="1"/>
  <c r="O30" i="22" s="1"/>
  <c r="Z21" i="22"/>
  <c r="AD25" i="17"/>
  <c r="AE25" i="17" s="1"/>
  <c r="U33" i="22"/>
  <c r="Z37" i="24"/>
  <c r="U37" i="24"/>
  <c r="W34" i="21"/>
  <c r="AB34" i="21"/>
  <c r="D38" i="27"/>
  <c r="I38" i="27" s="1"/>
  <c r="O38" i="27" s="1"/>
  <c r="D38" i="30"/>
  <c r="I38" i="30" s="1"/>
  <c r="O38" i="30" s="1"/>
  <c r="D38" i="17"/>
  <c r="I38" i="17" s="1"/>
  <c r="O38" i="17" s="1"/>
  <c r="D38" i="24"/>
  <c r="I38" i="24" s="1"/>
  <c r="O38" i="24" s="1"/>
  <c r="D38" i="21"/>
  <c r="I38" i="21" s="1"/>
  <c r="O38" i="21" s="1"/>
  <c r="D38" i="22"/>
  <c r="I38" i="22" s="1"/>
  <c r="O38" i="22" s="1"/>
  <c r="AB21" i="17"/>
  <c r="Y26" i="17"/>
  <c r="H27" i="27"/>
  <c r="M27" i="27" s="1"/>
  <c r="S27" i="27" s="1"/>
  <c r="H27" i="30"/>
  <c r="M27" i="30" s="1"/>
  <c r="S27" i="30" s="1"/>
  <c r="H27" i="24"/>
  <c r="M27" i="24" s="1"/>
  <c r="S27" i="24" s="1"/>
  <c r="H27" i="22"/>
  <c r="M27" i="22" s="1"/>
  <c r="S27" i="22" s="1"/>
  <c r="H27" i="17"/>
  <c r="M27" i="17" s="1"/>
  <c r="S27" i="17" s="1"/>
  <c r="H27" i="21"/>
  <c r="M27" i="21" s="1"/>
  <c r="S27" i="21" s="1"/>
  <c r="X29" i="27"/>
  <c r="AC29" i="27"/>
  <c r="AC21" i="27"/>
  <c r="AC37" i="22"/>
  <c r="AC15" i="27"/>
  <c r="Z15" i="27"/>
  <c r="Z29" i="27"/>
  <c r="U29" i="27"/>
  <c r="AA21" i="17"/>
  <c r="AB35" i="24"/>
  <c r="W35" i="24"/>
  <c r="AK7" i="21" l="1"/>
  <c r="D8" i="17"/>
  <c r="I8" i="17" s="1"/>
  <c r="O8" i="17" s="1"/>
  <c r="Z8" i="17" s="1"/>
  <c r="AD25" i="21"/>
  <c r="AE25" i="21" s="1"/>
  <c r="AP25" i="21" s="1"/>
  <c r="AQ25" i="21" s="1"/>
  <c r="AA19" i="24"/>
  <c r="F10" i="21"/>
  <c r="K10" i="21" s="1"/>
  <c r="Q10" i="21" s="1"/>
  <c r="AA10" i="21" s="1"/>
  <c r="AA14" i="30"/>
  <c r="V37" i="22"/>
  <c r="F10" i="27"/>
  <c r="K10" i="27" s="1"/>
  <c r="Q10" i="27" s="1"/>
  <c r="V28" i="27" s="1"/>
  <c r="F10" i="22"/>
  <c r="K10" i="22" s="1"/>
  <c r="Q10" i="22" s="1"/>
  <c r="U37" i="30"/>
  <c r="F10" i="30"/>
  <c r="K10" i="30" s="1"/>
  <c r="Q10" i="30" s="1"/>
  <c r="V28" i="30" s="1"/>
  <c r="AC19" i="24"/>
  <c r="Z14" i="30"/>
  <c r="Z14" i="27"/>
  <c r="AA19" i="17"/>
  <c r="AP7" i="21"/>
  <c r="AS7" i="21" s="1"/>
  <c r="AF7" i="21"/>
  <c r="AG7" i="21" s="1"/>
  <c r="H10" i="30"/>
  <c r="M10" i="30" s="1"/>
  <c r="S10" i="30" s="1"/>
  <c r="X28" i="30" s="1"/>
  <c r="Z19" i="24"/>
  <c r="AB19" i="21"/>
  <c r="AB19" i="24"/>
  <c r="T37" i="21"/>
  <c r="H10" i="22"/>
  <c r="M10" i="22" s="1"/>
  <c r="S10" i="22" s="1"/>
  <c r="AA19" i="21"/>
  <c r="AF19" i="21" s="1"/>
  <c r="AC19" i="17"/>
  <c r="AC14" i="27"/>
  <c r="Z19" i="17"/>
  <c r="AP19" i="17" s="1"/>
  <c r="AS19" i="17" s="1"/>
  <c r="AB19" i="17"/>
  <c r="T37" i="17"/>
  <c r="AB14" i="30"/>
  <c r="AA14" i="17"/>
  <c r="D8" i="27"/>
  <c r="I8" i="27" s="1"/>
  <c r="O8" i="27" s="1"/>
  <c r="T26" i="27" s="1"/>
  <c r="AD26" i="27" s="1"/>
  <c r="AE26" i="27" s="1"/>
  <c r="D8" i="22"/>
  <c r="I8" i="22" s="1"/>
  <c r="O8" i="22" s="1"/>
  <c r="Z8" i="22" s="1"/>
  <c r="H12" i="30"/>
  <c r="M12" i="30" s="1"/>
  <c r="S12" i="30" s="1"/>
  <c r="AC12" i="30" s="1"/>
  <c r="AF12" i="30" s="1"/>
  <c r="AG12" i="30" s="1"/>
  <c r="H12" i="22"/>
  <c r="M12" i="22" s="1"/>
  <c r="S12" i="22" s="1"/>
  <c r="AC12" i="22" s="1"/>
  <c r="AF12" i="22" s="1"/>
  <c r="AG12" i="22" s="1"/>
  <c r="H12" i="24"/>
  <c r="M12" i="24" s="1"/>
  <c r="S12" i="24" s="1"/>
  <c r="AC12" i="24" s="1"/>
  <c r="H12" i="21"/>
  <c r="M12" i="21" s="1"/>
  <c r="S12" i="21" s="1"/>
  <c r="AC12" i="21" s="1"/>
  <c r="AF12" i="21" s="1"/>
  <c r="AG12" i="21" s="1"/>
  <c r="H12" i="27"/>
  <c r="M12" i="27" s="1"/>
  <c r="S12" i="27" s="1"/>
  <c r="AC12" i="27" s="1"/>
  <c r="AF12" i="27" s="1"/>
  <c r="AH12" i="27" s="1"/>
  <c r="H12" i="17"/>
  <c r="M12" i="17" s="1"/>
  <c r="S12" i="17" s="1"/>
  <c r="AC12" i="17" s="1"/>
  <c r="AP12" i="17" s="1"/>
  <c r="T26" i="17"/>
  <c r="AD26" i="17" s="1"/>
  <c r="AE26" i="17" s="1"/>
  <c r="V37" i="27"/>
  <c r="D10" i="24"/>
  <c r="I10" i="24" s="1"/>
  <c r="O10" i="24" s="1"/>
  <c r="Y10" i="24" s="1"/>
  <c r="AF9" i="27"/>
  <c r="AG9" i="27" s="1"/>
  <c r="AB14" i="17"/>
  <c r="D8" i="24"/>
  <c r="I8" i="24" s="1"/>
  <c r="O8" i="24" s="1"/>
  <c r="Z8" i="24" s="1"/>
  <c r="AF9" i="22"/>
  <c r="AG9" i="22" s="1"/>
  <c r="E18" i="22"/>
  <c r="J18" i="22" s="1"/>
  <c r="P18" i="22" s="1"/>
  <c r="Z18" i="22" s="1"/>
  <c r="G18" i="17"/>
  <c r="L18" i="17" s="1"/>
  <c r="R18" i="17" s="1"/>
  <c r="W36" i="17" s="1"/>
  <c r="E18" i="27"/>
  <c r="J18" i="27" s="1"/>
  <c r="P18" i="27" s="1"/>
  <c r="U36" i="27" s="1"/>
  <c r="E18" i="17"/>
  <c r="J18" i="17" s="1"/>
  <c r="P18" i="17" s="1"/>
  <c r="U36" i="17" s="1"/>
  <c r="G18" i="21"/>
  <c r="L18" i="21" s="1"/>
  <c r="R18" i="21" s="1"/>
  <c r="W36" i="21" s="1"/>
  <c r="E18" i="30"/>
  <c r="J18" i="30" s="1"/>
  <c r="P18" i="30" s="1"/>
  <c r="Z18" i="30" s="1"/>
  <c r="O64" i="3"/>
  <c r="P64" i="3"/>
  <c r="M63" i="3"/>
  <c r="AP11" i="24" s="1"/>
  <c r="AT11" i="24" s="1"/>
  <c r="N63" i="3"/>
  <c r="L63" i="3"/>
  <c r="AK11" i="24" s="1"/>
  <c r="AO11" i="24" s="1"/>
  <c r="Z13" i="27"/>
  <c r="AC13" i="27"/>
  <c r="G18" i="22"/>
  <c r="L18" i="22" s="1"/>
  <c r="R18" i="22" s="1"/>
  <c r="AB18" i="22" s="1"/>
  <c r="AB13" i="24"/>
  <c r="AK12" i="21"/>
  <c r="AO12" i="21" s="1"/>
  <c r="X37" i="24"/>
  <c r="AP12" i="21"/>
  <c r="AQ12" i="21" s="1"/>
  <c r="H18" i="30"/>
  <c r="M18" i="30" s="1"/>
  <c r="S18" i="30" s="1"/>
  <c r="X36" i="30" s="1"/>
  <c r="E10" i="21"/>
  <c r="J10" i="21" s="1"/>
  <c r="P10" i="21" s="1"/>
  <c r="Z10" i="21" s="1"/>
  <c r="V37" i="17"/>
  <c r="H10" i="24"/>
  <c r="M10" i="24" s="1"/>
  <c r="S10" i="24" s="1"/>
  <c r="X28" i="24" s="1"/>
  <c r="AC13" i="21"/>
  <c r="E10" i="27"/>
  <c r="J10" i="27" s="1"/>
  <c r="P10" i="27" s="1"/>
  <c r="U28" i="27" s="1"/>
  <c r="Y8" i="21"/>
  <c r="AB8" i="21"/>
  <c r="AC8" i="21"/>
  <c r="E10" i="17"/>
  <c r="J10" i="17" s="1"/>
  <c r="P10" i="17" s="1"/>
  <c r="U28" i="17" s="1"/>
  <c r="Y8" i="17"/>
  <c r="AB8" i="17"/>
  <c r="AC8" i="17"/>
  <c r="AA8" i="17"/>
  <c r="AA8" i="21"/>
  <c r="AK12" i="17"/>
  <c r="AM12" i="17" s="1"/>
  <c r="E18" i="24"/>
  <c r="J18" i="24" s="1"/>
  <c r="P18" i="24" s="1"/>
  <c r="U36" i="24" s="1"/>
  <c r="H18" i="21"/>
  <c r="M18" i="21" s="1"/>
  <c r="S18" i="21" s="1"/>
  <c r="X36" i="21" s="1"/>
  <c r="E10" i="30"/>
  <c r="J10" i="30" s="1"/>
  <c r="P10" i="30" s="1"/>
  <c r="U28" i="30" s="1"/>
  <c r="AB8" i="22"/>
  <c r="AC8" i="22"/>
  <c r="T26" i="22"/>
  <c r="AD26" i="22" s="1"/>
  <c r="AE26" i="22" s="1"/>
  <c r="T26" i="21"/>
  <c r="AD26" i="21" s="1"/>
  <c r="AE26" i="21" s="1"/>
  <c r="AP26" i="21" s="1"/>
  <c r="Z13" i="30"/>
  <c r="H18" i="17"/>
  <c r="M18" i="17" s="1"/>
  <c r="S18" i="17" s="1"/>
  <c r="X36" i="17" s="1"/>
  <c r="E10" i="22"/>
  <c r="J10" i="22" s="1"/>
  <c r="P10" i="22" s="1"/>
  <c r="U28" i="22" s="1"/>
  <c r="Z8" i="21"/>
  <c r="Y8" i="30"/>
  <c r="AB8" i="30"/>
  <c r="AA8" i="30"/>
  <c r="AC8" i="30"/>
  <c r="Z8" i="30"/>
  <c r="W37" i="24"/>
  <c r="AP9" i="24"/>
  <c r="AQ9" i="24" s="1"/>
  <c r="X37" i="27"/>
  <c r="X37" i="30"/>
  <c r="Z13" i="17"/>
  <c r="AK9" i="21"/>
  <c r="AL9" i="21" s="1"/>
  <c r="AC10" i="21"/>
  <c r="X37" i="21"/>
  <c r="AK9" i="22"/>
  <c r="AO9" i="22" s="1"/>
  <c r="D10" i="27"/>
  <c r="I10" i="27" s="1"/>
  <c r="O10" i="27" s="1"/>
  <c r="Y10" i="27" s="1"/>
  <c r="H18" i="27"/>
  <c r="M18" i="27" s="1"/>
  <c r="S18" i="27" s="1"/>
  <c r="AC18" i="27" s="1"/>
  <c r="W37" i="22"/>
  <c r="AP9" i="22"/>
  <c r="AQ9" i="22" s="1"/>
  <c r="D10" i="30"/>
  <c r="I10" i="30" s="1"/>
  <c r="O10" i="30" s="1"/>
  <c r="Y10" i="30" s="1"/>
  <c r="H18" i="22"/>
  <c r="M18" i="22" s="1"/>
  <c r="S18" i="22" s="1"/>
  <c r="AC18" i="22" s="1"/>
  <c r="D10" i="17"/>
  <c r="I10" i="17" s="1"/>
  <c r="O10" i="17" s="1"/>
  <c r="Y10" i="17" s="1"/>
  <c r="D10" i="22"/>
  <c r="I10" i="22" s="1"/>
  <c r="O10" i="22" s="1"/>
  <c r="Y10" i="22" s="1"/>
  <c r="AA13" i="27"/>
  <c r="W37" i="30"/>
  <c r="AF9" i="21"/>
  <c r="AG9" i="21" s="1"/>
  <c r="H10" i="17"/>
  <c r="M10" i="17" s="1"/>
  <c r="S10" i="17" s="1"/>
  <c r="Z13" i="24"/>
  <c r="G18" i="27"/>
  <c r="L18" i="27" s="1"/>
  <c r="R18" i="27" s="1"/>
  <c r="W36" i="27" s="1"/>
  <c r="AF14" i="21"/>
  <c r="AJ14" i="21" s="1"/>
  <c r="AF19" i="30"/>
  <c r="AI19" i="30" s="1"/>
  <c r="G18" i="24"/>
  <c r="L18" i="24" s="1"/>
  <c r="R18" i="24" s="1"/>
  <c r="AB18" i="24" s="1"/>
  <c r="W37" i="21"/>
  <c r="H10" i="27"/>
  <c r="M10" i="27" s="1"/>
  <c r="S10" i="27" s="1"/>
  <c r="X28" i="27" s="1"/>
  <c r="V37" i="30"/>
  <c r="AF14" i="24"/>
  <c r="AJ14" i="24" s="1"/>
  <c r="Y18" i="22"/>
  <c r="T36" i="22"/>
  <c r="U36" i="30"/>
  <c r="AA13" i="21"/>
  <c r="Y18" i="24"/>
  <c r="T36" i="24"/>
  <c r="AF19" i="17"/>
  <c r="AB13" i="22"/>
  <c r="X37" i="22"/>
  <c r="V37" i="21"/>
  <c r="AF9" i="24"/>
  <c r="AJ9" i="24" s="1"/>
  <c r="AP19" i="22"/>
  <c r="AK19" i="22"/>
  <c r="AF19" i="22"/>
  <c r="AP14" i="21"/>
  <c r="AA13" i="24"/>
  <c r="Y18" i="27"/>
  <c r="T36" i="27"/>
  <c r="AB13" i="27"/>
  <c r="AP14" i="22"/>
  <c r="AK14" i="22"/>
  <c r="AF14" i="22"/>
  <c r="AF14" i="27"/>
  <c r="Y18" i="21"/>
  <c r="T36" i="21"/>
  <c r="AF12" i="24"/>
  <c r="AI12" i="24" s="1"/>
  <c r="AP9" i="21"/>
  <c r="AR9" i="21" s="1"/>
  <c r="G10" i="30"/>
  <c r="L10" i="30" s="1"/>
  <c r="R10" i="30" s="1"/>
  <c r="G10" i="27"/>
  <c r="L10" i="27" s="1"/>
  <c r="R10" i="27" s="1"/>
  <c r="G10" i="24"/>
  <c r="L10" i="24" s="1"/>
  <c r="R10" i="24" s="1"/>
  <c r="G10" i="22"/>
  <c r="L10" i="22" s="1"/>
  <c r="R10" i="22" s="1"/>
  <c r="G10" i="21"/>
  <c r="L10" i="21" s="1"/>
  <c r="R10" i="21" s="1"/>
  <c r="AB10" i="21" s="1"/>
  <c r="G10" i="17"/>
  <c r="L10" i="17" s="1"/>
  <c r="R10" i="17" s="1"/>
  <c r="AB10" i="17" s="1"/>
  <c r="Z13" i="21"/>
  <c r="Y18" i="30"/>
  <c r="T36" i="30"/>
  <c r="AA13" i="30"/>
  <c r="AB13" i="17"/>
  <c r="AC13" i="24"/>
  <c r="AC18" i="24"/>
  <c r="X36" i="24"/>
  <c r="F18" i="27"/>
  <c r="K18" i="27" s="1"/>
  <c r="Q18" i="27" s="1"/>
  <c r="F18" i="24"/>
  <c r="K18" i="24" s="1"/>
  <c r="Q18" i="24" s="1"/>
  <c r="F18" i="17"/>
  <c r="K18" i="17" s="1"/>
  <c r="Q18" i="17" s="1"/>
  <c r="F18" i="30"/>
  <c r="K18" i="30" s="1"/>
  <c r="Q18" i="30" s="1"/>
  <c r="F18" i="22"/>
  <c r="K18" i="22" s="1"/>
  <c r="Q18" i="22" s="1"/>
  <c r="F18" i="21"/>
  <c r="K18" i="21" s="1"/>
  <c r="Q18" i="21" s="1"/>
  <c r="AB18" i="30"/>
  <c r="W36" i="30"/>
  <c r="Z18" i="21"/>
  <c r="U36" i="21"/>
  <c r="Y18" i="17"/>
  <c r="T36" i="17"/>
  <c r="AK9" i="24"/>
  <c r="AM9" i="24" s="1"/>
  <c r="AA13" i="17"/>
  <c r="AC13" i="17"/>
  <c r="AB13" i="30"/>
  <c r="AK14" i="21"/>
  <c r="AA13" i="22"/>
  <c r="V37" i="24"/>
  <c r="X37" i="17"/>
  <c r="AC13" i="22"/>
  <c r="AF19" i="27"/>
  <c r="AF14" i="17"/>
  <c r="Z13" i="22"/>
  <c r="AC13" i="30"/>
  <c r="AB13" i="21"/>
  <c r="AF14" i="30"/>
  <c r="AO20" i="22"/>
  <c r="AG7" i="17"/>
  <c r="AL11" i="22"/>
  <c r="AN11" i="22"/>
  <c r="AM11" i="22"/>
  <c r="AH7" i="17"/>
  <c r="AP6" i="17"/>
  <c r="AR6" i="17" s="1"/>
  <c r="AF6" i="21"/>
  <c r="AI6" i="21" s="1"/>
  <c r="AI7" i="17"/>
  <c r="AJ7" i="30"/>
  <c r="AF6" i="22"/>
  <c r="AH6" i="22" s="1"/>
  <c r="AG7" i="30"/>
  <c r="AP6" i="22"/>
  <c r="AQ6" i="22" s="1"/>
  <c r="AN11" i="17"/>
  <c r="AH7" i="30"/>
  <c r="AF6" i="27"/>
  <c r="AH6" i="27" s="1"/>
  <c r="AK6" i="21"/>
  <c r="AN6" i="21" s="1"/>
  <c r="AP6" i="21"/>
  <c r="AR6" i="21" s="1"/>
  <c r="AK6" i="17"/>
  <c r="AM6" i="17" s="1"/>
  <c r="AF24" i="30"/>
  <c r="AI24" i="30" s="1"/>
  <c r="AJ11" i="17"/>
  <c r="AL20" i="22"/>
  <c r="AM20" i="22"/>
  <c r="AR7" i="17"/>
  <c r="AH7" i="24"/>
  <c r="AJ7" i="24"/>
  <c r="AI9" i="30"/>
  <c r="AM11" i="17"/>
  <c r="AF6" i="17"/>
  <c r="AJ6" i="17" s="1"/>
  <c r="AK6" i="22"/>
  <c r="AO6" i="22" s="1"/>
  <c r="AK6" i="24"/>
  <c r="AM6" i="24" s="1"/>
  <c r="AG7" i="27"/>
  <c r="AJ7" i="27"/>
  <c r="AR11" i="24"/>
  <c r="AI7" i="27"/>
  <c r="AI11" i="17"/>
  <c r="AJ20" i="17"/>
  <c r="AQ7" i="22"/>
  <c r="AP6" i="24"/>
  <c r="AR6" i="24" s="1"/>
  <c r="AO11" i="17"/>
  <c r="AT7" i="17"/>
  <c r="AG7" i="24"/>
  <c r="AG20" i="17"/>
  <c r="AI7" i="22"/>
  <c r="AT20" i="22"/>
  <c r="AH11" i="27"/>
  <c r="AO7" i="17"/>
  <c r="AJ7" i="22"/>
  <c r="AT7" i="24"/>
  <c r="AS20" i="22"/>
  <c r="AF17" i="24"/>
  <c r="AH17" i="24" s="1"/>
  <c r="AL7" i="17"/>
  <c r="AQ7" i="17"/>
  <c r="AH7" i="22"/>
  <c r="AR7" i="24"/>
  <c r="AQ20" i="22"/>
  <c r="AH20" i="22"/>
  <c r="AH20" i="17"/>
  <c r="AR7" i="22"/>
  <c r="AM7" i="17"/>
  <c r="AS7" i="24"/>
  <c r="AS11" i="22"/>
  <c r="AS7" i="22"/>
  <c r="AR20" i="21"/>
  <c r="AL20" i="17"/>
  <c r="AG20" i="30"/>
  <c r="AK21" i="21"/>
  <c r="AO21" i="21" s="1"/>
  <c r="AO20" i="17"/>
  <c r="AJ20" i="30"/>
  <c r="AN20" i="17"/>
  <c r="AF16" i="17"/>
  <c r="AH16" i="17" s="1"/>
  <c r="AO20" i="21"/>
  <c r="AL11" i="21"/>
  <c r="AG11" i="21"/>
  <c r="AF6" i="24"/>
  <c r="AJ6" i="24" s="1"/>
  <c r="AH20" i="30"/>
  <c r="AF16" i="24"/>
  <c r="AJ16" i="24" s="1"/>
  <c r="AK15" i="21"/>
  <c r="AM15" i="21" s="1"/>
  <c r="AG20" i="21"/>
  <c r="AP16" i="22"/>
  <c r="AQ16" i="22" s="1"/>
  <c r="AQ20" i="17"/>
  <c r="AJ20" i="21"/>
  <c r="AI11" i="21"/>
  <c r="AJ11" i="21"/>
  <c r="AF17" i="27"/>
  <c r="AI17" i="27" s="1"/>
  <c r="AI20" i="22"/>
  <c r="AR20" i="17"/>
  <c r="AG20" i="22"/>
  <c r="AJ9" i="30"/>
  <c r="AF16" i="22"/>
  <c r="AH16" i="22" s="1"/>
  <c r="AO11" i="21"/>
  <c r="AF15" i="22"/>
  <c r="AG15" i="22" s="1"/>
  <c r="AF17" i="30"/>
  <c r="AH17" i="30" s="1"/>
  <c r="AJ20" i="27"/>
  <c r="AG9" i="30"/>
  <c r="AM12" i="21"/>
  <c r="AF16" i="27"/>
  <c r="AG16" i="27" s="1"/>
  <c r="AS20" i="21"/>
  <c r="AT11" i="17"/>
  <c r="AG20" i="27"/>
  <c r="AK17" i="21"/>
  <c r="AM17" i="21" s="1"/>
  <c r="AG11" i="27"/>
  <c r="AO7" i="24"/>
  <c r="AM7" i="24"/>
  <c r="AL7" i="24"/>
  <c r="AN7" i="24"/>
  <c r="AH7" i="21"/>
  <c r="AF16" i="30"/>
  <c r="AI16" i="30" s="1"/>
  <c r="AG11" i="24"/>
  <c r="AN11" i="21"/>
  <c r="AF15" i="24"/>
  <c r="AJ15" i="24" s="1"/>
  <c r="AR11" i="17"/>
  <c r="AI9" i="27"/>
  <c r="AF15" i="30"/>
  <c r="AJ15" i="30" s="1"/>
  <c r="AJ20" i="24"/>
  <c r="AS20" i="17"/>
  <c r="AI20" i="24"/>
  <c r="AN20" i="21"/>
  <c r="AK17" i="22"/>
  <c r="AN17" i="22" s="1"/>
  <c r="AH20" i="27"/>
  <c r="AI11" i="27"/>
  <c r="AG11" i="30"/>
  <c r="AS9" i="17"/>
  <c r="AK16" i="17"/>
  <c r="AO16" i="17" s="1"/>
  <c r="AN7" i="22"/>
  <c r="AL7" i="22"/>
  <c r="AM7" i="22"/>
  <c r="AO7" i="22"/>
  <c r="AL20" i="21"/>
  <c r="AI20" i="21"/>
  <c r="AR9" i="17"/>
  <c r="AK21" i="17"/>
  <c r="AO21" i="17" s="1"/>
  <c r="AQ11" i="17"/>
  <c r="AP15" i="21"/>
  <c r="AR15" i="21" s="1"/>
  <c r="AF16" i="21"/>
  <c r="AJ16" i="21" s="1"/>
  <c r="AT9" i="17"/>
  <c r="AF17" i="17"/>
  <c r="AG17" i="17" s="1"/>
  <c r="AA33" i="22"/>
  <c r="AP15" i="22"/>
  <c r="AR15" i="22" s="1"/>
  <c r="AF21" i="22"/>
  <c r="AI21" i="22" s="1"/>
  <c r="AP16" i="17"/>
  <c r="AQ16" i="17" s="1"/>
  <c r="AD34" i="21"/>
  <c r="AE34" i="21" s="1"/>
  <c r="AF34" i="21" s="1"/>
  <c r="AR11" i="22"/>
  <c r="Y33" i="24"/>
  <c r="Z33" i="24"/>
  <c r="AC33" i="24"/>
  <c r="T33" i="24"/>
  <c r="AB33" i="24"/>
  <c r="AP21" i="22"/>
  <c r="AR21" i="22" s="1"/>
  <c r="AD29" i="21"/>
  <c r="AE29" i="21" s="1"/>
  <c r="AF29" i="21" s="1"/>
  <c r="AG11" i="17"/>
  <c r="AH20" i="24"/>
  <c r="AH11" i="30"/>
  <c r="AT11" i="22"/>
  <c r="AB33" i="22"/>
  <c r="AC33" i="22"/>
  <c r="Z33" i="22"/>
  <c r="Y33" i="22"/>
  <c r="T33" i="22"/>
  <c r="AD33" i="22" s="1"/>
  <c r="AE33" i="22" s="1"/>
  <c r="AA33" i="24"/>
  <c r="V33" i="24"/>
  <c r="AD35" i="17"/>
  <c r="AE35" i="17" s="1"/>
  <c r="AF35" i="17" s="1"/>
  <c r="AJ11" i="24"/>
  <c r="AI11" i="30"/>
  <c r="AC33" i="30"/>
  <c r="AB33" i="30"/>
  <c r="T33" i="30"/>
  <c r="Z33" i="30"/>
  <c r="Y33" i="30"/>
  <c r="V33" i="30"/>
  <c r="AA33" i="30"/>
  <c r="AK15" i="17"/>
  <c r="AL15" i="17" s="1"/>
  <c r="AF21" i="27"/>
  <c r="AI21" i="27" s="1"/>
  <c r="Z33" i="27"/>
  <c r="Y33" i="27"/>
  <c r="AC33" i="27"/>
  <c r="T33" i="27"/>
  <c r="AB33" i="27"/>
  <c r="AH11" i="24"/>
  <c r="AG6" i="30"/>
  <c r="AN7" i="21"/>
  <c r="AO7" i="21"/>
  <c r="AM7" i="21"/>
  <c r="AL7" i="21"/>
  <c r="V33" i="21"/>
  <c r="AA33" i="21"/>
  <c r="AK16" i="21"/>
  <c r="AN16" i="21" s="1"/>
  <c r="AP15" i="17"/>
  <c r="AS15" i="17" s="1"/>
  <c r="AD35" i="27"/>
  <c r="AE35" i="27" s="1"/>
  <c r="AF35" i="27" s="1"/>
  <c r="AK17" i="17"/>
  <c r="AL17" i="17" s="1"/>
  <c r="AJ6" i="30"/>
  <c r="AA33" i="17"/>
  <c r="V33" i="17"/>
  <c r="AD33" i="17" s="1"/>
  <c r="AE33" i="17" s="1"/>
  <c r="Y33" i="21"/>
  <c r="AC33" i="21"/>
  <c r="T33" i="21"/>
  <c r="Z33" i="21"/>
  <c r="AB33" i="21"/>
  <c r="AI6" i="30"/>
  <c r="V33" i="27"/>
  <c r="AA33" i="27"/>
  <c r="AF15" i="21"/>
  <c r="AJ15" i="21" s="1"/>
  <c r="AP17" i="17"/>
  <c r="AS17" i="17" s="1"/>
  <c r="AP17" i="21"/>
  <c r="AQ17" i="21" s="1"/>
  <c r="AF21" i="24"/>
  <c r="AH21" i="24" s="1"/>
  <c r="AT20" i="21"/>
  <c r="AP16" i="21"/>
  <c r="AR16" i="21" s="1"/>
  <c r="AF15" i="17"/>
  <c r="AH15" i="17" s="1"/>
  <c r="AK16" i="22"/>
  <c r="AO16" i="22" s="1"/>
  <c r="Z33" i="17"/>
  <c r="AB33" i="17"/>
  <c r="AC33" i="17"/>
  <c r="Y33" i="17"/>
  <c r="T38" i="17"/>
  <c r="Y38" i="17"/>
  <c r="V32" i="22"/>
  <c r="AA32" i="22"/>
  <c r="U30" i="30"/>
  <c r="Z30" i="30"/>
  <c r="AD34" i="17"/>
  <c r="AE34" i="17" s="1"/>
  <c r="AF25" i="24"/>
  <c r="AK25" i="24"/>
  <c r="AP25" i="24"/>
  <c r="AA38" i="21"/>
  <c r="V38" i="21"/>
  <c r="T31" i="30"/>
  <c r="Y31" i="30"/>
  <c r="U39" i="22"/>
  <c r="Z39" i="22"/>
  <c r="V32" i="21"/>
  <c r="AA32" i="21"/>
  <c r="W32" i="22"/>
  <c r="AB32" i="22"/>
  <c r="V28" i="22"/>
  <c r="AA28" i="22"/>
  <c r="Y27" i="24"/>
  <c r="T27" i="24"/>
  <c r="AB27" i="17"/>
  <c r="W27" i="17"/>
  <c r="AA38" i="22"/>
  <c r="V38" i="22"/>
  <c r="T31" i="27"/>
  <c r="Y31" i="27"/>
  <c r="Y30" i="17"/>
  <c r="T30" i="17"/>
  <c r="X27" i="22"/>
  <c r="AC27" i="22"/>
  <c r="T38" i="21"/>
  <c r="Y38" i="21"/>
  <c r="AP25" i="17"/>
  <c r="AF25" i="17"/>
  <c r="AK25" i="17"/>
  <c r="AB31" i="17"/>
  <c r="W31" i="17"/>
  <c r="Y32" i="27"/>
  <c r="T32" i="27"/>
  <c r="AC28" i="24"/>
  <c r="AK24" i="24"/>
  <c r="AP24" i="24"/>
  <c r="AF24" i="24"/>
  <c r="AD35" i="24"/>
  <c r="AE35" i="24" s="1"/>
  <c r="AF17" i="22"/>
  <c r="Z30" i="17"/>
  <c r="U30" i="17"/>
  <c r="AD29" i="27"/>
  <c r="AE29" i="27" s="1"/>
  <c r="AS11" i="21"/>
  <c r="AT11" i="21"/>
  <c r="AQ11" i="21"/>
  <c r="AR11" i="21"/>
  <c r="W32" i="27"/>
  <c r="AB32" i="27"/>
  <c r="AF24" i="21"/>
  <c r="AP24" i="21"/>
  <c r="AK24" i="21"/>
  <c r="AA28" i="27"/>
  <c r="AC32" i="21"/>
  <c r="X32" i="21"/>
  <c r="V39" i="30"/>
  <c r="AA39" i="30"/>
  <c r="AA30" i="27"/>
  <c r="V30" i="27"/>
  <c r="AC31" i="21"/>
  <c r="X31" i="21"/>
  <c r="AF17" i="21"/>
  <c r="AB30" i="21"/>
  <c r="W30" i="21"/>
  <c r="U31" i="24"/>
  <c r="Z31" i="24"/>
  <c r="V31" i="21"/>
  <c r="AA31" i="21"/>
  <c r="W38" i="24"/>
  <c r="AB38" i="24"/>
  <c r="T27" i="22"/>
  <c r="Y27" i="22"/>
  <c r="AB27" i="27"/>
  <c r="W27" i="27"/>
  <c r="Y28" i="24"/>
  <c r="AC38" i="21"/>
  <c r="X38" i="21"/>
  <c r="Y31" i="17"/>
  <c r="T31" i="17"/>
  <c r="V27" i="17"/>
  <c r="AA27" i="17"/>
  <c r="X30" i="17"/>
  <c r="AC30" i="17"/>
  <c r="X39" i="30"/>
  <c r="AC39" i="30"/>
  <c r="T39" i="22"/>
  <c r="Y39" i="22"/>
  <c r="AB39" i="30"/>
  <c r="W39" i="30"/>
  <c r="W28" i="21"/>
  <c r="AB28" i="21"/>
  <c r="AC27" i="24"/>
  <c r="X27" i="24"/>
  <c r="Y38" i="24"/>
  <c r="T38" i="24"/>
  <c r="W31" i="24"/>
  <c r="AB31" i="24"/>
  <c r="AA32" i="30"/>
  <c r="V32" i="30"/>
  <c r="AC28" i="30"/>
  <c r="AK25" i="22"/>
  <c r="AP25" i="22"/>
  <c r="AF25" i="22"/>
  <c r="AP17" i="22"/>
  <c r="U30" i="24"/>
  <c r="Z30" i="24"/>
  <c r="AD34" i="27"/>
  <c r="AE34" i="27" s="1"/>
  <c r="Z38" i="22"/>
  <c r="U38" i="22"/>
  <c r="X32" i="24"/>
  <c r="AC32" i="24"/>
  <c r="V39" i="27"/>
  <c r="AA39" i="27"/>
  <c r="AC31" i="24"/>
  <c r="X31" i="24"/>
  <c r="AD29" i="17"/>
  <c r="AE29" i="17" s="1"/>
  <c r="W30" i="17"/>
  <c r="AB30" i="17"/>
  <c r="U31" i="27"/>
  <c r="Z31" i="27"/>
  <c r="AA31" i="22"/>
  <c r="V31" i="22"/>
  <c r="W38" i="30"/>
  <c r="AB38" i="30"/>
  <c r="T27" i="17"/>
  <c r="Y27" i="17"/>
  <c r="Y28" i="17"/>
  <c r="AF21" i="30"/>
  <c r="U27" i="21"/>
  <c r="Z27" i="21"/>
  <c r="X38" i="22"/>
  <c r="AC38" i="22"/>
  <c r="T31" i="22"/>
  <c r="Y31" i="22"/>
  <c r="V27" i="21"/>
  <c r="AA27" i="21"/>
  <c r="AC30" i="24"/>
  <c r="AC39" i="27"/>
  <c r="X39" i="27"/>
  <c r="T39" i="24"/>
  <c r="Y39" i="24"/>
  <c r="AB39" i="27"/>
  <c r="W39" i="27"/>
  <c r="AB28" i="22"/>
  <c r="T30" i="22"/>
  <c r="Y30" i="22"/>
  <c r="Z38" i="21"/>
  <c r="U38" i="21"/>
  <c r="X31" i="17"/>
  <c r="AC31" i="17"/>
  <c r="AN9" i="17"/>
  <c r="AO9" i="17"/>
  <c r="AM9" i="17"/>
  <c r="AL9" i="17"/>
  <c r="T27" i="21"/>
  <c r="Y27" i="21"/>
  <c r="Y28" i="30"/>
  <c r="X38" i="24"/>
  <c r="AC38" i="24"/>
  <c r="T39" i="30"/>
  <c r="Y39" i="30"/>
  <c r="Y38" i="30"/>
  <c r="T38" i="30"/>
  <c r="Y32" i="21"/>
  <c r="T32" i="21"/>
  <c r="AI12" i="22"/>
  <c r="X31" i="30"/>
  <c r="AC31" i="30"/>
  <c r="AB30" i="30"/>
  <c r="W30" i="30"/>
  <c r="Z28" i="22"/>
  <c r="X38" i="17"/>
  <c r="AC38" i="17"/>
  <c r="T39" i="27"/>
  <c r="Y39" i="27"/>
  <c r="U39" i="21"/>
  <c r="Z39" i="21"/>
  <c r="T32" i="22"/>
  <c r="Y32" i="22"/>
  <c r="AP24" i="17"/>
  <c r="AF24" i="17"/>
  <c r="AK24" i="17"/>
  <c r="W32" i="21"/>
  <c r="AB32" i="21"/>
  <c r="V39" i="17"/>
  <c r="AA39" i="17"/>
  <c r="AA30" i="21"/>
  <c r="V30" i="21"/>
  <c r="W30" i="27"/>
  <c r="AB30" i="27"/>
  <c r="U31" i="17"/>
  <c r="Z31" i="17"/>
  <c r="Z28" i="17"/>
  <c r="U27" i="17"/>
  <c r="Z27" i="17"/>
  <c r="AA27" i="27"/>
  <c r="V27" i="27"/>
  <c r="Z32" i="17"/>
  <c r="U32" i="17"/>
  <c r="AF15" i="27"/>
  <c r="T30" i="24"/>
  <c r="Y30" i="24"/>
  <c r="Y32" i="17"/>
  <c r="T32" i="17"/>
  <c r="V32" i="24"/>
  <c r="AA32" i="24"/>
  <c r="X28" i="22"/>
  <c r="AC28" i="22"/>
  <c r="AD29" i="24"/>
  <c r="AE29" i="24" s="1"/>
  <c r="AB32" i="17"/>
  <c r="W32" i="17"/>
  <c r="V28" i="17"/>
  <c r="AA28" i="17"/>
  <c r="U38" i="30"/>
  <c r="Z38" i="30"/>
  <c r="AC32" i="27"/>
  <c r="X32" i="27"/>
  <c r="AA39" i="21"/>
  <c r="V39" i="21"/>
  <c r="AA30" i="22"/>
  <c r="V30" i="22"/>
  <c r="AP21" i="21"/>
  <c r="AD29" i="22"/>
  <c r="AE29" i="22" s="1"/>
  <c r="U31" i="21"/>
  <c r="Z31" i="21"/>
  <c r="AF25" i="27"/>
  <c r="V31" i="27"/>
  <c r="AA31" i="27"/>
  <c r="AB38" i="21"/>
  <c r="W38" i="21"/>
  <c r="T27" i="27"/>
  <c r="Y27" i="27"/>
  <c r="W27" i="22"/>
  <c r="AB27" i="22"/>
  <c r="Z28" i="24"/>
  <c r="U28" i="24"/>
  <c r="AD34" i="24"/>
  <c r="AE34" i="24" s="1"/>
  <c r="Z27" i="24"/>
  <c r="U27" i="24"/>
  <c r="AA38" i="17"/>
  <c r="V38" i="17"/>
  <c r="AC38" i="27"/>
  <c r="X38" i="27"/>
  <c r="V27" i="30"/>
  <c r="AA27" i="30"/>
  <c r="AC39" i="22"/>
  <c r="X39" i="22"/>
  <c r="AB39" i="21"/>
  <c r="W39" i="21"/>
  <c r="U32" i="22"/>
  <c r="Z32" i="22"/>
  <c r="AB28" i="30"/>
  <c r="Z39" i="24"/>
  <c r="U39" i="24"/>
  <c r="AB31" i="30"/>
  <c r="W31" i="30"/>
  <c r="AF21" i="17"/>
  <c r="AC32" i="22"/>
  <c r="X32" i="22"/>
  <c r="AB38" i="27"/>
  <c r="W38" i="27"/>
  <c r="Z28" i="21"/>
  <c r="AA27" i="22"/>
  <c r="V27" i="22"/>
  <c r="U32" i="24"/>
  <c r="Z32" i="24"/>
  <c r="X27" i="27"/>
  <c r="AC27" i="27"/>
  <c r="AB31" i="27"/>
  <c r="W31" i="27"/>
  <c r="U38" i="24"/>
  <c r="Z38" i="24"/>
  <c r="Z27" i="30"/>
  <c r="U27" i="30"/>
  <c r="AC30" i="27"/>
  <c r="AB28" i="24"/>
  <c r="T38" i="27"/>
  <c r="Y38" i="27"/>
  <c r="AA32" i="17"/>
  <c r="V32" i="17"/>
  <c r="AD26" i="30"/>
  <c r="AE26" i="30" s="1"/>
  <c r="AA28" i="21"/>
  <c r="V28" i="21"/>
  <c r="Z38" i="17"/>
  <c r="U38" i="17"/>
  <c r="AD29" i="30"/>
  <c r="AE29" i="30" s="1"/>
  <c r="AD34" i="30"/>
  <c r="AE34" i="30" s="1"/>
  <c r="X31" i="27"/>
  <c r="AC31" i="27"/>
  <c r="AD35" i="22"/>
  <c r="AE35" i="22" s="1"/>
  <c r="AB27" i="21"/>
  <c r="W27" i="21"/>
  <c r="AC38" i="30"/>
  <c r="X38" i="30"/>
  <c r="AC39" i="21"/>
  <c r="X39" i="21"/>
  <c r="AB28" i="27"/>
  <c r="AC27" i="21"/>
  <c r="X27" i="21"/>
  <c r="Y30" i="30"/>
  <c r="T30" i="30"/>
  <c r="AB31" i="21"/>
  <c r="W31" i="21"/>
  <c r="T32" i="24"/>
  <c r="Y32" i="24"/>
  <c r="V32" i="27"/>
  <c r="AA32" i="27"/>
  <c r="AC28" i="21"/>
  <c r="X28" i="21"/>
  <c r="AK15" i="22"/>
  <c r="U30" i="21"/>
  <c r="Z30" i="21"/>
  <c r="W32" i="24"/>
  <c r="AB32" i="24"/>
  <c r="AA28" i="24"/>
  <c r="V28" i="24"/>
  <c r="U38" i="27"/>
  <c r="Z38" i="27"/>
  <c r="AR25" i="21"/>
  <c r="V39" i="22"/>
  <c r="AA39" i="22"/>
  <c r="AF24" i="27"/>
  <c r="V30" i="24"/>
  <c r="AA30" i="24"/>
  <c r="AF21" i="21"/>
  <c r="AK21" i="22"/>
  <c r="AD34" i="22"/>
  <c r="AE34" i="22" s="1"/>
  <c r="Z31" i="22"/>
  <c r="U31" i="22"/>
  <c r="W38" i="22"/>
  <c r="AB38" i="22"/>
  <c r="AB27" i="24"/>
  <c r="W27" i="24"/>
  <c r="T28" i="21"/>
  <c r="Y28" i="21"/>
  <c r="Z28" i="30"/>
  <c r="AH9" i="17"/>
  <c r="AI9" i="17"/>
  <c r="AG9" i="17"/>
  <c r="AJ9" i="17"/>
  <c r="Z27" i="27"/>
  <c r="U27" i="27"/>
  <c r="AA38" i="30"/>
  <c r="V38" i="30"/>
  <c r="T31" i="24"/>
  <c r="Y31" i="24"/>
  <c r="AC30" i="22"/>
  <c r="X39" i="17"/>
  <c r="AC39" i="17"/>
  <c r="Y39" i="17"/>
  <c r="T39" i="17"/>
  <c r="AB39" i="22"/>
  <c r="W39" i="22"/>
  <c r="U32" i="30"/>
  <c r="Z32" i="30"/>
  <c r="Z39" i="30"/>
  <c r="U39" i="30"/>
  <c r="X27" i="30"/>
  <c r="AC27" i="30"/>
  <c r="AC28" i="27"/>
  <c r="AB30" i="24"/>
  <c r="W30" i="24"/>
  <c r="AA31" i="17"/>
  <c r="V31" i="17"/>
  <c r="Z27" i="22"/>
  <c r="U27" i="22"/>
  <c r="AC30" i="30"/>
  <c r="X30" i="30"/>
  <c r="AB28" i="17"/>
  <c r="T30" i="21"/>
  <c r="Y30" i="21"/>
  <c r="U30" i="27"/>
  <c r="Z30" i="27"/>
  <c r="AP21" i="17"/>
  <c r="AC32" i="17"/>
  <c r="X32" i="17"/>
  <c r="AA30" i="17"/>
  <c r="V30" i="17"/>
  <c r="V31" i="24"/>
  <c r="AA31" i="24"/>
  <c r="Y28" i="27"/>
  <c r="V27" i="24"/>
  <c r="AA27" i="24"/>
  <c r="Z32" i="21"/>
  <c r="U32" i="21"/>
  <c r="AC32" i="30"/>
  <c r="X32" i="30"/>
  <c r="AD35" i="30"/>
  <c r="AE35" i="30" s="1"/>
  <c r="V31" i="30"/>
  <c r="AA31" i="30"/>
  <c r="Y27" i="30"/>
  <c r="T27" i="30"/>
  <c r="AD35" i="21"/>
  <c r="AE35" i="21" s="1"/>
  <c r="AA38" i="24"/>
  <c r="V38" i="24"/>
  <c r="W39" i="17"/>
  <c r="AB39" i="17"/>
  <c r="U39" i="17"/>
  <c r="Z39" i="17"/>
  <c r="AC27" i="17"/>
  <c r="X27" i="17"/>
  <c r="T38" i="22"/>
  <c r="Y38" i="22"/>
  <c r="Y30" i="27"/>
  <c r="T30" i="27"/>
  <c r="AB31" i="22"/>
  <c r="W31" i="22"/>
  <c r="Y32" i="30"/>
  <c r="T32" i="30"/>
  <c r="AC28" i="17"/>
  <c r="U30" i="22"/>
  <c r="Z30" i="22"/>
  <c r="W32" i="30"/>
  <c r="AB32" i="30"/>
  <c r="AK24" i="22"/>
  <c r="AP24" i="22"/>
  <c r="AF24" i="22"/>
  <c r="AA28" i="30"/>
  <c r="AA39" i="24"/>
  <c r="V39" i="24"/>
  <c r="AG11" i="22"/>
  <c r="AH11" i="22"/>
  <c r="AJ11" i="22"/>
  <c r="AI11" i="22"/>
  <c r="AA30" i="30"/>
  <c r="V30" i="30"/>
  <c r="AC31" i="22"/>
  <c r="X31" i="22"/>
  <c r="AB30" i="22"/>
  <c r="W30" i="22"/>
  <c r="Z31" i="30"/>
  <c r="U31" i="30"/>
  <c r="AF25" i="30"/>
  <c r="W38" i="17"/>
  <c r="AB38" i="17"/>
  <c r="AB27" i="30"/>
  <c r="W27" i="30"/>
  <c r="Y28" i="22"/>
  <c r="Z28" i="27"/>
  <c r="AA38" i="27"/>
  <c r="V38" i="27"/>
  <c r="T31" i="21"/>
  <c r="Y31" i="21"/>
  <c r="AC30" i="21"/>
  <c r="X30" i="21"/>
  <c r="X39" i="24"/>
  <c r="AC39" i="24"/>
  <c r="Y39" i="21"/>
  <c r="T39" i="21"/>
  <c r="AB39" i="24"/>
  <c r="W39" i="24"/>
  <c r="U32" i="27"/>
  <c r="Z32" i="27"/>
  <c r="U39" i="27"/>
  <c r="Z39" i="27"/>
  <c r="AT7" i="21" l="1"/>
  <c r="AQ7" i="21"/>
  <c r="AR7" i="21"/>
  <c r="AK19" i="21"/>
  <c r="AP19" i="21"/>
  <c r="AF19" i="24"/>
  <c r="AH19" i="24" s="1"/>
  <c r="AJ9" i="22"/>
  <c r="AG12" i="27"/>
  <c r="AC8" i="27"/>
  <c r="AK25" i="21"/>
  <c r="AO25" i="21" s="1"/>
  <c r="AT25" i="21"/>
  <c r="AS25" i="21"/>
  <c r="AF25" i="21"/>
  <c r="AJ25" i="21" s="1"/>
  <c r="AJ12" i="22"/>
  <c r="AN11" i="24"/>
  <c r="AP12" i="22"/>
  <c r="AR12" i="22" s="1"/>
  <c r="AD37" i="27"/>
  <c r="AE37" i="27" s="1"/>
  <c r="AF37" i="27" s="1"/>
  <c r="AK12" i="22"/>
  <c r="AO12" i="22" s="1"/>
  <c r="Y8" i="22"/>
  <c r="AF8" i="22" s="1"/>
  <c r="AH12" i="22"/>
  <c r="AI7" i="21"/>
  <c r="X30" i="22"/>
  <c r="AD30" i="22" s="1"/>
  <c r="AE30" i="22" s="1"/>
  <c r="AJ7" i="21"/>
  <c r="AB10" i="24"/>
  <c r="U36" i="22"/>
  <c r="AA8" i="22"/>
  <c r="AK14" i="17"/>
  <c r="AO14" i="17" s="1"/>
  <c r="AK19" i="17"/>
  <c r="AN19" i="17" s="1"/>
  <c r="X30" i="24"/>
  <c r="AD30" i="24" s="1"/>
  <c r="AE30" i="24" s="1"/>
  <c r="AL12" i="22"/>
  <c r="AQ11" i="24"/>
  <c r="Z8" i="27"/>
  <c r="Y8" i="27"/>
  <c r="AJ9" i="27"/>
  <c r="AB18" i="21"/>
  <c r="AA8" i="27"/>
  <c r="T28" i="30"/>
  <c r="AN9" i="21"/>
  <c r="AS11" i="24"/>
  <c r="AH9" i="27"/>
  <c r="AB8" i="27"/>
  <c r="AF12" i="17"/>
  <c r="AI12" i="17" s="1"/>
  <c r="AT12" i="17"/>
  <c r="AS12" i="17"/>
  <c r="AR12" i="17"/>
  <c r="AQ12" i="17"/>
  <c r="AP14" i="17"/>
  <c r="AR14" i="17" s="1"/>
  <c r="AD37" i="17"/>
  <c r="AE37" i="17" s="1"/>
  <c r="AF37" i="17" s="1"/>
  <c r="X36" i="22"/>
  <c r="AI12" i="27"/>
  <c r="AC18" i="21"/>
  <c r="AB18" i="17"/>
  <c r="W36" i="22"/>
  <c r="X30" i="27"/>
  <c r="AD30" i="27" s="1"/>
  <c r="AE30" i="27" s="1"/>
  <c r="AJ12" i="27"/>
  <c r="AC8" i="24"/>
  <c r="AS12" i="21"/>
  <c r="AA8" i="24"/>
  <c r="AT12" i="21"/>
  <c r="AR12" i="21"/>
  <c r="AM11" i="24"/>
  <c r="AL11" i="24"/>
  <c r="AA10" i="17"/>
  <c r="AP10" i="17" s="1"/>
  <c r="AC18" i="17"/>
  <c r="Z18" i="27"/>
  <c r="Y8" i="24"/>
  <c r="T28" i="17"/>
  <c r="AB8" i="24"/>
  <c r="AO12" i="17"/>
  <c r="AI9" i="22"/>
  <c r="AC18" i="30"/>
  <c r="Z18" i="17"/>
  <c r="AN12" i="17"/>
  <c r="AH9" i="22"/>
  <c r="Z10" i="24"/>
  <c r="AA10" i="24"/>
  <c r="T28" i="24"/>
  <c r="T26" i="24"/>
  <c r="AD26" i="24" s="1"/>
  <c r="AE26" i="24" s="1"/>
  <c r="AF26" i="24" s="1"/>
  <c r="AI26" i="24" s="1"/>
  <c r="Z10" i="22"/>
  <c r="AG12" i="17"/>
  <c r="AJ12" i="30"/>
  <c r="AJ12" i="21"/>
  <c r="L64" i="3"/>
  <c r="AK12" i="24" s="1"/>
  <c r="M64" i="3"/>
  <c r="AP12" i="24" s="1"/>
  <c r="AR12" i="24" s="1"/>
  <c r="N64" i="3"/>
  <c r="P65" i="3"/>
  <c r="O65" i="3"/>
  <c r="AR9" i="22"/>
  <c r="AT9" i="21"/>
  <c r="AS9" i="21"/>
  <c r="AI12" i="21"/>
  <c r="AR9" i="24"/>
  <c r="AH12" i="21"/>
  <c r="AS12" i="22"/>
  <c r="AS9" i="24"/>
  <c r="AT9" i="24"/>
  <c r="AL12" i="17"/>
  <c r="AT9" i="22"/>
  <c r="AC10" i="17"/>
  <c r="AG14" i="21"/>
  <c r="W28" i="17"/>
  <c r="AB10" i="30"/>
  <c r="AQ12" i="22"/>
  <c r="AN12" i="21"/>
  <c r="AL12" i="21"/>
  <c r="Z10" i="30"/>
  <c r="AD37" i="24"/>
  <c r="AE37" i="24" s="1"/>
  <c r="AF37" i="24" s="1"/>
  <c r="AC10" i="30"/>
  <c r="AH14" i="21"/>
  <c r="AN14" i="17"/>
  <c r="AQ19" i="17"/>
  <c r="U28" i="21"/>
  <c r="AD28" i="21" s="1"/>
  <c r="AE28" i="21" s="1"/>
  <c r="X36" i="27"/>
  <c r="AP8" i="22"/>
  <c r="AS9" i="22"/>
  <c r="AH12" i="30"/>
  <c r="AB18" i="27"/>
  <c r="AC10" i="24"/>
  <c r="AD37" i="22"/>
  <c r="AE37" i="22" s="1"/>
  <c r="AF37" i="22" s="1"/>
  <c r="Z18" i="24"/>
  <c r="AI14" i="24"/>
  <c r="AK8" i="17"/>
  <c r="AF8" i="17"/>
  <c r="AP8" i="17"/>
  <c r="AF8" i="30"/>
  <c r="AF8" i="21"/>
  <c r="AP8" i="21"/>
  <c r="AK8" i="21"/>
  <c r="AP10" i="21"/>
  <c r="AQ10" i="21" s="1"/>
  <c r="Z10" i="17"/>
  <c r="AQ9" i="21"/>
  <c r="AL9" i="22"/>
  <c r="AH14" i="24"/>
  <c r="AA10" i="22"/>
  <c r="AC10" i="22"/>
  <c r="T28" i="22"/>
  <c r="AT12" i="22"/>
  <c r="AM9" i="21"/>
  <c r="AG14" i="24"/>
  <c r="AR19" i="17"/>
  <c r="AC10" i="27"/>
  <c r="AJ12" i="24"/>
  <c r="AK13" i="22"/>
  <c r="AM13" i="22" s="1"/>
  <c r="AN9" i="22"/>
  <c r="AH12" i="24"/>
  <c r="AM9" i="22"/>
  <c r="Z10" i="27"/>
  <c r="AB10" i="22"/>
  <c r="AA10" i="30"/>
  <c r="X28" i="17"/>
  <c r="AO9" i="21"/>
  <c r="AG12" i="24"/>
  <c r="T28" i="27"/>
  <c r="AS12" i="24"/>
  <c r="AK13" i="21"/>
  <c r="AM13" i="21" s="1"/>
  <c r="AF13" i="17"/>
  <c r="AJ13" i="17" s="1"/>
  <c r="AB10" i="27"/>
  <c r="AA10" i="27"/>
  <c r="AG9" i="24"/>
  <c r="AI9" i="24"/>
  <c r="AI14" i="21"/>
  <c r="AH9" i="24"/>
  <c r="AD37" i="30"/>
  <c r="AE37" i="30" s="1"/>
  <c r="AD37" i="21"/>
  <c r="AE37" i="21" s="1"/>
  <c r="AF37" i="21" s="1"/>
  <c r="AH9" i="21"/>
  <c r="AI9" i="21"/>
  <c r="AH19" i="30"/>
  <c r="AJ9" i="21"/>
  <c r="AF13" i="22"/>
  <c r="AG13" i="22" s="1"/>
  <c r="AF13" i="21"/>
  <c r="AG13" i="21" s="1"/>
  <c r="AK10" i="21"/>
  <c r="AO10" i="21" s="1"/>
  <c r="AI12" i="30"/>
  <c r="AP13" i="22"/>
  <c r="AR13" i="22" s="1"/>
  <c r="W36" i="24"/>
  <c r="AK13" i="17"/>
  <c r="AO13" i="17" s="1"/>
  <c r="AG19" i="30"/>
  <c r="W28" i="24"/>
  <c r="AP13" i="21"/>
  <c r="AR13" i="21" s="1"/>
  <c r="AJ19" i="30"/>
  <c r="AT19" i="17"/>
  <c r="AF13" i="27"/>
  <c r="AH13" i="27" s="1"/>
  <c r="AI19" i="21"/>
  <c r="AH19" i="21"/>
  <c r="AJ19" i="21"/>
  <c r="AG19" i="21"/>
  <c r="AL9" i="24"/>
  <c r="AI19" i="27"/>
  <c r="AJ19" i="27"/>
  <c r="AG19" i="27"/>
  <c r="AH19" i="27"/>
  <c r="V36" i="22"/>
  <c r="AA18" i="22"/>
  <c r="AF18" i="22" s="1"/>
  <c r="AG19" i="24"/>
  <c r="AI19" i="24"/>
  <c r="W28" i="27"/>
  <c r="AM19" i="21"/>
  <c r="AN19" i="21"/>
  <c r="AO19" i="21"/>
  <c r="AL19" i="21"/>
  <c r="AF13" i="24"/>
  <c r="AT19" i="22"/>
  <c r="AR19" i="22"/>
  <c r="AQ19" i="22"/>
  <c r="AS19" i="22"/>
  <c r="AT19" i="21"/>
  <c r="AR19" i="21"/>
  <c r="AQ19" i="21"/>
  <c r="AS19" i="21"/>
  <c r="AJ14" i="17"/>
  <c r="AI14" i="17"/>
  <c r="AG14" i="17"/>
  <c r="AH14" i="17"/>
  <c r="AM14" i="21"/>
  <c r="AL14" i="21"/>
  <c r="AN14" i="21"/>
  <c r="AO14" i="21"/>
  <c r="AI14" i="27"/>
  <c r="AG14" i="27"/>
  <c r="AJ14" i="27"/>
  <c r="AH14" i="27"/>
  <c r="AF10" i="21"/>
  <c r="AG10" i="21" s="1"/>
  <c r="AI14" i="30"/>
  <c r="AJ14" i="30"/>
  <c r="AH14" i="30"/>
  <c r="AG14" i="30"/>
  <c r="AA18" i="17"/>
  <c r="V36" i="17"/>
  <c r="AD36" i="17" s="1"/>
  <c r="AE36" i="17" s="1"/>
  <c r="AS14" i="22"/>
  <c r="AT14" i="22"/>
  <c r="AQ14" i="22"/>
  <c r="AR14" i="22"/>
  <c r="AQ14" i="21"/>
  <c r="AT14" i="21"/>
  <c r="AS14" i="21"/>
  <c r="AR14" i="21"/>
  <c r="AF13" i="30"/>
  <c r="AA18" i="21"/>
  <c r="V36" i="21"/>
  <c r="AD36" i="21" s="1"/>
  <c r="AE36" i="21" s="1"/>
  <c r="AO19" i="17"/>
  <c r="AG14" i="22"/>
  <c r="AH14" i="22"/>
  <c r="AI14" i="22"/>
  <c r="AJ14" i="22"/>
  <c r="AO9" i="24"/>
  <c r="V36" i="30"/>
  <c r="AD36" i="30" s="1"/>
  <c r="AE36" i="30" s="1"/>
  <c r="AA18" i="30"/>
  <c r="AM14" i="22"/>
  <c r="AN14" i="22"/>
  <c r="AL14" i="22"/>
  <c r="AO14" i="22"/>
  <c r="AH19" i="17"/>
  <c r="AJ19" i="17"/>
  <c r="AI19" i="17"/>
  <c r="AG19" i="17"/>
  <c r="W28" i="30"/>
  <c r="AD28" i="30" s="1"/>
  <c r="AE28" i="30" s="1"/>
  <c r="W28" i="22"/>
  <c r="AN9" i="24"/>
  <c r="AA18" i="24"/>
  <c r="V36" i="24"/>
  <c r="AP13" i="17"/>
  <c r="AH19" i="22"/>
  <c r="AJ19" i="22"/>
  <c r="AG19" i="22"/>
  <c r="AI19" i="22"/>
  <c r="V36" i="27"/>
  <c r="AA18" i="27"/>
  <c r="AN19" i="22"/>
  <c r="AM19" i="22"/>
  <c r="AL19" i="22"/>
  <c r="AO19" i="22"/>
  <c r="AO6" i="21"/>
  <c r="AG6" i="27"/>
  <c r="AS6" i="17"/>
  <c r="AM6" i="21"/>
  <c r="AQ6" i="17"/>
  <c r="AT6" i="17"/>
  <c r="AL6" i="21"/>
  <c r="AL17" i="21"/>
  <c r="AI25" i="21"/>
  <c r="AG25" i="21"/>
  <c r="AH6" i="21"/>
  <c r="AG6" i="22"/>
  <c r="AI6" i="27"/>
  <c r="AJ6" i="27"/>
  <c r="AT6" i="22"/>
  <c r="AO15" i="21"/>
  <c r="AJ17" i="17"/>
  <c r="AI6" i="22"/>
  <c r="AJ6" i="22"/>
  <c r="AQ6" i="21"/>
  <c r="AS6" i="22"/>
  <c r="AJ6" i="21"/>
  <c r="AH25" i="21"/>
  <c r="AG6" i="21"/>
  <c r="AO6" i="17"/>
  <c r="AN6" i="17"/>
  <c r="AS6" i="21"/>
  <c r="AL6" i="17"/>
  <c r="AG16" i="17"/>
  <c r="AM16" i="22"/>
  <c r="AI16" i="17"/>
  <c r="AG24" i="30"/>
  <c r="AJ16" i="17"/>
  <c r="AR6" i="22"/>
  <c r="AQ6" i="24"/>
  <c r="AH21" i="22"/>
  <c r="AJ24" i="30"/>
  <c r="AI17" i="30"/>
  <c r="AH24" i="30"/>
  <c r="AL6" i="22"/>
  <c r="AT6" i="21"/>
  <c r="AJ17" i="24"/>
  <c r="AS6" i="24"/>
  <c r="AN6" i="22"/>
  <c r="AT16" i="22"/>
  <c r="AM21" i="21"/>
  <c r="AM6" i="22"/>
  <c r="AL21" i="21"/>
  <c r="AJ17" i="27"/>
  <c r="AH16" i="27"/>
  <c r="AR17" i="21"/>
  <c r="AN21" i="21"/>
  <c r="AJ16" i="27"/>
  <c r="AH16" i="24"/>
  <c r="AH15" i="24"/>
  <c r="AT6" i="24"/>
  <c r="AI16" i="27"/>
  <c r="AH6" i="17"/>
  <c r="AN6" i="24"/>
  <c r="AI17" i="24"/>
  <c r="AH15" i="21"/>
  <c r="AG6" i="17"/>
  <c r="AH15" i="30"/>
  <c r="AL15" i="21"/>
  <c r="AO16" i="21"/>
  <c r="AO6" i="24"/>
  <c r="AG17" i="24"/>
  <c r="AH17" i="27"/>
  <c r="AG17" i="27"/>
  <c r="AN15" i="21"/>
  <c r="AI6" i="17"/>
  <c r="AL6" i="24"/>
  <c r="AT17" i="17"/>
  <c r="AL16" i="17"/>
  <c r="AK34" i="21"/>
  <c r="AN34" i="21" s="1"/>
  <c r="AQ17" i="17"/>
  <c r="AH16" i="30"/>
  <c r="AJ16" i="22"/>
  <c r="AO17" i="22"/>
  <c r="AJ16" i="30"/>
  <c r="AM16" i="17"/>
  <c r="AG16" i="22"/>
  <c r="AS16" i="22"/>
  <c r="AM21" i="17"/>
  <c r="AI15" i="21"/>
  <c r="AL17" i="22"/>
  <c r="AH21" i="27"/>
  <c r="AI16" i="21"/>
  <c r="AG16" i="30"/>
  <c r="AI16" i="22"/>
  <c r="AR15" i="17"/>
  <c r="AM17" i="22"/>
  <c r="AG21" i="27"/>
  <c r="AR17" i="17"/>
  <c r="AN15" i="17"/>
  <c r="AI6" i="24"/>
  <c r="AR16" i="22"/>
  <c r="AQ15" i="22"/>
  <c r="AG6" i="24"/>
  <c r="AG15" i="24"/>
  <c r="AJ17" i="30"/>
  <c r="AI16" i="24"/>
  <c r="AN17" i="21"/>
  <c r="AG17" i="30"/>
  <c r="AG16" i="24"/>
  <c r="AH6" i="24"/>
  <c r="AO17" i="21"/>
  <c r="AS16" i="17"/>
  <c r="AN16" i="17"/>
  <c r="AG15" i="21"/>
  <c r="AP34" i="21"/>
  <c r="AR34" i="21" s="1"/>
  <c r="AL16" i="22"/>
  <c r="AG21" i="22"/>
  <c r="AQ21" i="22"/>
  <c r="AS21" i="22"/>
  <c r="AH15" i="22"/>
  <c r="AI15" i="22"/>
  <c r="AJ15" i="22"/>
  <c r="AP35" i="17"/>
  <c r="AR35" i="17" s="1"/>
  <c r="AT21" i="22"/>
  <c r="AJ21" i="22"/>
  <c r="AD33" i="27"/>
  <c r="AE33" i="27" s="1"/>
  <c r="AF33" i="27" s="1"/>
  <c r="AK35" i="17"/>
  <c r="AO35" i="17" s="1"/>
  <c r="AD32" i="27"/>
  <c r="AE32" i="27" s="1"/>
  <c r="AF32" i="27" s="1"/>
  <c r="AD39" i="21"/>
  <c r="AE39" i="21" s="1"/>
  <c r="AK39" i="21" s="1"/>
  <c r="AI15" i="17"/>
  <c r="AH17" i="17"/>
  <c r="AJ21" i="24"/>
  <c r="AN17" i="17"/>
  <c r="AT15" i="17"/>
  <c r="AQ15" i="21"/>
  <c r="AG15" i="30"/>
  <c r="AT16" i="21"/>
  <c r="AG16" i="21"/>
  <c r="AL21" i="17"/>
  <c r="AS15" i="22"/>
  <c r="AD33" i="21"/>
  <c r="AE33" i="21" s="1"/>
  <c r="AP33" i="21" s="1"/>
  <c r="AI17" i="17"/>
  <c r="AG21" i="24"/>
  <c r="AQ15" i="17"/>
  <c r="AI15" i="30"/>
  <c r="AQ16" i="21"/>
  <c r="AH16" i="21"/>
  <c r="AN21" i="17"/>
  <c r="AT15" i="22"/>
  <c r="AJ15" i="17"/>
  <c r="AD33" i="24"/>
  <c r="AE33" i="24" s="1"/>
  <c r="AG15" i="17"/>
  <c r="AT17" i="21"/>
  <c r="AO17" i="17"/>
  <c r="AI15" i="24"/>
  <c r="AS15" i="21"/>
  <c r="AS16" i="21"/>
  <c r="AJ21" i="27"/>
  <c r="AS17" i="21"/>
  <c r="AM17" i="17"/>
  <c r="AT15" i="21"/>
  <c r="AI21" i="24"/>
  <c r="AK33" i="22"/>
  <c r="AL33" i="22" s="1"/>
  <c r="AF33" i="22"/>
  <c r="AG33" i="22" s="1"/>
  <c r="AP33" i="22"/>
  <c r="AQ33" i="22" s="1"/>
  <c r="AF26" i="21"/>
  <c r="AJ26" i="21" s="1"/>
  <c r="AP29" i="21"/>
  <c r="AR29" i="21" s="1"/>
  <c r="AO15" i="17"/>
  <c r="AR16" i="17"/>
  <c r="AK26" i="21"/>
  <c r="AN26" i="21" s="1"/>
  <c r="AD39" i="27"/>
  <c r="AE39" i="27" s="1"/>
  <c r="AD39" i="22"/>
  <c r="AE39" i="22" s="1"/>
  <c r="AK39" i="22" s="1"/>
  <c r="AK29" i="21"/>
  <c r="AO29" i="21" s="1"/>
  <c r="AD38" i="17"/>
  <c r="AE38" i="17" s="1"/>
  <c r="AK38" i="17" s="1"/>
  <c r="AL16" i="21"/>
  <c r="AM15" i="17"/>
  <c r="AM16" i="21"/>
  <c r="AD38" i="27"/>
  <c r="AE38" i="27" s="1"/>
  <c r="AF38" i="27" s="1"/>
  <c r="AD31" i="21"/>
  <c r="AE31" i="21" s="1"/>
  <c r="AK31" i="21" s="1"/>
  <c r="AD32" i="30"/>
  <c r="AE32" i="30" s="1"/>
  <c r="AT16" i="17"/>
  <c r="AN16" i="22"/>
  <c r="AD33" i="30"/>
  <c r="AE33" i="30" s="1"/>
  <c r="AL24" i="22"/>
  <c r="AM24" i="22"/>
  <c r="AO24" i="22"/>
  <c r="AN24" i="22"/>
  <c r="AJ25" i="24"/>
  <c r="AI25" i="24"/>
  <c r="AH25" i="24"/>
  <c r="AG25" i="24"/>
  <c r="AJ25" i="30"/>
  <c r="AH25" i="30"/>
  <c r="AI25" i="30"/>
  <c r="AG25" i="30"/>
  <c r="AD32" i="24"/>
  <c r="AE32" i="24" s="1"/>
  <c r="AH24" i="17"/>
  <c r="AJ24" i="17"/>
  <c r="AI24" i="17"/>
  <c r="AG24" i="17"/>
  <c r="AH24" i="22"/>
  <c r="AG24" i="22"/>
  <c r="AJ24" i="22"/>
  <c r="AI24" i="22"/>
  <c r="AF34" i="22"/>
  <c r="AP34" i="22"/>
  <c r="AK34" i="22"/>
  <c r="AJ21" i="17"/>
  <c r="AG21" i="17"/>
  <c r="AI21" i="17"/>
  <c r="AH21" i="17"/>
  <c r="AJ25" i="27"/>
  <c r="AH25" i="27"/>
  <c r="AG25" i="27"/>
  <c r="AI25" i="27"/>
  <c r="AF29" i="24"/>
  <c r="AP29" i="24"/>
  <c r="AK29" i="24"/>
  <c r="AP29" i="17"/>
  <c r="AK29" i="17"/>
  <c r="AF29" i="17"/>
  <c r="AT25" i="22"/>
  <c r="AR25" i="22"/>
  <c r="AS25" i="22"/>
  <c r="AQ25" i="22"/>
  <c r="AG29" i="21"/>
  <c r="AH29" i="21"/>
  <c r="AJ29" i="21"/>
  <c r="AI29" i="21"/>
  <c r="AM24" i="24"/>
  <c r="AL24" i="24"/>
  <c r="AO24" i="24"/>
  <c r="AN24" i="24"/>
  <c r="AI25" i="17"/>
  <c r="AH25" i="17"/>
  <c r="AG25" i="17"/>
  <c r="AJ25" i="17"/>
  <c r="AQ25" i="24"/>
  <c r="AS25" i="24"/>
  <c r="AR25" i="24"/>
  <c r="AT25" i="24"/>
  <c r="AH35" i="27"/>
  <c r="AJ35" i="27"/>
  <c r="AG35" i="27"/>
  <c r="AI35" i="27"/>
  <c r="AS24" i="22"/>
  <c r="AR24" i="22"/>
  <c r="AQ24" i="22"/>
  <c r="AT24" i="22"/>
  <c r="AN21" i="22"/>
  <c r="AM21" i="22"/>
  <c r="AL21" i="22"/>
  <c r="AO21" i="22"/>
  <c r="AF34" i="30"/>
  <c r="AF34" i="24"/>
  <c r="AK26" i="17"/>
  <c r="AP26" i="17"/>
  <c r="AF26" i="17"/>
  <c r="AD39" i="24"/>
  <c r="AE39" i="24" s="1"/>
  <c r="AD31" i="22"/>
  <c r="AE31" i="22" s="1"/>
  <c r="AL25" i="22"/>
  <c r="AM25" i="22"/>
  <c r="AN25" i="22"/>
  <c r="AO25" i="22"/>
  <c r="AD38" i="24"/>
  <c r="AE38" i="24" s="1"/>
  <c r="AD31" i="17"/>
  <c r="AE31" i="17" s="1"/>
  <c r="AF29" i="27"/>
  <c r="AQ25" i="17"/>
  <c r="AS25" i="17"/>
  <c r="AT25" i="17"/>
  <c r="AR25" i="17"/>
  <c r="AD31" i="27"/>
  <c r="AE31" i="27" s="1"/>
  <c r="AN25" i="24"/>
  <c r="AM25" i="24"/>
  <c r="AO25" i="24"/>
  <c r="AL25" i="24"/>
  <c r="AF26" i="30"/>
  <c r="AD38" i="22"/>
  <c r="AE38" i="22" s="1"/>
  <c r="AD38" i="30"/>
  <c r="AE38" i="30" s="1"/>
  <c r="AP33" i="17"/>
  <c r="AK33" i="17"/>
  <c r="AF33" i="17"/>
  <c r="AG17" i="22"/>
  <c r="AH17" i="22"/>
  <c r="AJ17" i="22"/>
  <c r="AI17" i="22"/>
  <c r="AP35" i="21"/>
  <c r="AF35" i="21"/>
  <c r="AK35" i="21"/>
  <c r="AO15" i="22"/>
  <c r="AN15" i="22"/>
  <c r="AM15" i="22"/>
  <c r="AL15" i="22"/>
  <c r="AQ26" i="21"/>
  <c r="AR26" i="21"/>
  <c r="AT26" i="21"/>
  <c r="AS26" i="21"/>
  <c r="AF26" i="27"/>
  <c r="AT21" i="21"/>
  <c r="AS21" i="21"/>
  <c r="AR21" i="21"/>
  <c r="AQ21" i="21"/>
  <c r="AD32" i="17"/>
  <c r="AE32" i="17" s="1"/>
  <c r="AD27" i="21"/>
  <c r="AE27" i="21" s="1"/>
  <c r="AI17" i="21"/>
  <c r="AJ17" i="21"/>
  <c r="AH17" i="21"/>
  <c r="AG17" i="21"/>
  <c r="AR24" i="21"/>
  <c r="AS24" i="21"/>
  <c r="AQ24" i="21"/>
  <c r="AT24" i="21"/>
  <c r="AF35" i="24"/>
  <c r="AD31" i="30"/>
  <c r="AE31" i="30" s="1"/>
  <c r="AH34" i="21"/>
  <c r="AG34" i="21"/>
  <c r="AI34" i="21"/>
  <c r="AJ34" i="21"/>
  <c r="AS21" i="17"/>
  <c r="AQ21" i="17"/>
  <c r="AT21" i="17"/>
  <c r="AR21" i="17"/>
  <c r="AF35" i="22"/>
  <c r="AK35" i="22"/>
  <c r="AP35" i="22"/>
  <c r="AO24" i="17"/>
  <c r="AM24" i="17"/>
  <c r="AL24" i="17"/>
  <c r="AN24" i="17"/>
  <c r="AD32" i="21"/>
  <c r="AE32" i="21" s="1"/>
  <c r="AH26" i="24"/>
  <c r="AD38" i="21"/>
  <c r="AE38" i="21" s="1"/>
  <c r="AJ35" i="17"/>
  <c r="AI35" i="17"/>
  <c r="AG35" i="17"/>
  <c r="AH35" i="17"/>
  <c r="AT24" i="17"/>
  <c r="AS24" i="17"/>
  <c r="AR24" i="17"/>
  <c r="AQ24" i="17"/>
  <c r="AM24" i="21"/>
  <c r="AO24" i="21"/>
  <c r="AN24" i="21"/>
  <c r="AL24" i="21"/>
  <c r="AD27" i="30"/>
  <c r="AE27" i="30" s="1"/>
  <c r="AD30" i="21"/>
  <c r="AE30" i="21" s="1"/>
  <c r="AD31" i="24"/>
  <c r="AE31" i="24" s="1"/>
  <c r="AG21" i="21"/>
  <c r="AJ21" i="21"/>
  <c r="AH21" i="21"/>
  <c r="AI21" i="21"/>
  <c r="AH24" i="27"/>
  <c r="AJ24" i="27"/>
  <c r="AI24" i="27"/>
  <c r="AG24" i="27"/>
  <c r="AD30" i="30"/>
  <c r="AE30" i="30" s="1"/>
  <c r="AD32" i="22"/>
  <c r="AE32" i="22" s="1"/>
  <c r="AH21" i="30"/>
  <c r="AJ21" i="30"/>
  <c r="AI21" i="30"/>
  <c r="AG21" i="30"/>
  <c r="AD27" i="17"/>
  <c r="AE27" i="17" s="1"/>
  <c r="AQ17" i="22"/>
  <c r="AT17" i="22"/>
  <c r="AS17" i="22"/>
  <c r="AR17" i="22"/>
  <c r="AI24" i="21"/>
  <c r="AJ24" i="21"/>
  <c r="AH24" i="21"/>
  <c r="AG24" i="21"/>
  <c r="AH24" i="24"/>
  <c r="AJ24" i="24"/>
  <c r="AI24" i="24"/>
  <c r="AG24" i="24"/>
  <c r="AD27" i="24"/>
  <c r="AE27" i="24" s="1"/>
  <c r="AK34" i="17"/>
  <c r="AP34" i="17"/>
  <c r="AF34" i="17"/>
  <c r="AF29" i="30"/>
  <c r="AJ15" i="27"/>
  <c r="AI15" i="27"/>
  <c r="AG15" i="27"/>
  <c r="AH15" i="27"/>
  <c r="AD30" i="17"/>
  <c r="AE30" i="17" s="1"/>
  <c r="AP26" i="22"/>
  <c r="AF26" i="22"/>
  <c r="AK26" i="22"/>
  <c r="AF35" i="30"/>
  <c r="AD39" i="17"/>
  <c r="AE39" i="17" s="1"/>
  <c r="AD27" i="27"/>
  <c r="AE27" i="27" s="1"/>
  <c r="AP29" i="22"/>
  <c r="AK29" i="22"/>
  <c r="AF29" i="22"/>
  <c r="AD39" i="30"/>
  <c r="AE39" i="30" s="1"/>
  <c r="AF34" i="27"/>
  <c r="AI25" i="22"/>
  <c r="AJ25" i="22"/>
  <c r="AH25" i="22"/>
  <c r="AG25" i="22"/>
  <c r="AD27" i="22"/>
  <c r="AE27" i="22" s="1"/>
  <c r="AT24" i="24"/>
  <c r="AR24" i="24"/>
  <c r="AS24" i="24"/>
  <c r="AQ24" i="24"/>
  <c r="AN25" i="17"/>
  <c r="AO25" i="17"/>
  <c r="AM25" i="17"/>
  <c r="AL25" i="17"/>
  <c r="AJ19" i="24" l="1"/>
  <c r="AL14" i="17"/>
  <c r="AS14" i="17"/>
  <c r="AT14" i="17"/>
  <c r="AK8" i="22"/>
  <c r="AK26" i="24"/>
  <c r="AN26" i="24" s="1"/>
  <c r="AM14" i="17"/>
  <c r="AG26" i="24"/>
  <c r="AN25" i="21"/>
  <c r="AL25" i="21"/>
  <c r="AJ26" i="24"/>
  <c r="AP26" i="24"/>
  <c r="AQ26" i="24" s="1"/>
  <c r="AM25" i="21"/>
  <c r="AW25" i="21"/>
  <c r="D31" i="31" s="1"/>
  <c r="AP37" i="21"/>
  <c r="AQ37" i="21" s="1"/>
  <c r="AP18" i="21"/>
  <c r="AQ18" i="21" s="1"/>
  <c r="AQ14" i="17"/>
  <c r="AJ12" i="17"/>
  <c r="AN12" i="22"/>
  <c r="AD36" i="27"/>
  <c r="AE36" i="27" s="1"/>
  <c r="AF36" i="27" s="1"/>
  <c r="AH12" i="17"/>
  <c r="AL19" i="17"/>
  <c r="AM19" i="17"/>
  <c r="AD36" i="22"/>
  <c r="AE36" i="22" s="1"/>
  <c r="AP36" i="22" s="1"/>
  <c r="AK37" i="22"/>
  <c r="AM37" i="22" s="1"/>
  <c r="AP37" i="22"/>
  <c r="AT37" i="22" s="1"/>
  <c r="AD28" i="17"/>
  <c r="AE28" i="17" s="1"/>
  <c r="AF8" i="24"/>
  <c r="AJ8" i="24" s="1"/>
  <c r="AM12" i="22"/>
  <c r="AF8" i="27"/>
  <c r="AI8" i="27" s="1"/>
  <c r="AK37" i="17"/>
  <c r="AL37" i="17" s="1"/>
  <c r="AP37" i="17"/>
  <c r="AT37" i="17" s="1"/>
  <c r="AF10" i="24"/>
  <c r="AK8" i="24"/>
  <c r="AK10" i="17"/>
  <c r="AO10" i="17" s="1"/>
  <c r="AP8" i="24"/>
  <c r="AT8" i="24" s="1"/>
  <c r="AP10" i="24"/>
  <c r="AT10" i="24" s="1"/>
  <c r="AD36" i="24"/>
  <c r="AE36" i="24" s="1"/>
  <c r="AF18" i="17"/>
  <c r="AH18" i="17" s="1"/>
  <c r="AF10" i="17"/>
  <c r="AJ10" i="17" s="1"/>
  <c r="AD28" i="24"/>
  <c r="AE28" i="24" s="1"/>
  <c r="AK28" i="24" s="1"/>
  <c r="AQ12" i="24"/>
  <c r="AT12" i="24"/>
  <c r="N65" i="3"/>
  <c r="M65" i="3"/>
  <c r="AP13" i="24" s="1"/>
  <c r="AR13" i="24" s="1"/>
  <c r="L65" i="3"/>
  <c r="AK13" i="24" s="1"/>
  <c r="AM13" i="24" s="1"/>
  <c r="AM12" i="24"/>
  <c r="AL12" i="24"/>
  <c r="AN12" i="24"/>
  <c r="AO12" i="24"/>
  <c r="P66" i="3"/>
  <c r="L66" i="3"/>
  <c r="AK14" i="24" s="1"/>
  <c r="M66" i="3"/>
  <c r="AP14" i="24" s="1"/>
  <c r="N66" i="3"/>
  <c r="AS10" i="21"/>
  <c r="AF10" i="30"/>
  <c r="AG10" i="30" s="1"/>
  <c r="AF10" i="27"/>
  <c r="AJ10" i="27" s="1"/>
  <c r="AJ13" i="21"/>
  <c r="AQ10" i="24"/>
  <c r="AL8" i="22"/>
  <c r="AO8" i="22"/>
  <c r="AN8" i="22"/>
  <c r="AM8" i="22"/>
  <c r="AN13" i="21"/>
  <c r="AH13" i="17"/>
  <c r="AF18" i="24"/>
  <c r="AJ18" i="24" s="1"/>
  <c r="AK10" i="24"/>
  <c r="AO10" i="24" s="1"/>
  <c r="AM8" i="21"/>
  <c r="AN8" i="21"/>
  <c r="AO8" i="21"/>
  <c r="AL8" i="21"/>
  <c r="AL13" i="21"/>
  <c r="AI13" i="17"/>
  <c r="AT10" i="21"/>
  <c r="AQ8" i="24"/>
  <c r="AJ8" i="30"/>
  <c r="AG8" i="30"/>
  <c r="AI8" i="30"/>
  <c r="AH8" i="30"/>
  <c r="AN8" i="17"/>
  <c r="AL8" i="17"/>
  <c r="AO8" i="17"/>
  <c r="AM8" i="17"/>
  <c r="AQ8" i="17"/>
  <c r="AR8" i="17"/>
  <c r="AS8" i="17"/>
  <c r="AT8" i="17"/>
  <c r="AI8" i="24"/>
  <c r="AJ8" i="22"/>
  <c r="AH8" i="22"/>
  <c r="AI8" i="22"/>
  <c r="AG8" i="22"/>
  <c r="AF37" i="30"/>
  <c r="AG37" i="30" s="1"/>
  <c r="AO13" i="21"/>
  <c r="AT13" i="21"/>
  <c r="AG13" i="17"/>
  <c r="AR10" i="21"/>
  <c r="AD28" i="27"/>
  <c r="AE28" i="27" s="1"/>
  <c r="AP10" i="22"/>
  <c r="AT10" i="22" s="1"/>
  <c r="AM8" i="24"/>
  <c r="AN8" i="24"/>
  <c r="AO8" i="24"/>
  <c r="AL8" i="24"/>
  <c r="AT8" i="21"/>
  <c r="AS8" i="21"/>
  <c r="AR8" i="21"/>
  <c r="AQ8" i="21"/>
  <c r="AJ8" i="21"/>
  <c r="AI8" i="21"/>
  <c r="AG8" i="21"/>
  <c r="AH8" i="21"/>
  <c r="AR8" i="22"/>
  <c r="AS8" i="22"/>
  <c r="AT8" i="22"/>
  <c r="AQ8" i="22"/>
  <c r="AG8" i="17"/>
  <c r="AJ8" i="17"/>
  <c r="AI8" i="17"/>
  <c r="AH8" i="17"/>
  <c r="AF10" i="22"/>
  <c r="AG10" i="22" s="1"/>
  <c r="AO13" i="22"/>
  <c r="AN13" i="17"/>
  <c r="AM13" i="17"/>
  <c r="AR10" i="24"/>
  <c r="AS13" i="21"/>
  <c r="AM10" i="21"/>
  <c r="AK10" i="22"/>
  <c r="AL13" i="22"/>
  <c r="AF18" i="27"/>
  <c r="AJ18" i="27" s="1"/>
  <c r="AQ13" i="21"/>
  <c r="AN10" i="21"/>
  <c r="AI13" i="21"/>
  <c r="AD28" i="22"/>
  <c r="AE28" i="22" s="1"/>
  <c r="AP28" i="22" s="1"/>
  <c r="AH13" i="21"/>
  <c r="AK37" i="21"/>
  <c r="AO37" i="21" s="1"/>
  <c r="AN13" i="22"/>
  <c r="AH13" i="22"/>
  <c r="AL10" i="21"/>
  <c r="AL13" i="17"/>
  <c r="AJ13" i="27"/>
  <c r="AG13" i="27"/>
  <c r="AS13" i="22"/>
  <c r="AI13" i="27"/>
  <c r="AK18" i="21"/>
  <c r="AO18" i="21" s="1"/>
  <c r="AI13" i="22"/>
  <c r="AT13" i="22"/>
  <c r="AJ13" i="22"/>
  <c r="AQ13" i="22"/>
  <c r="AF36" i="30"/>
  <c r="AG18" i="22"/>
  <c r="AI18" i="22"/>
  <c r="AJ18" i="22"/>
  <c r="AH18" i="22"/>
  <c r="AF36" i="24"/>
  <c r="AK36" i="17"/>
  <c r="AF36" i="17"/>
  <c r="AP36" i="17"/>
  <c r="AI13" i="24"/>
  <c r="AJ13" i="24"/>
  <c r="AH13" i="24"/>
  <c r="AG13" i="24"/>
  <c r="AH10" i="27"/>
  <c r="AI10" i="27"/>
  <c r="AH13" i="30"/>
  <c r="AJ13" i="30"/>
  <c r="AI13" i="30"/>
  <c r="AG13" i="30"/>
  <c r="AJ10" i="24"/>
  <c r="AI10" i="24"/>
  <c r="AG10" i="24"/>
  <c r="AH10" i="24"/>
  <c r="AT13" i="17"/>
  <c r="AQ13" i="17"/>
  <c r="AR13" i="17"/>
  <c r="AS13" i="17"/>
  <c r="AH10" i="21"/>
  <c r="AI10" i="21"/>
  <c r="AJ10" i="21"/>
  <c r="AF18" i="30"/>
  <c r="AP18" i="22"/>
  <c r="AK18" i="17"/>
  <c r="AK18" i="22"/>
  <c r="AS10" i="17"/>
  <c r="AT10" i="17"/>
  <c r="AR10" i="17"/>
  <c r="AQ10" i="17"/>
  <c r="AN10" i="17"/>
  <c r="AP18" i="17"/>
  <c r="AF18" i="21"/>
  <c r="AP36" i="21"/>
  <c r="AF36" i="21"/>
  <c r="AK36" i="21"/>
  <c r="AU25" i="21"/>
  <c r="D7" i="31" s="1"/>
  <c r="AF32" i="30"/>
  <c r="AI32" i="30" s="1"/>
  <c r="AU24" i="30"/>
  <c r="J6" i="31" s="1"/>
  <c r="AM33" i="22"/>
  <c r="AR33" i="22"/>
  <c r="AT34" i="21"/>
  <c r="AO33" i="22"/>
  <c r="AF39" i="22"/>
  <c r="AH39" i="22" s="1"/>
  <c r="AS35" i="17"/>
  <c r="AQ34" i="21"/>
  <c r="AM35" i="17"/>
  <c r="AT35" i="17"/>
  <c r="AN35" i="17"/>
  <c r="AS34" i="21"/>
  <c r="AQ35" i="17"/>
  <c r="AL35" i="17"/>
  <c r="AU25" i="24"/>
  <c r="L7" i="31" s="1"/>
  <c r="AM34" i="21"/>
  <c r="AO34" i="21"/>
  <c r="AN33" i="22"/>
  <c r="AH33" i="22"/>
  <c r="AL34" i="21"/>
  <c r="AI33" i="22"/>
  <c r="AQ29" i="21"/>
  <c r="AF33" i="24"/>
  <c r="AG33" i="24" s="1"/>
  <c r="AJ33" i="22"/>
  <c r="AK33" i="21"/>
  <c r="AO33" i="21" s="1"/>
  <c r="AG26" i="21"/>
  <c r="AU25" i="22"/>
  <c r="H7" i="31" s="1"/>
  <c r="AM29" i="21"/>
  <c r="AH26" i="21"/>
  <c r="AI26" i="21"/>
  <c r="AN29" i="21"/>
  <c r="AP39" i="22"/>
  <c r="AR39" i="22" s="1"/>
  <c r="AL29" i="21"/>
  <c r="AF33" i="21"/>
  <c r="AI33" i="21" s="1"/>
  <c r="AG33" i="27"/>
  <c r="AJ33" i="27"/>
  <c r="AH33" i="27"/>
  <c r="AI33" i="27"/>
  <c r="AW25" i="17"/>
  <c r="F31" i="31" s="1"/>
  <c r="AW24" i="24"/>
  <c r="L30" i="31" s="1"/>
  <c r="AF39" i="27"/>
  <c r="AG39" i="27" s="1"/>
  <c r="AF39" i="21"/>
  <c r="AI39" i="21" s="1"/>
  <c r="AT33" i="21"/>
  <c r="AR33" i="21"/>
  <c r="AQ33" i="21"/>
  <c r="AV24" i="24"/>
  <c r="L19" i="31" s="1"/>
  <c r="AV24" i="17"/>
  <c r="F19" i="31" s="1"/>
  <c r="AV25" i="22"/>
  <c r="H20" i="31" s="1"/>
  <c r="AU25" i="30"/>
  <c r="J7" i="31" s="1"/>
  <c r="AT29" i="21"/>
  <c r="AP39" i="21"/>
  <c r="AT39" i="21" s="1"/>
  <c r="AW25" i="24"/>
  <c r="L31" i="31" s="1"/>
  <c r="AP38" i="17"/>
  <c r="AS38" i="17" s="1"/>
  <c r="AS26" i="24"/>
  <c r="AS33" i="22"/>
  <c r="AU29" i="21"/>
  <c r="D11" i="31" s="1"/>
  <c r="AF38" i="17"/>
  <c r="AI38" i="17" s="1"/>
  <c r="AT33" i="22"/>
  <c r="AU35" i="27"/>
  <c r="O9" i="31" s="1"/>
  <c r="AU25" i="17"/>
  <c r="F7" i="31" s="1"/>
  <c r="AV25" i="24"/>
  <c r="L20" i="31" s="1"/>
  <c r="AU24" i="22"/>
  <c r="H6" i="31" s="1"/>
  <c r="AV25" i="17"/>
  <c r="F20" i="31" s="1"/>
  <c r="AV24" i="21"/>
  <c r="AS33" i="21"/>
  <c r="AU24" i="24"/>
  <c r="L6" i="31" s="1"/>
  <c r="AS29" i="21"/>
  <c r="AU24" i="17"/>
  <c r="F6" i="31" s="1"/>
  <c r="AL26" i="21"/>
  <c r="AO26" i="21"/>
  <c r="AF31" i="21"/>
  <c r="AH31" i="21" s="1"/>
  <c r="AU24" i="21"/>
  <c r="D6" i="31" s="1"/>
  <c r="AU24" i="27"/>
  <c r="N6" i="31" s="1"/>
  <c r="AV24" i="22"/>
  <c r="H19" i="31" s="1"/>
  <c r="AM26" i="21"/>
  <c r="AP31" i="21"/>
  <c r="AQ31" i="21" s="1"/>
  <c r="AW24" i="17"/>
  <c r="F30" i="31" s="1"/>
  <c r="AU34" i="21"/>
  <c r="E8" i="31" s="1"/>
  <c r="AW24" i="22"/>
  <c r="H30" i="31" s="1"/>
  <c r="AW25" i="22"/>
  <c r="H31" i="31" s="1"/>
  <c r="AU25" i="27"/>
  <c r="N7" i="31" s="1"/>
  <c r="AF33" i="30"/>
  <c r="AU35" i="17"/>
  <c r="G9" i="31" s="1"/>
  <c r="AW24" i="21"/>
  <c r="D30" i="31" s="1"/>
  <c r="AR34" i="17"/>
  <c r="AQ34" i="17"/>
  <c r="AT34" i="17"/>
  <c r="AS34" i="17"/>
  <c r="AK27" i="21"/>
  <c r="AF27" i="21"/>
  <c r="AP27" i="21"/>
  <c r="AF27" i="22"/>
  <c r="AP27" i="22"/>
  <c r="AK27" i="22"/>
  <c r="AG34" i="27"/>
  <c r="AI34" i="27"/>
  <c r="AJ34" i="27"/>
  <c r="AH34" i="27"/>
  <c r="AH29" i="22"/>
  <c r="AJ29" i="22"/>
  <c r="AG29" i="22"/>
  <c r="AI29" i="22"/>
  <c r="AH26" i="22"/>
  <c r="AG26" i="22"/>
  <c r="AI26" i="22"/>
  <c r="AJ26" i="22"/>
  <c r="AF30" i="17"/>
  <c r="AK30" i="17"/>
  <c r="AP30" i="17"/>
  <c r="AK27" i="17"/>
  <c r="AP27" i="17"/>
  <c r="AF27" i="17"/>
  <c r="AF30" i="30"/>
  <c r="AP32" i="17"/>
  <c r="AF32" i="17"/>
  <c r="AK32" i="17"/>
  <c r="AI37" i="21"/>
  <c r="AG37" i="21"/>
  <c r="AJ37" i="21"/>
  <c r="AH37" i="21"/>
  <c r="AM26" i="17"/>
  <c r="AN26" i="17"/>
  <c r="AO26" i="17"/>
  <c r="AL26" i="17"/>
  <c r="AM29" i="17"/>
  <c r="AO29" i="17"/>
  <c r="AN29" i="17"/>
  <c r="AL29" i="17"/>
  <c r="AS34" i="22"/>
  <c r="AT34" i="22"/>
  <c r="AR34" i="22"/>
  <c r="AQ34" i="22"/>
  <c r="AM29" i="22"/>
  <c r="AO29" i="22"/>
  <c r="AN29" i="22"/>
  <c r="AL29" i="22"/>
  <c r="AQ26" i="22"/>
  <c r="AR26" i="22"/>
  <c r="AT26" i="22"/>
  <c r="AS26" i="22"/>
  <c r="AJ34" i="17"/>
  <c r="AI34" i="17"/>
  <c r="AH34" i="17"/>
  <c r="AG34" i="17"/>
  <c r="AT35" i="22"/>
  <c r="AS35" i="22"/>
  <c r="AR35" i="22"/>
  <c r="AQ35" i="22"/>
  <c r="AQ29" i="17"/>
  <c r="AR29" i="17"/>
  <c r="AT29" i="17"/>
  <c r="AS29" i="17"/>
  <c r="AI34" i="22"/>
  <c r="AJ34" i="22"/>
  <c r="AH34" i="22"/>
  <c r="AG34" i="22"/>
  <c r="AP28" i="17"/>
  <c r="AF28" i="17"/>
  <c r="AK28" i="17"/>
  <c r="AN35" i="22"/>
  <c r="AM35" i="22"/>
  <c r="AO35" i="22"/>
  <c r="AL35" i="22"/>
  <c r="AF39" i="30"/>
  <c r="AF27" i="27"/>
  <c r="AF39" i="17"/>
  <c r="AK39" i="17"/>
  <c r="AP39" i="17"/>
  <c r="AM31" i="21"/>
  <c r="AL31" i="21"/>
  <c r="AO31" i="21"/>
  <c r="AN31" i="21"/>
  <c r="AN34" i="17"/>
  <c r="AM34" i="17"/>
  <c r="AL34" i="17"/>
  <c r="AO34" i="17"/>
  <c r="AH37" i="22"/>
  <c r="AJ37" i="22"/>
  <c r="AI37" i="22"/>
  <c r="AG37" i="22"/>
  <c r="AF31" i="24"/>
  <c r="AP31" i="24"/>
  <c r="AK32" i="21"/>
  <c r="AF32" i="21"/>
  <c r="AP32" i="21"/>
  <c r="AJ35" i="22"/>
  <c r="AI35" i="22"/>
  <c r="AH35" i="22"/>
  <c r="AG35" i="22"/>
  <c r="AI33" i="17"/>
  <c r="AH33" i="17"/>
  <c r="AG33" i="17"/>
  <c r="AJ33" i="17"/>
  <c r="AG26" i="30"/>
  <c r="AI26" i="30"/>
  <c r="AJ26" i="30"/>
  <c r="AH26" i="30"/>
  <c r="AN39" i="21"/>
  <c r="AM39" i="21"/>
  <c r="AL39" i="21"/>
  <c r="AO39" i="21"/>
  <c r="AO29" i="24"/>
  <c r="AN29" i="24"/>
  <c r="AL29" i="24"/>
  <c r="AM29" i="24"/>
  <c r="AJ37" i="27"/>
  <c r="AI37" i="27"/>
  <c r="AH37" i="27"/>
  <c r="AG37" i="27"/>
  <c r="AH29" i="30"/>
  <c r="AJ29" i="30"/>
  <c r="AI29" i="30"/>
  <c r="AG29" i="30"/>
  <c r="AP27" i="24"/>
  <c r="AK27" i="24"/>
  <c r="AF27" i="24"/>
  <c r="AN37" i="22"/>
  <c r="AP30" i="21"/>
  <c r="AK30" i="21"/>
  <c r="AF30" i="21"/>
  <c r="AO33" i="17"/>
  <c r="AN33" i="17"/>
  <c r="AL33" i="17"/>
  <c r="AM33" i="17"/>
  <c r="AH37" i="24"/>
  <c r="AG37" i="24"/>
  <c r="AI37" i="24"/>
  <c r="AJ37" i="24"/>
  <c r="AJ29" i="27"/>
  <c r="AH29" i="27"/>
  <c r="AG29" i="27"/>
  <c r="AI29" i="27"/>
  <c r="AF31" i="17"/>
  <c r="AK31" i="17"/>
  <c r="AP31" i="17"/>
  <c r="AK31" i="22"/>
  <c r="AP31" i="22"/>
  <c r="AF31" i="22"/>
  <c r="AR29" i="24"/>
  <c r="AQ29" i="24"/>
  <c r="AS29" i="24"/>
  <c r="AT29" i="24"/>
  <c r="AP28" i="21"/>
  <c r="AK28" i="21"/>
  <c r="AF28" i="21"/>
  <c r="AG26" i="27"/>
  <c r="AI26" i="27"/>
  <c r="AJ26" i="27"/>
  <c r="AH26" i="27"/>
  <c r="AS37" i="22"/>
  <c r="AO35" i="21"/>
  <c r="AN35" i="21"/>
  <c r="AL35" i="21"/>
  <c r="AM35" i="21"/>
  <c r="AP30" i="22"/>
  <c r="AF30" i="22"/>
  <c r="AK30" i="22"/>
  <c r="AN38" i="17"/>
  <c r="AM38" i="17"/>
  <c r="AL38" i="17"/>
  <c r="AO38" i="17"/>
  <c r="AF39" i="24"/>
  <c r="AG32" i="27"/>
  <c r="AI32" i="27"/>
  <c r="AJ32" i="27"/>
  <c r="AH32" i="27"/>
  <c r="AF27" i="30"/>
  <c r="AF38" i="30"/>
  <c r="AF31" i="27"/>
  <c r="AJ26" i="17"/>
  <c r="AI26" i="17"/>
  <c r="AH26" i="17"/>
  <c r="AG26" i="17"/>
  <c r="AJ38" i="27"/>
  <c r="AI38" i="27"/>
  <c r="AH38" i="27"/>
  <c r="AG38" i="27"/>
  <c r="AT29" i="22"/>
  <c r="AR29" i="22"/>
  <c r="AQ29" i="22"/>
  <c r="AS29" i="22"/>
  <c r="AN39" i="22"/>
  <c r="AM39" i="22"/>
  <c r="AL39" i="22"/>
  <c r="AO39" i="22"/>
  <c r="AJ35" i="24"/>
  <c r="AI35" i="24"/>
  <c r="AH35" i="24"/>
  <c r="AG35" i="24"/>
  <c r="AK30" i="24"/>
  <c r="AF30" i="24"/>
  <c r="AP30" i="24"/>
  <c r="AK32" i="22"/>
  <c r="AP32" i="22"/>
  <c r="AF32" i="22"/>
  <c r="AK38" i="21"/>
  <c r="AF38" i="21"/>
  <c r="AP38" i="21"/>
  <c r="AQ33" i="17"/>
  <c r="AS33" i="17"/>
  <c r="AR33" i="17"/>
  <c r="AT33" i="17"/>
  <c r="AF38" i="24"/>
  <c r="AJ29" i="24"/>
  <c r="AI29" i="24"/>
  <c r="AG29" i="24"/>
  <c r="AH29" i="24"/>
  <c r="AF32" i="24"/>
  <c r="AP32" i="24"/>
  <c r="AH35" i="30"/>
  <c r="AI35" i="30"/>
  <c r="AG35" i="30"/>
  <c r="AJ35" i="30"/>
  <c r="AF28" i="30"/>
  <c r="AG35" i="21"/>
  <c r="AJ35" i="21"/>
  <c r="AH35" i="21"/>
  <c r="AI35" i="21"/>
  <c r="AM26" i="22"/>
  <c r="AO26" i="22"/>
  <c r="AN26" i="22"/>
  <c r="AL26" i="22"/>
  <c r="AF30" i="27"/>
  <c r="AF31" i="30"/>
  <c r="AS35" i="21"/>
  <c r="AR35" i="21"/>
  <c r="AQ35" i="21"/>
  <c r="AT35" i="21"/>
  <c r="AP38" i="22"/>
  <c r="AK38" i="22"/>
  <c r="AF38" i="22"/>
  <c r="AG37" i="17"/>
  <c r="AI37" i="17"/>
  <c r="AH37" i="17"/>
  <c r="AJ37" i="17"/>
  <c r="AM37" i="21"/>
  <c r="AR26" i="17"/>
  <c r="AT26" i="17"/>
  <c r="AS26" i="17"/>
  <c r="AQ26" i="17"/>
  <c r="AI34" i="24"/>
  <c r="AG34" i="24"/>
  <c r="AH34" i="24"/>
  <c r="AJ34" i="24"/>
  <c r="AG34" i="30"/>
  <c r="AI34" i="30"/>
  <c r="AJ34" i="30"/>
  <c r="AH34" i="30"/>
  <c r="AH29" i="17"/>
  <c r="AG29" i="17"/>
  <c r="AJ29" i="17"/>
  <c r="AI29" i="17"/>
  <c r="AM34" i="22"/>
  <c r="AO34" i="22"/>
  <c r="AN34" i="22"/>
  <c r="AL34" i="22"/>
  <c r="AR18" i="21" l="1"/>
  <c r="AM37" i="17"/>
  <c r="AG8" i="27"/>
  <c r="AV25" i="21"/>
  <c r="D20" i="31" s="1"/>
  <c r="AR37" i="21"/>
  <c r="AJ8" i="27"/>
  <c r="AU26" i="27" s="1"/>
  <c r="N8" i="31" s="1"/>
  <c r="AS37" i="21"/>
  <c r="AW37" i="21" s="1"/>
  <c r="E35" i="31" s="1"/>
  <c r="AL13" i="24"/>
  <c r="AG18" i="17"/>
  <c r="AH8" i="27"/>
  <c r="AT37" i="21"/>
  <c r="AM26" i="24"/>
  <c r="AO26" i="24"/>
  <c r="AL26" i="24"/>
  <c r="AR26" i="24"/>
  <c r="AT26" i="24"/>
  <c r="AL37" i="22"/>
  <c r="AF28" i="24"/>
  <c r="AO37" i="22"/>
  <c r="AR37" i="22"/>
  <c r="AQ37" i="22"/>
  <c r="D42" i="31"/>
  <c r="AK36" i="22"/>
  <c r="AN36" i="22" s="1"/>
  <c r="AG8" i="24"/>
  <c r="AF36" i="22"/>
  <c r="AG36" i="22" s="1"/>
  <c r="AH8" i="24"/>
  <c r="AR8" i="24"/>
  <c r="AN37" i="17"/>
  <c r="AS37" i="17"/>
  <c r="AT18" i="21"/>
  <c r="AI10" i="30"/>
  <c r="AK32" i="24"/>
  <c r="AO32" i="24" s="1"/>
  <c r="AO37" i="17"/>
  <c r="AQ37" i="17"/>
  <c r="AS18" i="21"/>
  <c r="AR37" i="17"/>
  <c r="AS8" i="24"/>
  <c r="AM10" i="17"/>
  <c r="AI18" i="17"/>
  <c r="AL10" i="17"/>
  <c r="AJ18" i="17"/>
  <c r="AP28" i="24"/>
  <c r="AT28" i="24" s="1"/>
  <c r="AH10" i="30"/>
  <c r="AS10" i="24"/>
  <c r="AS13" i="24"/>
  <c r="AJ10" i="30"/>
  <c r="AT13" i="24"/>
  <c r="AG10" i="17"/>
  <c r="AI37" i="30"/>
  <c r="AI10" i="17"/>
  <c r="AH10" i="17"/>
  <c r="AN13" i="24"/>
  <c r="AK31" i="24"/>
  <c r="AL31" i="24" s="1"/>
  <c r="AO13" i="24"/>
  <c r="AG10" i="27"/>
  <c r="AQ10" i="22"/>
  <c r="AQ13" i="24"/>
  <c r="AL14" i="24"/>
  <c r="AO14" i="24"/>
  <c r="AM14" i="24"/>
  <c r="AN14" i="24"/>
  <c r="AS14" i="24"/>
  <c r="AR14" i="24"/>
  <c r="AT14" i="24"/>
  <c r="AQ14" i="24"/>
  <c r="P67" i="3"/>
  <c r="M67" i="3"/>
  <c r="N67" i="3"/>
  <c r="L67" i="3"/>
  <c r="AI10" i="22"/>
  <c r="AH18" i="27"/>
  <c r="AJ37" i="30"/>
  <c r="AH37" i="30"/>
  <c r="AN10" i="24"/>
  <c r="AH10" i="22"/>
  <c r="AL37" i="21"/>
  <c r="AR10" i="22"/>
  <c r="AN37" i="21"/>
  <c r="AS10" i="22"/>
  <c r="AG18" i="24"/>
  <c r="AJ10" i="22"/>
  <c r="AU26" i="24"/>
  <c r="L8" i="31" s="1"/>
  <c r="AW26" i="21"/>
  <c r="D32" i="31" s="1"/>
  <c r="AF28" i="22"/>
  <c r="AH28" i="22" s="1"/>
  <c r="AM10" i="24"/>
  <c r="AL10" i="24"/>
  <c r="AH18" i="24"/>
  <c r="AF28" i="27"/>
  <c r="AI28" i="27" s="1"/>
  <c r="AI18" i="24"/>
  <c r="AK28" i="22"/>
  <c r="AL28" i="22" s="1"/>
  <c r="AI18" i="27"/>
  <c r="AG18" i="27"/>
  <c r="AN10" i="22"/>
  <c r="AL10" i="22"/>
  <c r="AM10" i="22"/>
  <c r="AO10" i="22"/>
  <c r="AL18" i="21"/>
  <c r="AM18" i="21"/>
  <c r="AN18" i="21"/>
  <c r="AO18" i="17"/>
  <c r="AL18" i="17"/>
  <c r="AM18" i="17"/>
  <c r="AN18" i="17"/>
  <c r="AQ36" i="17"/>
  <c r="AT36" i="17"/>
  <c r="AS36" i="17"/>
  <c r="AR36" i="17"/>
  <c r="AT18" i="17"/>
  <c r="AQ18" i="17"/>
  <c r="AR18" i="17"/>
  <c r="AS18" i="17"/>
  <c r="AH36" i="17"/>
  <c r="AI36" i="17"/>
  <c r="AG36" i="17"/>
  <c r="AJ36" i="17"/>
  <c r="AM36" i="17"/>
  <c r="AL36" i="17"/>
  <c r="AO36" i="17"/>
  <c r="AN36" i="17"/>
  <c r="AR36" i="21"/>
  <c r="AT36" i="21"/>
  <c r="AQ36" i="21"/>
  <c r="AS36" i="21"/>
  <c r="AI36" i="22"/>
  <c r="AQ18" i="22"/>
  <c r="AR18" i="22"/>
  <c r="AS18" i="22"/>
  <c r="AT18" i="22"/>
  <c r="AT36" i="22"/>
  <c r="AR36" i="22"/>
  <c r="AQ36" i="22"/>
  <c r="AS36" i="22"/>
  <c r="AG36" i="27"/>
  <c r="AJ36" i="27"/>
  <c r="AH36" i="27"/>
  <c r="AI36" i="27"/>
  <c r="AJ36" i="30"/>
  <c r="AG36" i="30"/>
  <c r="AH36" i="30"/>
  <c r="AI36" i="30"/>
  <c r="AJ18" i="21"/>
  <c r="AG18" i="21"/>
  <c r="AI18" i="21"/>
  <c r="AH18" i="21"/>
  <c r="AG36" i="24"/>
  <c r="AH36" i="24"/>
  <c r="AJ36" i="24"/>
  <c r="AI36" i="24"/>
  <c r="AM36" i="21"/>
  <c r="AO36" i="21"/>
  <c r="AN36" i="21"/>
  <c r="AL36" i="21"/>
  <c r="AJ36" i="21"/>
  <c r="AG36" i="21"/>
  <c r="AH36" i="21"/>
  <c r="AI36" i="21"/>
  <c r="AL18" i="22"/>
  <c r="AM18" i="22"/>
  <c r="AN18" i="22"/>
  <c r="AO18" i="22"/>
  <c r="AI18" i="30"/>
  <c r="AH18" i="30"/>
  <c r="AG18" i="30"/>
  <c r="AJ18" i="30"/>
  <c r="AH32" i="30"/>
  <c r="AJ32" i="30"/>
  <c r="AG32" i="30"/>
  <c r="AX25" i="21"/>
  <c r="AW34" i="21"/>
  <c r="E32" i="31" s="1"/>
  <c r="AU33" i="22"/>
  <c r="I7" i="31" s="1"/>
  <c r="AJ39" i="22"/>
  <c r="AG39" i="22"/>
  <c r="AI39" i="22"/>
  <c r="AV33" i="22"/>
  <c r="I20" i="31" s="1"/>
  <c r="AV35" i="17"/>
  <c r="G22" i="31" s="1"/>
  <c r="AV29" i="21"/>
  <c r="D24" i="31" s="1"/>
  <c r="AW35" i="17"/>
  <c r="G33" i="31" s="1"/>
  <c r="AV34" i="21"/>
  <c r="E21" i="31" s="1"/>
  <c r="AH33" i="21"/>
  <c r="L42" i="31"/>
  <c r="AG33" i="21"/>
  <c r="AH39" i="21"/>
  <c r="AN33" i="21"/>
  <c r="AG39" i="21"/>
  <c r="AJ39" i="21"/>
  <c r="AW33" i="21"/>
  <c r="E31" i="31" s="1"/>
  <c r="AU26" i="21"/>
  <c r="D8" i="31" s="1"/>
  <c r="AS39" i="22"/>
  <c r="AW33" i="22"/>
  <c r="I31" i="31" s="1"/>
  <c r="AT39" i="22"/>
  <c r="AQ39" i="22"/>
  <c r="AU33" i="27"/>
  <c r="O7" i="31" s="1"/>
  <c r="AM33" i="21"/>
  <c r="AX24" i="24"/>
  <c r="AI33" i="24"/>
  <c r="AH33" i="24"/>
  <c r="AJ33" i="24"/>
  <c r="AJ38" i="17"/>
  <c r="AL33" i="21"/>
  <c r="AX24" i="21"/>
  <c r="AU26" i="17"/>
  <c r="F8" i="31" s="1"/>
  <c r="AV26" i="24"/>
  <c r="AU38" i="27"/>
  <c r="O12" i="31" s="1"/>
  <c r="AS39" i="21"/>
  <c r="AJ33" i="21"/>
  <c r="AV33" i="17"/>
  <c r="G20" i="31" s="1"/>
  <c r="AT31" i="21"/>
  <c r="AR31" i="21"/>
  <c r="AI39" i="27"/>
  <c r="AQ39" i="21"/>
  <c r="AV39" i="22"/>
  <c r="I26" i="31" s="1"/>
  <c r="AS31" i="21"/>
  <c r="AH38" i="17"/>
  <c r="AH39" i="27"/>
  <c r="AR39" i="21"/>
  <c r="AG38" i="17"/>
  <c r="AI31" i="21"/>
  <c r="AV29" i="17"/>
  <c r="F24" i="31" s="1"/>
  <c r="AJ39" i="27"/>
  <c r="AU29" i="22"/>
  <c r="H11" i="31" s="1"/>
  <c r="AV29" i="22"/>
  <c r="H24" i="31" s="1"/>
  <c r="AV35" i="22"/>
  <c r="I22" i="31" s="1"/>
  <c r="AX24" i="22"/>
  <c r="AQ38" i="17"/>
  <c r="H42" i="31"/>
  <c r="AU29" i="24"/>
  <c r="L11" i="31" s="1"/>
  <c r="AU35" i="24"/>
  <c r="M9" i="31" s="1"/>
  <c r="AW29" i="21"/>
  <c r="D35" i="31" s="1"/>
  <c r="AU34" i="30"/>
  <c r="K8" i="31" s="1"/>
  <c r="AT38" i="17"/>
  <c r="AW29" i="17"/>
  <c r="F35" i="31" s="1"/>
  <c r="AG31" i="21"/>
  <c r="AW26" i="22"/>
  <c r="H32" i="31" s="1"/>
  <c r="AX25" i="17"/>
  <c r="AU29" i="30"/>
  <c r="J11" i="31" s="1"/>
  <c r="AU34" i="24"/>
  <c r="M8" i="31" s="1"/>
  <c r="AR38" i="17"/>
  <c r="AJ31" i="21"/>
  <c r="AU34" i="27"/>
  <c r="O8" i="31" s="1"/>
  <c r="D19" i="31"/>
  <c r="AX25" i="24"/>
  <c r="AU37" i="24"/>
  <c r="M11" i="31" s="1"/>
  <c r="AV35" i="21"/>
  <c r="E22" i="31" s="1"/>
  <c r="AU35" i="22"/>
  <c r="I9" i="31" s="1"/>
  <c r="AX24" i="17"/>
  <c r="F42" i="31"/>
  <c r="AU35" i="21"/>
  <c r="E9" i="31" s="1"/>
  <c r="AU26" i="30"/>
  <c r="J8" i="31" s="1"/>
  <c r="AU34" i="22"/>
  <c r="I8" i="31" s="1"/>
  <c r="AU34" i="17"/>
  <c r="G8" i="31" s="1"/>
  <c r="AU26" i="22"/>
  <c r="H8" i="31" s="1"/>
  <c r="AV34" i="22"/>
  <c r="I21" i="31" s="1"/>
  <c r="AW33" i="17"/>
  <c r="G31" i="31" s="1"/>
  <c r="AV29" i="24"/>
  <c r="AU29" i="17"/>
  <c r="F11" i="31" s="1"/>
  <c r="AU35" i="30"/>
  <c r="K9" i="31" s="1"/>
  <c r="AU29" i="27"/>
  <c r="N11" i="31" s="1"/>
  <c r="AW35" i="21"/>
  <c r="E33" i="31" s="1"/>
  <c r="AH33" i="30"/>
  <c r="AJ33" i="30"/>
  <c r="AI33" i="30"/>
  <c r="AG33" i="30"/>
  <c r="AV26" i="22"/>
  <c r="AV39" i="21"/>
  <c r="AU33" i="17"/>
  <c r="G7" i="31" s="1"/>
  <c r="AW35" i="22"/>
  <c r="I33" i="31" s="1"/>
  <c r="AW34" i="22"/>
  <c r="I32" i="31" s="1"/>
  <c r="AV26" i="21"/>
  <c r="AV34" i="17"/>
  <c r="G21" i="31" s="1"/>
  <c r="AW29" i="24"/>
  <c r="L35" i="31" s="1"/>
  <c r="AW34" i="17"/>
  <c r="G32" i="31" s="1"/>
  <c r="AW26" i="17"/>
  <c r="F32" i="31" s="1"/>
  <c r="AU37" i="17"/>
  <c r="G11" i="31" s="1"/>
  <c r="AW29" i="22"/>
  <c r="H35" i="31" s="1"/>
  <c r="AU32" i="27"/>
  <c r="O6" i="31" s="1"/>
  <c r="AV31" i="21"/>
  <c r="AU37" i="21"/>
  <c r="E11" i="31" s="1"/>
  <c r="AV38" i="17"/>
  <c r="G25" i="31" s="1"/>
  <c r="AU37" i="27"/>
  <c r="O11" i="31" s="1"/>
  <c r="AU37" i="22"/>
  <c r="I11" i="31" s="1"/>
  <c r="AV26" i="17"/>
  <c r="F21" i="31" s="1"/>
  <c r="AX25" i="22"/>
  <c r="AN30" i="24"/>
  <c r="AM30" i="24"/>
  <c r="AL30" i="24"/>
  <c r="AO30" i="24"/>
  <c r="F41" i="31"/>
  <c r="AL31" i="22"/>
  <c r="AO31" i="22"/>
  <c r="AN31" i="22"/>
  <c r="AM31" i="22"/>
  <c r="AQ28" i="22"/>
  <c r="AT28" i="22"/>
  <c r="AR28" i="22"/>
  <c r="AS28" i="22"/>
  <c r="AO32" i="22"/>
  <c r="AL32" i="22"/>
  <c r="AN32" i="22"/>
  <c r="AM32" i="22"/>
  <c r="AS30" i="24"/>
  <c r="AR30" i="24"/>
  <c r="AT30" i="24"/>
  <c r="AQ30" i="24"/>
  <c r="AQ28" i="21"/>
  <c r="AT28" i="21"/>
  <c r="AS28" i="21"/>
  <c r="AR28" i="21"/>
  <c r="AG31" i="17"/>
  <c r="AI31" i="17"/>
  <c r="AH31" i="17"/>
  <c r="AJ31" i="17"/>
  <c r="AM30" i="21"/>
  <c r="AL30" i="21"/>
  <c r="AO30" i="21"/>
  <c r="AN30" i="21"/>
  <c r="AO27" i="24"/>
  <c r="AN27" i="24"/>
  <c r="AM27" i="24"/>
  <c r="AL27" i="24"/>
  <c r="AL32" i="21"/>
  <c r="AN32" i="21"/>
  <c r="AO32" i="21"/>
  <c r="AM32" i="21"/>
  <c r="AI28" i="17"/>
  <c r="AJ28" i="17"/>
  <c r="AH28" i="17"/>
  <c r="AG28" i="17"/>
  <c r="AO32" i="17"/>
  <c r="AL32" i="17"/>
  <c r="AN32" i="17"/>
  <c r="AM32" i="17"/>
  <c r="AH27" i="17"/>
  <c r="AI27" i="17"/>
  <c r="AG27" i="17"/>
  <c r="AJ27" i="17"/>
  <c r="AT27" i="22"/>
  <c r="AQ27" i="22"/>
  <c r="AS27" i="22"/>
  <c r="AR27" i="22"/>
  <c r="AH27" i="21"/>
  <c r="AI27" i="21"/>
  <c r="AG27" i="21"/>
  <c r="AJ27" i="21"/>
  <c r="AI30" i="27"/>
  <c r="AJ30" i="27"/>
  <c r="AG30" i="27"/>
  <c r="AH30" i="27"/>
  <c r="AJ30" i="24"/>
  <c r="AI30" i="24"/>
  <c r="AH30" i="24"/>
  <c r="AG30" i="24"/>
  <c r="AQ30" i="21"/>
  <c r="AR30" i="21"/>
  <c r="AT30" i="21"/>
  <c r="AS30" i="21"/>
  <c r="AQ27" i="24"/>
  <c r="AR27" i="24"/>
  <c r="AS27" i="24"/>
  <c r="AT27" i="24"/>
  <c r="AT31" i="24"/>
  <c r="AS31" i="24"/>
  <c r="AR31" i="24"/>
  <c r="AQ31" i="24"/>
  <c r="AH27" i="27"/>
  <c r="AJ27" i="27"/>
  <c r="AG27" i="27"/>
  <c r="AI27" i="27"/>
  <c r="AT28" i="17"/>
  <c r="AR28" i="17"/>
  <c r="AS28" i="17"/>
  <c r="AQ28" i="17"/>
  <c r="AH32" i="17"/>
  <c r="AG32" i="17"/>
  <c r="AI32" i="17"/>
  <c r="AJ32" i="17"/>
  <c r="AS27" i="17"/>
  <c r="AR27" i="17"/>
  <c r="AQ27" i="17"/>
  <c r="AT27" i="17"/>
  <c r="AG27" i="22"/>
  <c r="AJ27" i="22"/>
  <c r="AI27" i="22"/>
  <c r="AH27" i="22"/>
  <c r="AN27" i="21"/>
  <c r="AM27" i="21"/>
  <c r="AO27" i="21"/>
  <c r="AL27" i="21"/>
  <c r="L41" i="31"/>
  <c r="AH31" i="24"/>
  <c r="AI31" i="24"/>
  <c r="AG31" i="24"/>
  <c r="AJ31" i="24"/>
  <c r="AL28" i="24"/>
  <c r="AO28" i="24"/>
  <c r="AM28" i="24"/>
  <c r="AN28" i="24"/>
  <c r="AQ32" i="17"/>
  <c r="AS32" i="17"/>
  <c r="AR32" i="17"/>
  <c r="AT32" i="17"/>
  <c r="AL27" i="17"/>
  <c r="AO27" i="17"/>
  <c r="AN27" i="17"/>
  <c r="AM27" i="17"/>
  <c r="AG28" i="30"/>
  <c r="AI28" i="30"/>
  <c r="AJ28" i="30"/>
  <c r="AH28" i="30"/>
  <c r="AR38" i="21"/>
  <c r="AT38" i="21"/>
  <c r="AS38" i="21"/>
  <c r="AQ38" i="21"/>
  <c r="AI38" i="30"/>
  <c r="AH38" i="30"/>
  <c r="AJ38" i="30"/>
  <c r="AG38" i="30"/>
  <c r="AI30" i="22"/>
  <c r="AJ30" i="22"/>
  <c r="AG30" i="22"/>
  <c r="AH30" i="22"/>
  <c r="AJ31" i="22"/>
  <c r="AI31" i="22"/>
  <c r="AG31" i="22"/>
  <c r="AH31" i="22"/>
  <c r="AI28" i="24"/>
  <c r="AH28" i="24"/>
  <c r="AJ28" i="24"/>
  <c r="AG28" i="24"/>
  <c r="P7" i="31"/>
  <c r="AJ38" i="21"/>
  <c r="AI38" i="21"/>
  <c r="AH38" i="21"/>
  <c r="AG38" i="21"/>
  <c r="AQ30" i="22"/>
  <c r="AT30" i="22"/>
  <c r="AS30" i="22"/>
  <c r="AR30" i="22"/>
  <c r="AR31" i="22"/>
  <c r="AT31" i="22"/>
  <c r="AS31" i="22"/>
  <c r="AQ31" i="22"/>
  <c r="AQ28" i="24"/>
  <c r="AL30" i="22"/>
  <c r="AO30" i="22"/>
  <c r="AN30" i="22"/>
  <c r="AM30" i="22"/>
  <c r="AL38" i="21"/>
  <c r="AO38" i="21"/>
  <c r="AN38" i="21"/>
  <c r="AM38" i="21"/>
  <c r="AS39" i="17"/>
  <c r="AR39" i="17"/>
  <c r="AQ39" i="17"/>
  <c r="AT39" i="17"/>
  <c r="AI30" i="30"/>
  <c r="AG30" i="30"/>
  <c r="AH30" i="30"/>
  <c r="AJ30" i="30"/>
  <c r="AT30" i="17"/>
  <c r="AR30" i="17"/>
  <c r="AQ30" i="17"/>
  <c r="AS30" i="17"/>
  <c r="AO38" i="22"/>
  <c r="AN38" i="22"/>
  <c r="AM38" i="22"/>
  <c r="AL38" i="22"/>
  <c r="AJ31" i="30"/>
  <c r="AH31" i="30"/>
  <c r="AG31" i="30"/>
  <c r="AI31" i="30"/>
  <c r="AT32" i="24"/>
  <c r="AS32" i="24"/>
  <c r="AR32" i="24"/>
  <c r="AQ32" i="24"/>
  <c r="AI32" i="22"/>
  <c r="AJ32" i="22"/>
  <c r="AG32" i="22"/>
  <c r="AH32" i="22"/>
  <c r="AH39" i="24"/>
  <c r="AJ39" i="24"/>
  <c r="AG39" i="24"/>
  <c r="AI39" i="24"/>
  <c r="AH28" i="21"/>
  <c r="AG28" i="21"/>
  <c r="AJ28" i="21"/>
  <c r="AI28" i="21"/>
  <c r="AQ31" i="17"/>
  <c r="AR31" i="17"/>
  <c r="AS31" i="17"/>
  <c r="AT31" i="17"/>
  <c r="AT32" i="21"/>
  <c r="AS32" i="21"/>
  <c r="AR32" i="21"/>
  <c r="AQ32" i="21"/>
  <c r="AO39" i="17"/>
  <c r="AN39" i="17"/>
  <c r="AL39" i="17"/>
  <c r="AM39" i="17"/>
  <c r="AN30" i="17"/>
  <c r="AM30" i="17"/>
  <c r="AL30" i="17"/>
  <c r="AO30" i="17"/>
  <c r="P6" i="31"/>
  <c r="AI38" i="22"/>
  <c r="AJ38" i="22"/>
  <c r="AH38" i="22"/>
  <c r="AG38" i="22"/>
  <c r="AJ39" i="30"/>
  <c r="AG39" i="30"/>
  <c r="AI39" i="30"/>
  <c r="AH39" i="30"/>
  <c r="AQ38" i="22"/>
  <c r="AS38" i="22"/>
  <c r="AT38" i="22"/>
  <c r="AR38" i="22"/>
  <c r="AI32" i="24"/>
  <c r="AH32" i="24"/>
  <c r="AG32" i="24"/>
  <c r="AJ32" i="24"/>
  <c r="AG38" i="24"/>
  <c r="AI38" i="24"/>
  <c r="AJ38" i="24"/>
  <c r="AH38" i="24"/>
  <c r="AS32" i="22"/>
  <c r="AR32" i="22"/>
  <c r="AQ32" i="22"/>
  <c r="AT32" i="22"/>
  <c r="AJ31" i="27"/>
  <c r="AH31" i="27"/>
  <c r="AI31" i="27"/>
  <c r="AG31" i="27"/>
  <c r="AH27" i="30"/>
  <c r="AI27" i="30"/>
  <c r="AJ27" i="30"/>
  <c r="AG27" i="30"/>
  <c r="AM28" i="21"/>
  <c r="AN28" i="21"/>
  <c r="AL28" i="21"/>
  <c r="AO28" i="21"/>
  <c r="AO31" i="17"/>
  <c r="AN31" i="17"/>
  <c r="AM31" i="17"/>
  <c r="AL31" i="17"/>
  <c r="AI30" i="21"/>
  <c r="AG30" i="21"/>
  <c r="AJ30" i="21"/>
  <c r="AH30" i="21"/>
  <c r="AH27" i="24"/>
  <c r="AG27" i="24"/>
  <c r="AJ27" i="24"/>
  <c r="AI27" i="24"/>
  <c r="AJ32" i="21"/>
  <c r="AI32" i="21"/>
  <c r="AH32" i="21"/>
  <c r="AG32" i="21"/>
  <c r="AG39" i="17"/>
  <c r="AI39" i="17"/>
  <c r="AH39" i="17"/>
  <c r="AJ39" i="17"/>
  <c r="AL28" i="17"/>
  <c r="AM28" i="17"/>
  <c r="AN28" i="17"/>
  <c r="AO28" i="17"/>
  <c r="AJ30" i="17"/>
  <c r="AI30" i="17"/>
  <c r="AH30" i="17"/>
  <c r="AG30" i="17"/>
  <c r="AN27" i="22"/>
  <c r="AO27" i="22"/>
  <c r="AL27" i="22"/>
  <c r="AM27" i="22"/>
  <c r="AS27" i="21"/>
  <c r="AQ27" i="21"/>
  <c r="AR27" i="21"/>
  <c r="AT27" i="21"/>
  <c r="H41" i="31"/>
  <c r="AO36" i="22" l="1"/>
  <c r="AL36" i="22"/>
  <c r="AM36" i="22"/>
  <c r="AW26" i="24"/>
  <c r="L32" i="31" s="1"/>
  <c r="AV37" i="22"/>
  <c r="I24" i="31" s="1"/>
  <c r="AH36" i="22"/>
  <c r="AJ36" i="22"/>
  <c r="AW37" i="17"/>
  <c r="G35" i="31" s="1"/>
  <c r="AW37" i="22"/>
  <c r="I35" i="31" s="1"/>
  <c r="AL32" i="24"/>
  <c r="AM32" i="24"/>
  <c r="AN32" i="24"/>
  <c r="AV37" i="17"/>
  <c r="G24" i="31" s="1"/>
  <c r="AM31" i="24"/>
  <c r="AS28" i="24"/>
  <c r="AR28" i="24"/>
  <c r="AO28" i="22"/>
  <c r="AO31" i="24"/>
  <c r="AN31" i="24"/>
  <c r="AI28" i="22"/>
  <c r="L68" i="3"/>
  <c r="P68" i="3"/>
  <c r="M68" i="3"/>
  <c r="N68" i="3"/>
  <c r="AP15" i="24"/>
  <c r="AP33" i="24"/>
  <c r="AK15" i="24"/>
  <c r="AK33" i="24"/>
  <c r="AU37" i="30"/>
  <c r="K11" i="31" s="1"/>
  <c r="Q11" i="31" s="1"/>
  <c r="AV37" i="21"/>
  <c r="AX37" i="21" s="1"/>
  <c r="AG28" i="22"/>
  <c r="AN28" i="22"/>
  <c r="AH28" i="27"/>
  <c r="AJ28" i="22"/>
  <c r="AM28" i="22"/>
  <c r="AJ28" i="27"/>
  <c r="AG28" i="27"/>
  <c r="AU36" i="21"/>
  <c r="E10" i="31" s="1"/>
  <c r="AV36" i="17"/>
  <c r="G23" i="31" s="1"/>
  <c r="AU36" i="17"/>
  <c r="G10" i="31" s="1"/>
  <c r="AW36" i="22"/>
  <c r="I34" i="31" s="1"/>
  <c r="AV36" i="21"/>
  <c r="E23" i="31" s="1"/>
  <c r="AW36" i="21"/>
  <c r="E34" i="31" s="1"/>
  <c r="AU36" i="30"/>
  <c r="K10" i="31" s="1"/>
  <c r="AU36" i="24"/>
  <c r="M10" i="31" s="1"/>
  <c r="AV36" i="22"/>
  <c r="AW36" i="17"/>
  <c r="G34" i="31" s="1"/>
  <c r="AU36" i="27"/>
  <c r="O10" i="31" s="1"/>
  <c r="AU32" i="30"/>
  <c r="K6" i="31" s="1"/>
  <c r="E43" i="31"/>
  <c r="AU39" i="21"/>
  <c r="E13" i="31" s="1"/>
  <c r="AU39" i="22"/>
  <c r="I13" i="31" s="1"/>
  <c r="G44" i="31"/>
  <c r="AW39" i="22"/>
  <c r="I37" i="31" s="1"/>
  <c r="I48" i="31" s="1"/>
  <c r="D46" i="31"/>
  <c r="AV33" i="21"/>
  <c r="E20" i="31" s="1"/>
  <c r="E42" i="31" s="1"/>
  <c r="AU33" i="21"/>
  <c r="E7" i="31" s="1"/>
  <c r="AX34" i="21"/>
  <c r="AX35" i="17"/>
  <c r="AX33" i="22"/>
  <c r="AU31" i="21"/>
  <c r="D13" i="31" s="1"/>
  <c r="AU39" i="27"/>
  <c r="O13" i="31" s="1"/>
  <c r="AU38" i="17"/>
  <c r="G12" i="31" s="1"/>
  <c r="I42" i="31"/>
  <c r="AU33" i="24"/>
  <c r="M7" i="31" s="1"/>
  <c r="AW38" i="17"/>
  <c r="G36" i="31" s="1"/>
  <c r="G47" i="31" s="1"/>
  <c r="AU39" i="17"/>
  <c r="G13" i="31" s="1"/>
  <c r="AU27" i="30"/>
  <c r="J9" i="31" s="1"/>
  <c r="AW38" i="22"/>
  <c r="I36" i="31" s="1"/>
  <c r="AX26" i="24"/>
  <c r="AU39" i="24"/>
  <c r="M13" i="31" s="1"/>
  <c r="AX37" i="22"/>
  <c r="I43" i="31"/>
  <c r="L21" i="31"/>
  <c r="AW27" i="24"/>
  <c r="L33" i="31" s="1"/>
  <c r="AW31" i="17"/>
  <c r="F37" i="31" s="1"/>
  <c r="AX34" i="22"/>
  <c r="Q8" i="31"/>
  <c r="AW32" i="21"/>
  <c r="E30" i="31" s="1"/>
  <c r="AW38" i="21"/>
  <c r="E36" i="31" s="1"/>
  <c r="G42" i="31"/>
  <c r="AX33" i="17"/>
  <c r="F46" i="31"/>
  <c r="AW30" i="21"/>
  <c r="D36" i="31" s="1"/>
  <c r="AW27" i="17"/>
  <c r="F33" i="31" s="1"/>
  <c r="D26" i="31"/>
  <c r="AX29" i="21"/>
  <c r="AW39" i="21"/>
  <c r="E37" i="31" s="1"/>
  <c r="AW31" i="21"/>
  <c r="D37" i="31" s="1"/>
  <c r="AV30" i="17"/>
  <c r="F25" i="31" s="1"/>
  <c r="AX26" i="17"/>
  <c r="AU38" i="24"/>
  <c r="M12" i="31" s="1"/>
  <c r="AW30" i="24"/>
  <c r="L36" i="31" s="1"/>
  <c r="AX26" i="22"/>
  <c r="AX29" i="24"/>
  <c r="H21" i="31"/>
  <c r="H43" i="31" s="1"/>
  <c r="AU31" i="24"/>
  <c r="L13" i="31" s="1"/>
  <c r="L24" i="31"/>
  <c r="L46" i="31" s="1"/>
  <c r="P8" i="31"/>
  <c r="AU31" i="30"/>
  <c r="J13" i="31" s="1"/>
  <c r="G43" i="31"/>
  <c r="AU38" i="21"/>
  <c r="E12" i="31" s="1"/>
  <c r="AV27" i="24"/>
  <c r="Q9" i="31"/>
  <c r="AV28" i="17"/>
  <c r="F23" i="31" s="1"/>
  <c r="AU30" i="21"/>
  <c r="D12" i="31" s="1"/>
  <c r="AX29" i="17"/>
  <c r="AW27" i="22"/>
  <c r="H33" i="31" s="1"/>
  <c r="AV32" i="17"/>
  <c r="G19" i="31" s="1"/>
  <c r="AU33" i="30"/>
  <c r="K7" i="31" s="1"/>
  <c r="P11" i="31"/>
  <c r="AW30" i="17"/>
  <c r="F36" i="31" s="1"/>
  <c r="D41" i="31"/>
  <c r="AW28" i="21"/>
  <c r="D34" i="31" s="1"/>
  <c r="AV32" i="22"/>
  <c r="I19" i="31" s="1"/>
  <c r="E26" i="31"/>
  <c r="AX34" i="17"/>
  <c r="AV27" i="21"/>
  <c r="D22" i="31" s="1"/>
  <c r="AW28" i="17"/>
  <c r="F34" i="31" s="1"/>
  <c r="AW31" i="24"/>
  <c r="L37" i="31" s="1"/>
  <c r="AV27" i="22"/>
  <c r="AU39" i="30"/>
  <c r="K13" i="31" s="1"/>
  <c r="AU32" i="22"/>
  <c r="I6" i="31" s="1"/>
  <c r="AW32" i="24"/>
  <c r="M30" i="31" s="1"/>
  <c r="AV38" i="22"/>
  <c r="I25" i="31" s="1"/>
  <c r="AU28" i="24"/>
  <c r="L10" i="31" s="1"/>
  <c r="AU28" i="30"/>
  <c r="J10" i="31" s="1"/>
  <c r="F43" i="31"/>
  <c r="AW31" i="22"/>
  <c r="H37" i="31" s="1"/>
  <c r="AU32" i="24"/>
  <c r="M6" i="31" s="1"/>
  <c r="AU30" i="17"/>
  <c r="F12" i="31" s="1"/>
  <c r="AU27" i="24"/>
  <c r="L9" i="31" s="1"/>
  <c r="AU38" i="22"/>
  <c r="I12" i="31" s="1"/>
  <c r="AU28" i="21"/>
  <c r="D10" i="31" s="1"/>
  <c r="AX35" i="21"/>
  <c r="AV30" i="22"/>
  <c r="H25" i="31" s="1"/>
  <c r="AW32" i="17"/>
  <c r="G30" i="31" s="1"/>
  <c r="AU27" i="27"/>
  <c r="N9" i="31" s="1"/>
  <c r="AU28" i="17"/>
  <c r="F10" i="31" s="1"/>
  <c r="I44" i="31"/>
  <c r="H46" i="31"/>
  <c r="AU30" i="22"/>
  <c r="H12" i="31" s="1"/>
  <c r="AV28" i="24"/>
  <c r="AU31" i="17"/>
  <c r="F13" i="31" s="1"/>
  <c r="AW28" i="22"/>
  <c r="H34" i="31" s="1"/>
  <c r="AU30" i="30"/>
  <c r="J12" i="31" s="1"/>
  <c r="AV39" i="17"/>
  <c r="G26" i="31" s="1"/>
  <c r="AU38" i="30"/>
  <c r="K12" i="31" s="1"/>
  <c r="AV27" i="17"/>
  <c r="AU27" i="22"/>
  <c r="H9" i="31" s="1"/>
  <c r="AU32" i="17"/>
  <c r="G6" i="31" s="1"/>
  <c r="AU30" i="27"/>
  <c r="N12" i="31" s="1"/>
  <c r="AU27" i="21"/>
  <c r="D9" i="31" s="1"/>
  <c r="AV32" i="21"/>
  <c r="AV30" i="24"/>
  <c r="L25" i="31" s="1"/>
  <c r="AX35" i="22"/>
  <c r="AX29" i="22"/>
  <c r="D21" i="31"/>
  <c r="D43" i="31" s="1"/>
  <c r="AX26" i="21"/>
  <c r="AV31" i="17"/>
  <c r="AW32" i="22"/>
  <c r="I30" i="31" s="1"/>
  <c r="AW27" i="21"/>
  <c r="D33" i="31" s="1"/>
  <c r="AU32" i="21"/>
  <c r="E6" i="31" s="1"/>
  <c r="AV28" i="21"/>
  <c r="D23" i="31" s="1"/>
  <c r="AU31" i="27"/>
  <c r="N13" i="31" s="1"/>
  <c r="AW39" i="17"/>
  <c r="G37" i="31" s="1"/>
  <c r="AV38" i="21"/>
  <c r="AW30" i="22"/>
  <c r="H36" i="31" s="1"/>
  <c r="AU31" i="22"/>
  <c r="H13" i="31" s="1"/>
  <c r="AU30" i="24"/>
  <c r="L12" i="31" s="1"/>
  <c r="AU27" i="17"/>
  <c r="F9" i="31" s="1"/>
  <c r="AV30" i="21"/>
  <c r="AV31" i="22"/>
  <c r="E44" i="31"/>
  <c r="L43" i="31" l="1"/>
  <c r="G46" i="31"/>
  <c r="I46" i="31"/>
  <c r="AU36" i="22"/>
  <c r="I10" i="31" s="1"/>
  <c r="Q10" i="31" s="1"/>
  <c r="AX37" i="17"/>
  <c r="AU28" i="27"/>
  <c r="N10" i="31" s="1"/>
  <c r="N14" i="31" s="1"/>
  <c r="AW28" i="24"/>
  <c r="L34" i="31" s="1"/>
  <c r="L38" i="31" s="1"/>
  <c r="AV32" i="24"/>
  <c r="M19" i="31" s="1"/>
  <c r="AV31" i="24"/>
  <c r="L26" i="31" s="1"/>
  <c r="L48" i="31" s="1"/>
  <c r="AV28" i="22"/>
  <c r="H23" i="31" s="1"/>
  <c r="H45" i="31" s="1"/>
  <c r="AS15" i="24"/>
  <c r="AQ15" i="24"/>
  <c r="AR15" i="24"/>
  <c r="AT15" i="24"/>
  <c r="AK16" i="24"/>
  <c r="AK34" i="24"/>
  <c r="AO15" i="24"/>
  <c r="AN15" i="24"/>
  <c r="AM15" i="24"/>
  <c r="AL15" i="24"/>
  <c r="AQ33" i="24"/>
  <c r="AT33" i="24"/>
  <c r="AR33" i="24"/>
  <c r="AS33" i="24"/>
  <c r="AL33" i="24"/>
  <c r="AO33" i="24"/>
  <c r="AM33" i="24"/>
  <c r="AN33" i="24"/>
  <c r="AP16" i="24"/>
  <c r="AP34" i="24"/>
  <c r="L69" i="3"/>
  <c r="M69" i="3"/>
  <c r="N69" i="3"/>
  <c r="P69" i="3"/>
  <c r="AU28" i="22"/>
  <c r="H10" i="31" s="1"/>
  <c r="H14" i="31" s="1"/>
  <c r="E24" i="31"/>
  <c r="E46" i="31" s="1"/>
  <c r="E45" i="31"/>
  <c r="AX36" i="17"/>
  <c r="AX36" i="21"/>
  <c r="O14" i="31"/>
  <c r="I23" i="31"/>
  <c r="I27" i="31" s="1"/>
  <c r="AX36" i="22"/>
  <c r="G45" i="31"/>
  <c r="AX39" i="22"/>
  <c r="I47" i="31"/>
  <c r="AX33" i="21"/>
  <c r="Q7" i="31"/>
  <c r="AX38" i="21"/>
  <c r="H47" i="31"/>
  <c r="AX27" i="22"/>
  <c r="AX27" i="24"/>
  <c r="M14" i="31"/>
  <c r="E38" i="31"/>
  <c r="AX32" i="21"/>
  <c r="Q13" i="31"/>
  <c r="G14" i="31"/>
  <c r="AX38" i="17"/>
  <c r="E48" i="31"/>
  <c r="F45" i="31"/>
  <c r="Q12" i="31"/>
  <c r="D48" i="31"/>
  <c r="AX31" i="17"/>
  <c r="AX32" i="17"/>
  <c r="AX31" i="22"/>
  <c r="P13" i="31"/>
  <c r="E25" i="31"/>
  <c r="E47" i="31" s="1"/>
  <c r="L47" i="31"/>
  <c r="AW40" i="21"/>
  <c r="AW41" i="21" s="1"/>
  <c r="AX30" i="21"/>
  <c r="H26" i="31"/>
  <c r="H48" i="31" s="1"/>
  <c r="AX39" i="21"/>
  <c r="G38" i="31"/>
  <c r="L14" i="31"/>
  <c r="E14" i="31"/>
  <c r="AX31" i="21"/>
  <c r="AV40" i="21"/>
  <c r="AV41" i="21" s="1"/>
  <c r="K14" i="31"/>
  <c r="F14" i="31"/>
  <c r="L22" i="31"/>
  <c r="L44" i="31" s="1"/>
  <c r="H22" i="31"/>
  <c r="AX27" i="21"/>
  <c r="P12" i="31"/>
  <c r="F38" i="31"/>
  <c r="D25" i="31"/>
  <c r="AV40" i="17"/>
  <c r="AV41" i="17" s="1"/>
  <c r="J14" i="31"/>
  <c r="G48" i="31"/>
  <c r="F47" i="31"/>
  <c r="Q6" i="31"/>
  <c r="AX39" i="17"/>
  <c r="I14" i="31"/>
  <c r="AX30" i="17"/>
  <c r="E19" i="31"/>
  <c r="AX27" i="17"/>
  <c r="F26" i="31"/>
  <c r="F48" i="31" s="1"/>
  <c r="AU40" i="30"/>
  <c r="AU41" i="30" s="1"/>
  <c r="H38" i="31"/>
  <c r="AX32" i="24"/>
  <c r="AU40" i="17"/>
  <c r="AU41" i="17" s="1"/>
  <c r="AX30" i="22"/>
  <c r="AU40" i="27"/>
  <c r="AU41" i="27" s="1"/>
  <c r="AX38" i="22"/>
  <c r="AX30" i="24"/>
  <c r="F22" i="31"/>
  <c r="I38" i="31"/>
  <c r="AW40" i="22"/>
  <c r="AW41" i="22" s="1"/>
  <c r="AW40" i="17"/>
  <c r="AW41" i="17" s="1"/>
  <c r="AX28" i="21"/>
  <c r="L23" i="31"/>
  <c r="AU40" i="21"/>
  <c r="AU41" i="21" s="1"/>
  <c r="AX32" i="22"/>
  <c r="AU40" i="24"/>
  <c r="AU41" i="24" s="1"/>
  <c r="AX28" i="17"/>
  <c r="G27" i="31"/>
  <c r="G41" i="31"/>
  <c r="P9" i="31"/>
  <c r="D14" i="31"/>
  <c r="I41" i="31"/>
  <c r="D45" i="31"/>
  <c r="M41" i="31"/>
  <c r="D44" i="31"/>
  <c r="D38" i="31"/>
  <c r="O16" i="31" l="1"/>
  <c r="L45" i="31"/>
  <c r="L49" i="31" s="1"/>
  <c r="AX28" i="24"/>
  <c r="AU40" i="22"/>
  <c r="AU41" i="22" s="1"/>
  <c r="AX28" i="22"/>
  <c r="AX40" i="22" s="1"/>
  <c r="AX41" i="22" s="1"/>
  <c r="AV40" i="22"/>
  <c r="AV41" i="22" s="1"/>
  <c r="E15" i="31"/>
  <c r="AX31" i="24"/>
  <c r="P10" i="31"/>
  <c r="AV33" i="24"/>
  <c r="M20" i="31" s="1"/>
  <c r="AQ16" i="24"/>
  <c r="AR16" i="24"/>
  <c r="AS16" i="24"/>
  <c r="AT16" i="24"/>
  <c r="AK17" i="24"/>
  <c r="AK35" i="24"/>
  <c r="AT34" i="24"/>
  <c r="AQ34" i="24"/>
  <c r="AR34" i="24"/>
  <c r="AS34" i="24"/>
  <c r="AO16" i="24"/>
  <c r="AN16" i="24"/>
  <c r="AM16" i="24"/>
  <c r="AL16" i="24"/>
  <c r="P70" i="3"/>
  <c r="N70" i="3"/>
  <c r="L70" i="3"/>
  <c r="M70" i="3"/>
  <c r="AP17" i="24"/>
  <c r="AP35" i="24"/>
  <c r="AL34" i="24"/>
  <c r="AO34" i="24"/>
  <c r="AM34" i="24"/>
  <c r="AN34" i="24"/>
  <c r="AW33" i="24"/>
  <c r="I45" i="31"/>
  <c r="H27" i="31"/>
  <c r="F15" i="31"/>
  <c r="M16" i="31"/>
  <c r="E27" i="31"/>
  <c r="G49" i="31"/>
  <c r="H15" i="31"/>
  <c r="AX40" i="17"/>
  <c r="AX41" i="17" s="1"/>
  <c r="K16" i="31"/>
  <c r="Q14" i="31"/>
  <c r="L27" i="31"/>
  <c r="I15" i="31"/>
  <c r="H44" i="31"/>
  <c r="H49" i="31" s="1"/>
  <c r="E41" i="31"/>
  <c r="G15" i="31"/>
  <c r="D47" i="31"/>
  <c r="D49" i="31" s="1"/>
  <c r="F44" i="31"/>
  <c r="F49" i="31" s="1"/>
  <c r="G16" i="31"/>
  <c r="AX40" i="21"/>
  <c r="AX41" i="21" s="1"/>
  <c r="D27" i="31"/>
  <c r="I16" i="31"/>
  <c r="F27" i="31"/>
  <c r="P14" i="31"/>
  <c r="E16" i="31"/>
  <c r="D15" i="31"/>
  <c r="R16" i="31" l="1"/>
  <c r="R14" i="31"/>
  <c r="G51" i="31"/>
  <c r="AW34" i="24"/>
  <c r="M32" i="31" s="1"/>
  <c r="AX33" i="24"/>
  <c r="AV34" i="24"/>
  <c r="M21" i="31" s="1"/>
  <c r="AR35" i="24"/>
  <c r="AT35" i="24"/>
  <c r="AQ35" i="24"/>
  <c r="AS35" i="24"/>
  <c r="AO17" i="24"/>
  <c r="AM17" i="24"/>
  <c r="AN17" i="24"/>
  <c r="AL17" i="24"/>
  <c r="AK18" i="24"/>
  <c r="AK36" i="24"/>
  <c r="AN35" i="24"/>
  <c r="AO35" i="24"/>
  <c r="AM35" i="24"/>
  <c r="AL35" i="24"/>
  <c r="AP18" i="24"/>
  <c r="AP36" i="24"/>
  <c r="M31" i="31"/>
  <c r="M42" i="31" s="1"/>
  <c r="P71" i="3"/>
  <c r="O71" i="3"/>
  <c r="AT17" i="24"/>
  <c r="AS17" i="24"/>
  <c r="AQ17" i="24"/>
  <c r="AR17" i="24"/>
  <c r="I49" i="31"/>
  <c r="F50" i="31" s="1"/>
  <c r="E50" i="31"/>
  <c r="E49" i="31"/>
  <c r="E51" i="31" s="1"/>
  <c r="AX34" i="24" l="1"/>
  <c r="AV35" i="24"/>
  <c r="M22" i="31" s="1"/>
  <c r="AW35" i="24"/>
  <c r="M33" i="31" s="1"/>
  <c r="L71" i="3"/>
  <c r="M71" i="3"/>
  <c r="N71" i="3"/>
  <c r="AR18" i="24"/>
  <c r="AS18" i="24"/>
  <c r="AT18" i="24"/>
  <c r="AQ18" i="24"/>
  <c r="M43" i="31"/>
  <c r="AS36" i="24"/>
  <c r="AQ36" i="24"/>
  <c r="AR36" i="24"/>
  <c r="AT36" i="24"/>
  <c r="AL18" i="24"/>
  <c r="AM18" i="24"/>
  <c r="AN18" i="24"/>
  <c r="AO18" i="24"/>
  <c r="O72" i="3"/>
  <c r="P72" i="3"/>
  <c r="AM36" i="24"/>
  <c r="AL36" i="24"/>
  <c r="AN36" i="24"/>
  <c r="AO36" i="24"/>
  <c r="I51" i="31"/>
  <c r="D50" i="31"/>
  <c r="AV36" i="24" l="1"/>
  <c r="M23" i="31" s="1"/>
  <c r="AW36" i="24"/>
  <c r="M34" i="31" s="1"/>
  <c r="AX35" i="24"/>
  <c r="AP19" i="24"/>
  <c r="AP37" i="24"/>
  <c r="O73" i="3"/>
  <c r="P73" i="3"/>
  <c r="P74" i="3" s="1"/>
  <c r="O74" i="3"/>
  <c r="M72" i="3"/>
  <c r="N72" i="3"/>
  <c r="L72" i="3"/>
  <c r="AK19" i="24"/>
  <c r="AK37" i="24"/>
  <c r="M44" i="31"/>
  <c r="AX36" i="24" l="1"/>
  <c r="AO19" i="24"/>
  <c r="AL19" i="24"/>
  <c r="AN19" i="24"/>
  <c r="AM19" i="24"/>
  <c r="N73" i="3"/>
  <c r="L73" i="3"/>
  <c r="M73" i="3"/>
  <c r="AQ19" i="24"/>
  <c r="AR19" i="24"/>
  <c r="AT19" i="24"/>
  <c r="AS19" i="24"/>
  <c r="AQ37" i="24"/>
  <c r="AR37" i="24"/>
  <c r="AS37" i="24"/>
  <c r="AT37" i="24"/>
  <c r="AP20" i="24"/>
  <c r="AP38" i="24"/>
  <c r="AN37" i="24"/>
  <c r="AM37" i="24"/>
  <c r="AO37" i="24"/>
  <c r="AL37" i="24"/>
  <c r="AK20" i="24"/>
  <c r="AK38" i="24"/>
  <c r="L74" i="3"/>
  <c r="N74" i="3"/>
  <c r="M74" i="3"/>
  <c r="M45" i="31"/>
  <c r="AV37" i="24" l="1"/>
  <c r="AW37" i="24"/>
  <c r="M35" i="31" s="1"/>
  <c r="AP21" i="24"/>
  <c r="AP39" i="24"/>
  <c r="AM20" i="24"/>
  <c r="AO20" i="24"/>
  <c r="AN20" i="24"/>
  <c r="AL20" i="24"/>
  <c r="AM38" i="24"/>
  <c r="AO38" i="24"/>
  <c r="AL38" i="24"/>
  <c r="AN38" i="24"/>
  <c r="AQ20" i="24"/>
  <c r="AT20" i="24"/>
  <c r="AR20" i="24"/>
  <c r="AS20" i="24"/>
  <c r="L75" i="3"/>
  <c r="M75" i="3"/>
  <c r="P75" i="3"/>
  <c r="N75" i="3"/>
  <c r="AQ38" i="24"/>
  <c r="AR38" i="24"/>
  <c r="AS38" i="24"/>
  <c r="AT38" i="24"/>
  <c r="AK21" i="24"/>
  <c r="AK39" i="24"/>
  <c r="AX37" i="24" l="1"/>
  <c r="AW38" i="24"/>
  <c r="M36" i="31" s="1"/>
  <c r="M24" i="31"/>
  <c r="M46" i="31" s="1"/>
  <c r="AV38" i="24"/>
  <c r="AO21" i="24"/>
  <c r="AN21" i="24"/>
  <c r="AM21" i="24"/>
  <c r="AL21" i="24"/>
  <c r="AP24" i="27"/>
  <c r="AP6" i="27"/>
  <c r="AS39" i="24"/>
  <c r="AT39" i="24"/>
  <c r="AR39" i="24"/>
  <c r="AQ39" i="24"/>
  <c r="AO39" i="24"/>
  <c r="AN39" i="24"/>
  <c r="AL39" i="24"/>
  <c r="AM39" i="24"/>
  <c r="AK6" i="27"/>
  <c r="AK24" i="27"/>
  <c r="P76" i="3"/>
  <c r="L76" i="3"/>
  <c r="N76" i="3"/>
  <c r="M76" i="3"/>
  <c r="AS21" i="24"/>
  <c r="AT21" i="24"/>
  <c r="AR21" i="24"/>
  <c r="AQ21" i="24"/>
  <c r="AX38" i="24" l="1"/>
  <c r="M25" i="31"/>
  <c r="M47" i="31" s="1"/>
  <c r="AW39" i="24"/>
  <c r="M37" i="31" s="1"/>
  <c r="M38" i="31" s="1"/>
  <c r="AV39" i="24"/>
  <c r="AV40" i="24" s="1"/>
  <c r="AV41" i="24" s="1"/>
  <c r="AK7" i="27"/>
  <c r="AK25" i="27"/>
  <c r="AM24" i="27"/>
  <c r="AO24" i="27"/>
  <c r="AL24" i="27"/>
  <c r="AN24" i="27"/>
  <c r="AR24" i="27"/>
  <c r="AS24" i="27"/>
  <c r="AQ24" i="27"/>
  <c r="AT24" i="27"/>
  <c r="AQ6" i="27"/>
  <c r="AR6" i="27"/>
  <c r="AS6" i="27"/>
  <c r="AT6" i="27"/>
  <c r="P77" i="3"/>
  <c r="N77" i="3"/>
  <c r="M77" i="3"/>
  <c r="L77" i="3"/>
  <c r="AP7" i="27"/>
  <c r="AP25" i="27"/>
  <c r="AL6" i="27"/>
  <c r="AO6" i="27"/>
  <c r="AM6" i="27"/>
  <c r="AN6" i="27"/>
  <c r="AX39" i="24" l="1"/>
  <c r="AX40" i="24" s="1"/>
  <c r="AX41" i="24" s="1"/>
  <c r="AW24" i="27"/>
  <c r="N30" i="31" s="1"/>
  <c r="M26" i="31"/>
  <c r="M48" i="31" s="1"/>
  <c r="M49" i="31" s="1"/>
  <c r="AV24" i="27"/>
  <c r="N19" i="31" s="1"/>
  <c r="AW40" i="24"/>
  <c r="AW41" i="24" s="1"/>
  <c r="AK8" i="27"/>
  <c r="AK26" i="27"/>
  <c r="AL7" i="27"/>
  <c r="AO7" i="27"/>
  <c r="AN7" i="27"/>
  <c r="AM7" i="27"/>
  <c r="AR7" i="27"/>
  <c r="AS7" i="27"/>
  <c r="AQ7" i="27"/>
  <c r="AT7" i="27"/>
  <c r="AT25" i="27"/>
  <c r="AR25" i="27"/>
  <c r="AQ25" i="27"/>
  <c r="AS25" i="27"/>
  <c r="P78" i="3"/>
  <c r="O78" i="3"/>
  <c r="AM25" i="27"/>
  <c r="AL25" i="27"/>
  <c r="AN25" i="27"/>
  <c r="AO25" i="27"/>
  <c r="M27" i="31"/>
  <c r="AP8" i="27"/>
  <c r="AP26" i="27"/>
  <c r="AV25" i="27" l="1"/>
  <c r="N20" i="31" s="1"/>
  <c r="AX24" i="27"/>
  <c r="AW25" i="27"/>
  <c r="N31" i="31" s="1"/>
  <c r="P79" i="3"/>
  <c r="O79" i="3"/>
  <c r="M51" i="31"/>
  <c r="H50" i="31"/>
  <c r="AN8" i="27"/>
  <c r="AM8" i="27"/>
  <c r="AL8" i="27"/>
  <c r="AO8" i="27"/>
  <c r="AS26" i="27"/>
  <c r="AQ26" i="27"/>
  <c r="AT26" i="27"/>
  <c r="AR26" i="27"/>
  <c r="M78" i="3"/>
  <c r="N78" i="3"/>
  <c r="L78" i="3"/>
  <c r="AN26" i="27"/>
  <c r="AL26" i="27"/>
  <c r="AM26" i="27"/>
  <c r="AO26" i="27"/>
  <c r="N41" i="31"/>
  <c r="AT8" i="27"/>
  <c r="AR8" i="27"/>
  <c r="AS8" i="27"/>
  <c r="AQ8" i="27"/>
  <c r="N42" i="31" l="1"/>
  <c r="AX25" i="27"/>
  <c r="AW26" i="27"/>
  <c r="N32" i="31" s="1"/>
  <c r="AV26" i="27"/>
  <c r="O80" i="3"/>
  <c r="P80" i="3"/>
  <c r="AK9" i="27"/>
  <c r="AK27" i="27"/>
  <c r="AP9" i="27"/>
  <c r="AP27" i="27"/>
  <c r="L79" i="3"/>
  <c r="M79" i="3"/>
  <c r="N79" i="3"/>
  <c r="AX26" i="27" l="1"/>
  <c r="N21" i="31"/>
  <c r="N43" i="31" s="1"/>
  <c r="AS9" i="27"/>
  <c r="AQ9" i="27"/>
  <c r="AR9" i="27"/>
  <c r="AT9" i="27"/>
  <c r="P81" i="3"/>
  <c r="O81" i="3"/>
  <c r="AN9" i="27"/>
  <c r="AM9" i="27"/>
  <c r="AO9" i="27"/>
  <c r="AL9" i="27"/>
  <c r="L80" i="3"/>
  <c r="M80" i="3"/>
  <c r="N80" i="3"/>
  <c r="AR27" i="27"/>
  <c r="AS27" i="27"/>
  <c r="AT27" i="27"/>
  <c r="AQ27" i="27"/>
  <c r="AK10" i="27"/>
  <c r="AK28" i="27"/>
  <c r="AM27" i="27"/>
  <c r="AN27" i="27"/>
  <c r="AL27" i="27"/>
  <c r="AO27" i="27"/>
  <c r="AP10" i="27"/>
  <c r="AP28" i="27"/>
  <c r="AV27" i="27" l="1"/>
  <c r="N22" i="31" s="1"/>
  <c r="AW27" i="27"/>
  <c r="N33" i="31" s="1"/>
  <c r="AL10" i="27"/>
  <c r="AO10" i="27"/>
  <c r="AN10" i="27"/>
  <c r="AM10" i="27"/>
  <c r="AK11" i="27"/>
  <c r="AK29" i="27"/>
  <c r="M81" i="3"/>
  <c r="L81" i="3"/>
  <c r="N81" i="3"/>
  <c r="AL28" i="27"/>
  <c r="AO28" i="27"/>
  <c r="AM28" i="27"/>
  <c r="AN28" i="27"/>
  <c r="AP11" i="27"/>
  <c r="AP29" i="27"/>
  <c r="AS10" i="27"/>
  <c r="AR10" i="27"/>
  <c r="AT10" i="27"/>
  <c r="AQ10" i="27"/>
  <c r="AS28" i="27"/>
  <c r="AT28" i="27"/>
  <c r="AQ28" i="27"/>
  <c r="AR28" i="27"/>
  <c r="O82" i="3"/>
  <c r="P82" i="3"/>
  <c r="AW28" i="27" l="1"/>
  <c r="N34" i="31" s="1"/>
  <c r="AV28" i="27"/>
  <c r="AX27" i="27"/>
  <c r="AP12" i="27"/>
  <c r="AP30" i="27"/>
  <c r="N44" i="31"/>
  <c r="M82" i="3"/>
  <c r="N82" i="3"/>
  <c r="L82" i="3"/>
  <c r="AK12" i="27"/>
  <c r="AK30" i="27"/>
  <c r="AS11" i="27"/>
  <c r="AQ11" i="27"/>
  <c r="AT11" i="27"/>
  <c r="AR11" i="27"/>
  <c r="AN11" i="27"/>
  <c r="AL11" i="27"/>
  <c r="AM11" i="27"/>
  <c r="AO11" i="27"/>
  <c r="P83" i="3"/>
  <c r="N83" i="3"/>
  <c r="L83" i="3"/>
  <c r="M83" i="3"/>
  <c r="AT29" i="27"/>
  <c r="AR29" i="27"/>
  <c r="AS29" i="27"/>
  <c r="AQ29" i="27"/>
  <c r="AN29" i="27"/>
  <c r="AL29" i="27"/>
  <c r="AO29" i="27"/>
  <c r="AM29" i="27"/>
  <c r="AX28" i="27" l="1"/>
  <c r="N23" i="31"/>
  <c r="N45" i="31" s="1"/>
  <c r="AV29" i="27"/>
  <c r="AW29" i="27"/>
  <c r="N35" i="31" s="1"/>
  <c r="AP14" i="27"/>
  <c r="AP32" i="27"/>
  <c r="P84" i="3"/>
  <c r="L84" i="3"/>
  <c r="M84" i="3"/>
  <c r="N84" i="3"/>
  <c r="AK13" i="27"/>
  <c r="AK31" i="27"/>
  <c r="AM12" i="27"/>
  <c r="AN12" i="27"/>
  <c r="AO12" i="27"/>
  <c r="AL12" i="27"/>
  <c r="AT12" i="27"/>
  <c r="AR12" i="27"/>
  <c r="AS12" i="27"/>
  <c r="AQ12" i="27"/>
  <c r="AK14" i="27"/>
  <c r="AK32" i="27"/>
  <c r="AM30" i="27"/>
  <c r="AN30" i="27"/>
  <c r="AL30" i="27"/>
  <c r="AO30" i="27"/>
  <c r="AP13" i="27"/>
  <c r="AP31" i="27"/>
  <c r="AQ30" i="27"/>
  <c r="AS30" i="27"/>
  <c r="AT30" i="27"/>
  <c r="AR30" i="27"/>
  <c r="AX29" i="27" l="1"/>
  <c r="AV30" i="27"/>
  <c r="N25" i="31" s="1"/>
  <c r="N24" i="31"/>
  <c r="N46" i="31" s="1"/>
  <c r="AW30" i="27"/>
  <c r="N36" i="31" s="1"/>
  <c r="AQ13" i="27"/>
  <c r="AR13" i="27"/>
  <c r="AT13" i="27"/>
  <c r="AS13" i="27"/>
  <c r="AT31" i="27"/>
  <c r="AS31" i="27"/>
  <c r="AQ31" i="27"/>
  <c r="AR31" i="27"/>
  <c r="AO14" i="27"/>
  <c r="AM14" i="27"/>
  <c r="AL14" i="27"/>
  <c r="AN14" i="27"/>
  <c r="AM32" i="27"/>
  <c r="AO32" i="27"/>
  <c r="AL32" i="27"/>
  <c r="AN32" i="27"/>
  <c r="AO13" i="27"/>
  <c r="AL13" i="27"/>
  <c r="AM13" i="27"/>
  <c r="AN13" i="27"/>
  <c r="P85" i="3"/>
  <c r="M85" i="3"/>
  <c r="L85" i="3"/>
  <c r="N85" i="3"/>
  <c r="AK15" i="27"/>
  <c r="AK33" i="27"/>
  <c r="AS14" i="27"/>
  <c r="AT14" i="27"/>
  <c r="AQ14" i="27"/>
  <c r="AR14" i="27"/>
  <c r="AN31" i="27"/>
  <c r="AL31" i="27"/>
  <c r="AM31" i="27"/>
  <c r="AO31" i="27"/>
  <c r="AP15" i="27"/>
  <c r="AP33" i="27"/>
  <c r="AR32" i="27"/>
  <c r="AT32" i="27"/>
  <c r="AS32" i="27"/>
  <c r="AQ32" i="27"/>
  <c r="AW32" i="27" l="1"/>
  <c r="O30" i="31" s="1"/>
  <c r="AV31" i="27"/>
  <c r="N26" i="31" s="1"/>
  <c r="AV32" i="27"/>
  <c r="O19" i="31" s="1"/>
  <c r="AW31" i="27"/>
  <c r="N37" i="31" s="1"/>
  <c r="N38" i="31" s="1"/>
  <c r="AX30" i="27"/>
  <c r="AM15" i="27"/>
  <c r="AN15" i="27"/>
  <c r="AO15" i="27"/>
  <c r="AL15" i="27"/>
  <c r="AO33" i="27"/>
  <c r="AL33" i="27"/>
  <c r="AM33" i="27"/>
  <c r="AN33" i="27"/>
  <c r="AP16" i="27"/>
  <c r="AP34" i="27"/>
  <c r="N47" i="31"/>
  <c r="AT15" i="27"/>
  <c r="AR15" i="27"/>
  <c r="AQ15" i="27"/>
  <c r="AS15" i="27"/>
  <c r="AK16" i="27"/>
  <c r="AK34" i="27"/>
  <c r="P86" i="3"/>
  <c r="O86" i="3"/>
  <c r="AQ33" i="27"/>
  <c r="AS33" i="27"/>
  <c r="AR33" i="27"/>
  <c r="AT33" i="27"/>
  <c r="N48" i="31" l="1"/>
  <c r="N49" i="31" s="1"/>
  <c r="AV33" i="27"/>
  <c r="AX32" i="27"/>
  <c r="AX31" i="27"/>
  <c r="AW33" i="27"/>
  <c r="O31" i="31" s="1"/>
  <c r="N27" i="31"/>
  <c r="O41" i="31"/>
  <c r="AR16" i="27"/>
  <c r="AS16" i="27"/>
  <c r="AQ16" i="27"/>
  <c r="AT16" i="27"/>
  <c r="AT34" i="27"/>
  <c r="AS34" i="27"/>
  <c r="AQ34" i="27"/>
  <c r="AR34" i="27"/>
  <c r="AN34" i="27"/>
  <c r="AL34" i="27"/>
  <c r="AM34" i="27"/>
  <c r="AO34" i="27"/>
  <c r="N86" i="3"/>
  <c r="M86" i="3"/>
  <c r="L86" i="3"/>
  <c r="AN16" i="27"/>
  <c r="AL16" i="27"/>
  <c r="AM16" i="27"/>
  <c r="AO16" i="27"/>
  <c r="P87" i="3"/>
  <c r="O87" i="3"/>
  <c r="AX33" i="27" l="1"/>
  <c r="O20" i="31"/>
  <c r="O42" i="31" s="1"/>
  <c r="AW34" i="27"/>
  <c r="O32" i="31" s="1"/>
  <c r="AV34" i="27"/>
  <c r="AP17" i="27"/>
  <c r="AP35" i="27"/>
  <c r="AK17" i="27"/>
  <c r="AK35" i="27"/>
  <c r="L87" i="3"/>
  <c r="M87" i="3"/>
  <c r="N87" i="3"/>
  <c r="O88" i="3"/>
  <c r="P88" i="3"/>
  <c r="AX34" i="27" l="1"/>
  <c r="O21" i="31"/>
  <c r="O43" i="31" s="1"/>
  <c r="AR17" i="27"/>
  <c r="AT17" i="27"/>
  <c r="AQ17" i="27"/>
  <c r="AS17" i="27"/>
  <c r="AQ35" i="27"/>
  <c r="AR35" i="27"/>
  <c r="AT35" i="27"/>
  <c r="AS35" i="27"/>
  <c r="L88" i="3"/>
  <c r="M88" i="3"/>
  <c r="N88" i="3"/>
  <c r="AK18" i="27"/>
  <c r="AK36" i="27"/>
  <c r="AM35" i="27"/>
  <c r="AN35" i="27"/>
  <c r="AO35" i="27"/>
  <c r="AL35" i="27"/>
  <c r="AP18" i="27"/>
  <c r="AP36" i="27"/>
  <c r="AO17" i="27"/>
  <c r="AM17" i="27"/>
  <c r="AL17" i="27"/>
  <c r="AN17" i="27"/>
  <c r="P89" i="3"/>
  <c r="O89" i="3"/>
  <c r="AV35" i="27" l="1"/>
  <c r="O22" i="31" s="1"/>
  <c r="AW35" i="27"/>
  <c r="O33" i="31" s="1"/>
  <c r="AL36" i="27"/>
  <c r="AO36" i="27"/>
  <c r="AM36" i="27"/>
  <c r="AN36" i="27"/>
  <c r="AK19" i="27"/>
  <c r="AK37" i="27"/>
  <c r="L89" i="3"/>
  <c r="N89" i="3"/>
  <c r="M89" i="3"/>
  <c r="AP19" i="27"/>
  <c r="AP37" i="27"/>
  <c r="AQ18" i="27"/>
  <c r="AR18" i="27"/>
  <c r="AS18" i="27"/>
  <c r="AT18" i="27"/>
  <c r="P90" i="3"/>
  <c r="P91" i="3" s="1"/>
  <c r="O90" i="3"/>
  <c r="O91" i="3"/>
  <c r="AS36" i="27"/>
  <c r="AT36" i="27"/>
  <c r="AR36" i="27"/>
  <c r="AQ36" i="27"/>
  <c r="AO18" i="27"/>
  <c r="AN18" i="27"/>
  <c r="AL18" i="27"/>
  <c r="AM18" i="27"/>
  <c r="AW36" i="27" l="1"/>
  <c r="O34" i="31" s="1"/>
  <c r="AV36" i="27"/>
  <c r="AX35" i="27"/>
  <c r="L91" i="3"/>
  <c r="N91" i="3"/>
  <c r="M91" i="3"/>
  <c r="AR19" i="27"/>
  <c r="AS19" i="27"/>
  <c r="AT19" i="27"/>
  <c r="AQ19" i="27"/>
  <c r="AN37" i="27"/>
  <c r="AM37" i="27"/>
  <c r="AL37" i="27"/>
  <c r="AO37" i="27"/>
  <c r="AS37" i="27"/>
  <c r="AT37" i="27"/>
  <c r="AQ37" i="27"/>
  <c r="AR37" i="27"/>
  <c r="AK20" i="27"/>
  <c r="AK38" i="27"/>
  <c r="O44" i="31"/>
  <c r="N90" i="3"/>
  <c r="L90" i="3"/>
  <c r="M90" i="3"/>
  <c r="AP20" i="27"/>
  <c r="AP38" i="27"/>
  <c r="AO19" i="27"/>
  <c r="AL19" i="27"/>
  <c r="AN19" i="27"/>
  <c r="AM19" i="27"/>
  <c r="AX36" i="27" l="1"/>
  <c r="AW37" i="27"/>
  <c r="O35" i="31" s="1"/>
  <c r="AV37" i="27"/>
  <c r="O24" i="31" s="1"/>
  <c r="O23" i="31"/>
  <c r="O45" i="31" s="1"/>
  <c r="AM38" i="27"/>
  <c r="AL38" i="27"/>
  <c r="AO38" i="27"/>
  <c r="AN38" i="27"/>
  <c r="AK21" i="27"/>
  <c r="AK39" i="27"/>
  <c r="P92" i="3"/>
  <c r="L92" i="3"/>
  <c r="M92" i="3"/>
  <c r="N92" i="3"/>
  <c r="AP21" i="27"/>
  <c r="AP39" i="27"/>
  <c r="AS38" i="27"/>
  <c r="AQ38" i="27"/>
  <c r="AR38" i="27"/>
  <c r="AT38" i="27"/>
  <c r="AS20" i="27"/>
  <c r="AT20" i="27"/>
  <c r="AQ20" i="27"/>
  <c r="AR20" i="27"/>
  <c r="AL20" i="27"/>
  <c r="AN20" i="27"/>
  <c r="AM20" i="27"/>
  <c r="AO20" i="27"/>
  <c r="O46" i="31" l="1"/>
  <c r="AX37" i="27"/>
  <c r="AV38" i="27"/>
  <c r="AW38" i="27"/>
  <c r="O36" i="31" s="1"/>
  <c r="AP6" i="30"/>
  <c r="AP24" i="30"/>
  <c r="AM21" i="27"/>
  <c r="AO21" i="27"/>
  <c r="AL21" i="27"/>
  <c r="AN21" i="27"/>
  <c r="AM39" i="27"/>
  <c r="AN39" i="27"/>
  <c r="AL39" i="27"/>
  <c r="AO39" i="27"/>
  <c r="P93" i="3"/>
  <c r="N93" i="3"/>
  <c r="L93" i="3"/>
  <c r="M93" i="3"/>
  <c r="AQ21" i="27"/>
  <c r="AS21" i="27"/>
  <c r="AT21" i="27"/>
  <c r="AR21" i="27"/>
  <c r="AS39" i="27"/>
  <c r="AR39" i="27"/>
  <c r="AT39" i="27"/>
  <c r="AQ39" i="27"/>
  <c r="AK6" i="30"/>
  <c r="AK24" i="30"/>
  <c r="AX38" i="27" l="1"/>
  <c r="AV39" i="27"/>
  <c r="O25" i="31"/>
  <c r="O47" i="31" s="1"/>
  <c r="AW39" i="27"/>
  <c r="AW40" i="27" s="1"/>
  <c r="AW41" i="27" s="1"/>
  <c r="AL24" i="30"/>
  <c r="AO24" i="30"/>
  <c r="AN24" i="30"/>
  <c r="AM24" i="30"/>
  <c r="AP7" i="30"/>
  <c r="AP25" i="30"/>
  <c r="P94" i="3"/>
  <c r="L94" i="3"/>
  <c r="M94" i="3"/>
  <c r="N94" i="3"/>
  <c r="AS6" i="30"/>
  <c r="AR6" i="30"/>
  <c r="AT6" i="30"/>
  <c r="AQ6" i="30"/>
  <c r="AN6" i="30"/>
  <c r="AO6" i="30"/>
  <c r="AL6" i="30"/>
  <c r="AM6" i="30"/>
  <c r="AK7" i="30"/>
  <c r="AK25" i="30"/>
  <c r="AQ24" i="30"/>
  <c r="AS24" i="30"/>
  <c r="AT24" i="30"/>
  <c r="AR24" i="30"/>
  <c r="AX39" i="27" l="1"/>
  <c r="AX40" i="27" s="1"/>
  <c r="AX41" i="27" s="1"/>
  <c r="AV40" i="27"/>
  <c r="AV41" i="27" s="1"/>
  <c r="O26" i="31"/>
  <c r="O27" i="31" s="1"/>
  <c r="AW24" i="30"/>
  <c r="J30" i="31" s="1"/>
  <c r="O37" i="31"/>
  <c r="O38" i="31" s="1"/>
  <c r="AV24" i="30"/>
  <c r="J19" i="31" s="1"/>
  <c r="AQ25" i="30"/>
  <c r="AS25" i="30"/>
  <c r="AR25" i="30"/>
  <c r="AT25" i="30"/>
  <c r="AK8" i="30"/>
  <c r="AK26" i="30"/>
  <c r="P95" i="3"/>
  <c r="M95" i="3"/>
  <c r="N95" i="3"/>
  <c r="L95" i="3"/>
  <c r="AO25" i="30"/>
  <c r="AN25" i="30"/>
  <c r="AL25" i="30"/>
  <c r="AM25" i="30"/>
  <c r="AP8" i="30"/>
  <c r="AP26" i="30"/>
  <c r="AM7" i="30"/>
  <c r="AN7" i="30"/>
  <c r="AL7" i="30"/>
  <c r="AO7" i="30"/>
  <c r="AS7" i="30"/>
  <c r="AT7" i="30"/>
  <c r="AQ7" i="30"/>
  <c r="AR7" i="30"/>
  <c r="O48" i="31" l="1"/>
  <c r="O49" i="31" s="1"/>
  <c r="I50" i="31" s="1"/>
  <c r="AV25" i="30"/>
  <c r="J20" i="31" s="1"/>
  <c r="AW25" i="30"/>
  <c r="J31" i="31" s="1"/>
  <c r="P31" i="31" s="1"/>
  <c r="AX24" i="30"/>
  <c r="AK9" i="30"/>
  <c r="AK27" i="30"/>
  <c r="J41" i="31"/>
  <c r="P19" i="31"/>
  <c r="AN8" i="30"/>
  <c r="AM8" i="30"/>
  <c r="AO8" i="30"/>
  <c r="AL8" i="30"/>
  <c r="AR26" i="30"/>
  <c r="AS26" i="30"/>
  <c r="AT26" i="30"/>
  <c r="AQ26" i="30"/>
  <c r="AT8" i="30"/>
  <c r="AS8" i="30"/>
  <c r="AQ8" i="30"/>
  <c r="AR8" i="30"/>
  <c r="AP9" i="30"/>
  <c r="AP27" i="30"/>
  <c r="AM26" i="30"/>
  <c r="AN26" i="30"/>
  <c r="AL26" i="30"/>
  <c r="AO26" i="30"/>
  <c r="P96" i="3"/>
  <c r="M96" i="3"/>
  <c r="N96" i="3"/>
  <c r="L96" i="3"/>
  <c r="P30" i="31"/>
  <c r="O51" i="31" l="1"/>
  <c r="AX25" i="30"/>
  <c r="AV26" i="30"/>
  <c r="AW26" i="30"/>
  <c r="J32" i="31" s="1"/>
  <c r="AM9" i="30"/>
  <c r="AN9" i="30"/>
  <c r="AL9" i="30"/>
  <c r="AO9" i="30"/>
  <c r="P97" i="3"/>
  <c r="L97" i="3"/>
  <c r="N97" i="3"/>
  <c r="M97" i="3"/>
  <c r="AT27" i="30"/>
  <c r="AQ27" i="30"/>
  <c r="AS27" i="30"/>
  <c r="AR27" i="30"/>
  <c r="P41" i="31"/>
  <c r="J42" i="31"/>
  <c r="P42" i="31" s="1"/>
  <c r="P20" i="31"/>
  <c r="AK28" i="30"/>
  <c r="AK10" i="30"/>
  <c r="AL27" i="30"/>
  <c r="AN27" i="30"/>
  <c r="AM27" i="30"/>
  <c r="AO27" i="30"/>
  <c r="AP28" i="30"/>
  <c r="AP10" i="30"/>
  <c r="AT9" i="30"/>
  <c r="AR9" i="30"/>
  <c r="AS9" i="30"/>
  <c r="AQ9" i="30"/>
  <c r="AX26" i="30" l="1"/>
  <c r="AW27" i="30"/>
  <c r="J33" i="31" s="1"/>
  <c r="P33" i="31" s="1"/>
  <c r="J21" i="31"/>
  <c r="P21" i="31" s="1"/>
  <c r="AV27" i="30"/>
  <c r="AP11" i="30"/>
  <c r="AP29" i="30"/>
  <c r="AT28" i="30"/>
  <c r="AQ28" i="30"/>
  <c r="AR28" i="30"/>
  <c r="AS28" i="30"/>
  <c r="AR10" i="30"/>
  <c r="AS10" i="30"/>
  <c r="AT10" i="30"/>
  <c r="AQ10" i="30"/>
  <c r="AM28" i="30"/>
  <c r="AO28" i="30"/>
  <c r="AN28" i="30"/>
  <c r="AL28" i="30"/>
  <c r="L98" i="3"/>
  <c r="P98" i="3"/>
  <c r="M98" i="3"/>
  <c r="N98" i="3"/>
  <c r="AK11" i="30"/>
  <c r="AK29" i="30"/>
  <c r="AO10" i="30"/>
  <c r="AM10" i="30"/>
  <c r="AL10" i="30"/>
  <c r="AN10" i="30"/>
  <c r="P32" i="31"/>
  <c r="J43" i="31" l="1"/>
  <c r="P43" i="31" s="1"/>
  <c r="AX27" i="30"/>
  <c r="AV28" i="30"/>
  <c r="J23" i="31" s="1"/>
  <c r="J22" i="31"/>
  <c r="P22" i="31" s="1"/>
  <c r="AW28" i="30"/>
  <c r="J34" i="31" s="1"/>
  <c r="AQ11" i="30"/>
  <c r="AR11" i="30"/>
  <c r="AT11" i="30"/>
  <c r="AS11" i="30"/>
  <c r="AO11" i="30"/>
  <c r="AN11" i="30"/>
  <c r="AL11" i="30"/>
  <c r="AM11" i="30"/>
  <c r="AK12" i="30"/>
  <c r="AK30" i="30"/>
  <c r="AT29" i="30"/>
  <c r="AR29" i="30"/>
  <c r="AQ29" i="30"/>
  <c r="AS29" i="30"/>
  <c r="AM29" i="30"/>
  <c r="AN29" i="30"/>
  <c r="AO29" i="30"/>
  <c r="AL29" i="30"/>
  <c r="J44" i="31"/>
  <c r="P44" i="31" s="1"/>
  <c r="P99" i="3"/>
  <c r="M99" i="3"/>
  <c r="L99" i="3"/>
  <c r="N99" i="3"/>
  <c r="AP12" i="30"/>
  <c r="AP30" i="30"/>
  <c r="AW29" i="30" l="1"/>
  <c r="J35" i="31" s="1"/>
  <c r="P35" i="31" s="1"/>
  <c r="AV29" i="30"/>
  <c r="AX28" i="30"/>
  <c r="AP13" i="30"/>
  <c r="AP31" i="30"/>
  <c r="J45" i="31"/>
  <c r="P23" i="31"/>
  <c r="AR30" i="30"/>
  <c r="AQ30" i="30"/>
  <c r="AS30" i="30"/>
  <c r="AT30" i="30"/>
  <c r="AK13" i="30"/>
  <c r="AK31" i="30"/>
  <c r="AO12" i="30"/>
  <c r="AM12" i="30"/>
  <c r="AL12" i="30"/>
  <c r="AN12" i="30"/>
  <c r="AN30" i="30"/>
  <c r="AL30" i="30"/>
  <c r="AO30" i="30"/>
  <c r="AM30" i="30"/>
  <c r="P100" i="3"/>
  <c r="M100" i="3"/>
  <c r="L100" i="3"/>
  <c r="N100" i="3"/>
  <c r="AS12" i="30"/>
  <c r="AQ12" i="30"/>
  <c r="AR12" i="30"/>
  <c r="AT12" i="30"/>
  <c r="P34" i="31"/>
  <c r="AX29" i="30" l="1"/>
  <c r="AV30" i="30"/>
  <c r="AW30" i="30"/>
  <c r="J36" i="31" s="1"/>
  <c r="P36" i="31" s="1"/>
  <c r="J24" i="31"/>
  <c r="J46" i="31" s="1"/>
  <c r="P46" i="31" s="1"/>
  <c r="AM31" i="30"/>
  <c r="AL31" i="30"/>
  <c r="AO31" i="30"/>
  <c r="AN31" i="30"/>
  <c r="P45" i="31"/>
  <c r="AP14" i="30"/>
  <c r="AP32" i="30"/>
  <c r="AK14" i="30"/>
  <c r="AK32" i="30"/>
  <c r="AR13" i="30"/>
  <c r="AQ13" i="30"/>
  <c r="AS13" i="30"/>
  <c r="AT13" i="30"/>
  <c r="N101" i="3"/>
  <c r="M101" i="3"/>
  <c r="P101" i="3"/>
  <c r="L101" i="3"/>
  <c r="AO13" i="30"/>
  <c r="AN13" i="30"/>
  <c r="AL13" i="30"/>
  <c r="AM13" i="30"/>
  <c r="AT31" i="30"/>
  <c r="AQ31" i="30"/>
  <c r="AR31" i="30"/>
  <c r="AS31" i="30"/>
  <c r="P24" i="31" l="1"/>
  <c r="AX30" i="30"/>
  <c r="J25" i="31"/>
  <c r="P25" i="31" s="1"/>
  <c r="AW31" i="30"/>
  <c r="J37" i="31" s="1"/>
  <c r="P37" i="31" s="1"/>
  <c r="AV31" i="30"/>
  <c r="N102" i="3"/>
  <c r="M102" i="3"/>
  <c r="L102" i="3"/>
  <c r="P102" i="3"/>
  <c r="AP15" i="30"/>
  <c r="AP33" i="30"/>
  <c r="AM14" i="30"/>
  <c r="AO14" i="30"/>
  <c r="AL14" i="30"/>
  <c r="AN14" i="30"/>
  <c r="AR14" i="30"/>
  <c r="AS14" i="30"/>
  <c r="AT14" i="30"/>
  <c r="AQ14" i="30"/>
  <c r="AT32" i="30"/>
  <c r="AQ32" i="30"/>
  <c r="AR32" i="30"/>
  <c r="AS32" i="30"/>
  <c r="AK15" i="30"/>
  <c r="AK33" i="30"/>
  <c r="AO32" i="30"/>
  <c r="AL32" i="30"/>
  <c r="AM32" i="30"/>
  <c r="AN32" i="30"/>
  <c r="J47" i="31" l="1"/>
  <c r="P47" i="31" s="1"/>
  <c r="AX31" i="30"/>
  <c r="AV32" i="30"/>
  <c r="AW32" i="30"/>
  <c r="K30" i="31" s="1"/>
  <c r="Q30" i="31" s="1"/>
  <c r="J38" i="31"/>
  <c r="P38" i="31" s="1"/>
  <c r="J26" i="31"/>
  <c r="J27" i="31" s="1"/>
  <c r="P27" i="31" s="1"/>
  <c r="AK16" i="30"/>
  <c r="AK34" i="30"/>
  <c r="AT15" i="30"/>
  <c r="AQ15" i="30"/>
  <c r="AR15" i="30"/>
  <c r="AS15" i="30"/>
  <c r="AO15" i="30"/>
  <c r="AL15" i="30"/>
  <c r="AM15" i="30"/>
  <c r="AN15" i="30"/>
  <c r="AT33" i="30"/>
  <c r="AS33" i="30"/>
  <c r="AQ33" i="30"/>
  <c r="AR33" i="30"/>
  <c r="P103" i="3"/>
  <c r="L103" i="3"/>
  <c r="M103" i="3"/>
  <c r="N103" i="3"/>
  <c r="AO33" i="30"/>
  <c r="AN33" i="30"/>
  <c r="AL33" i="30"/>
  <c r="AM33" i="30"/>
  <c r="AP16" i="30"/>
  <c r="AP34" i="30"/>
  <c r="J48" i="31" l="1"/>
  <c r="P48" i="31" s="1"/>
  <c r="AX32" i="30"/>
  <c r="AW33" i="30"/>
  <c r="K31" i="31" s="1"/>
  <c r="Q31" i="31" s="1"/>
  <c r="AV33" i="30"/>
  <c r="K20" i="31" s="1"/>
  <c r="P26" i="31"/>
  <c r="K19" i="31"/>
  <c r="Q19" i="31" s="1"/>
  <c r="AN16" i="30"/>
  <c r="AO16" i="30"/>
  <c r="AM16" i="30"/>
  <c r="AL16" i="30"/>
  <c r="AO34" i="30"/>
  <c r="AM34" i="30"/>
  <c r="AL34" i="30"/>
  <c r="AN34" i="30"/>
  <c r="AK17" i="30"/>
  <c r="AK35" i="30"/>
  <c r="P104" i="3"/>
  <c r="L104" i="3"/>
  <c r="M104" i="3"/>
  <c r="N104" i="3"/>
  <c r="AR16" i="30"/>
  <c r="AT16" i="30"/>
  <c r="AS16" i="30"/>
  <c r="AQ16" i="30"/>
  <c r="AR34" i="30"/>
  <c r="AS34" i="30"/>
  <c r="AT34" i="30"/>
  <c r="AQ34" i="30"/>
  <c r="AP17" i="30"/>
  <c r="AP35" i="30"/>
  <c r="J49" i="31" l="1"/>
  <c r="P49" i="31" s="1"/>
  <c r="K41" i="31"/>
  <c r="Q41" i="31" s="1"/>
  <c r="AX33" i="30"/>
  <c r="AW34" i="30"/>
  <c r="K32" i="31" s="1"/>
  <c r="Q32" i="31" s="1"/>
  <c r="AV34" i="30"/>
  <c r="AK18" i="30"/>
  <c r="AK36" i="30"/>
  <c r="P105" i="3"/>
  <c r="L105" i="3"/>
  <c r="N105" i="3"/>
  <c r="M105" i="3"/>
  <c r="K42" i="31"/>
  <c r="Q42" i="31" s="1"/>
  <c r="Q20" i="31"/>
  <c r="AP36" i="30"/>
  <c r="AP18" i="30"/>
  <c r="AT17" i="30"/>
  <c r="AR17" i="30"/>
  <c r="AS17" i="30"/>
  <c r="AQ17" i="30"/>
  <c r="AL17" i="30"/>
  <c r="AN17" i="30"/>
  <c r="AO17" i="30"/>
  <c r="AM17" i="30"/>
  <c r="AR35" i="30"/>
  <c r="AS35" i="30"/>
  <c r="AT35" i="30"/>
  <c r="AQ35" i="30"/>
  <c r="AM35" i="30"/>
  <c r="AO35" i="30"/>
  <c r="AL35" i="30"/>
  <c r="AN35" i="30"/>
  <c r="AV35" i="30" l="1"/>
  <c r="K22" i="31" s="1"/>
  <c r="AX34" i="30"/>
  <c r="K21" i="31"/>
  <c r="Q21" i="31" s="1"/>
  <c r="AW35" i="30"/>
  <c r="K33" i="31" s="1"/>
  <c r="Q33" i="31" s="1"/>
  <c r="AO18" i="30"/>
  <c r="AN18" i="30"/>
  <c r="AM18" i="30"/>
  <c r="AL18" i="30"/>
  <c r="P106" i="3"/>
  <c r="M106" i="3"/>
  <c r="N106" i="3"/>
  <c r="L106" i="3"/>
  <c r="AK19" i="30"/>
  <c r="AK37" i="30"/>
  <c r="AN36" i="30"/>
  <c r="AO36" i="30"/>
  <c r="AM36" i="30"/>
  <c r="AL36" i="30"/>
  <c r="AT18" i="30"/>
  <c r="AS18" i="30"/>
  <c r="AR18" i="30"/>
  <c r="AQ18" i="30"/>
  <c r="AQ36" i="30"/>
  <c r="AR36" i="30"/>
  <c r="AT36" i="30"/>
  <c r="AS36" i="30"/>
  <c r="AP19" i="30"/>
  <c r="AP37" i="30"/>
  <c r="AX35" i="30" l="1"/>
  <c r="K43" i="31"/>
  <c r="Q43" i="31" s="1"/>
  <c r="AV36" i="30"/>
  <c r="K23" i="31" s="1"/>
  <c r="AW36" i="30"/>
  <c r="K34" i="31" s="1"/>
  <c r="Q34" i="31" s="1"/>
  <c r="AK20" i="30"/>
  <c r="AK38" i="30"/>
  <c r="AO19" i="30"/>
  <c r="AN19" i="30"/>
  <c r="AM19" i="30"/>
  <c r="AL19" i="30"/>
  <c r="AQ19" i="30"/>
  <c r="AT19" i="30"/>
  <c r="AS19" i="30"/>
  <c r="AR19" i="30"/>
  <c r="N107" i="3"/>
  <c r="P107" i="3"/>
  <c r="P108" i="3" s="1"/>
  <c r="L107" i="3"/>
  <c r="M107" i="3"/>
  <c r="AM37" i="30"/>
  <c r="AN37" i="30"/>
  <c r="AO37" i="30"/>
  <c r="AL37" i="30"/>
  <c r="AP20" i="30"/>
  <c r="AP38" i="30"/>
  <c r="K44" i="31"/>
  <c r="Q22" i="31"/>
  <c r="AT37" i="30"/>
  <c r="AR37" i="30"/>
  <c r="AS37" i="30"/>
  <c r="AQ37" i="30"/>
  <c r="N108" i="3"/>
  <c r="E114" i="3" s="1"/>
  <c r="L108" i="3"/>
  <c r="C114" i="3" s="1"/>
  <c r="M108" i="3"/>
  <c r="D114" i="3" s="1"/>
  <c r="AW37" i="30" l="1"/>
  <c r="K35" i="31" s="1"/>
  <c r="Q35" i="31" s="1"/>
  <c r="AV37" i="30"/>
  <c r="K24" i="31" s="1"/>
  <c r="AX36" i="30"/>
  <c r="AK21" i="30"/>
  <c r="AK39" i="30"/>
  <c r="AO20" i="30"/>
  <c r="AL20" i="30"/>
  <c r="AN20" i="30"/>
  <c r="AM20" i="30"/>
  <c r="Q44" i="31"/>
  <c r="AP21" i="30"/>
  <c r="AP39" i="30"/>
  <c r="AO38" i="30"/>
  <c r="AL38" i="30"/>
  <c r="AM38" i="30"/>
  <c r="AN38" i="30"/>
  <c r="AR20" i="30"/>
  <c r="AQ20" i="30"/>
  <c r="AS20" i="30"/>
  <c r="AT20" i="30"/>
  <c r="AR38" i="30"/>
  <c r="AQ38" i="30"/>
  <c r="AS38" i="30"/>
  <c r="AT38" i="30"/>
  <c r="K45" i="31"/>
  <c r="Q45" i="31" s="1"/>
  <c r="Q23" i="31"/>
  <c r="AV38" i="30" l="1"/>
  <c r="K25" i="31" s="1"/>
  <c r="AW38" i="30"/>
  <c r="K36" i="31" s="1"/>
  <c r="Q36" i="31" s="1"/>
  <c r="AX37" i="30"/>
  <c r="K46" i="31"/>
  <c r="Q24" i="31"/>
  <c r="AR21" i="30"/>
  <c r="AQ21" i="30"/>
  <c r="AT21" i="30"/>
  <c r="AS21" i="30"/>
  <c r="AO21" i="30"/>
  <c r="AN21" i="30"/>
  <c r="AL21" i="30"/>
  <c r="AM21" i="30"/>
  <c r="AS39" i="30"/>
  <c r="AQ39" i="30"/>
  <c r="AR39" i="30"/>
  <c r="AT39" i="30"/>
  <c r="AO39" i="30"/>
  <c r="AN39" i="30"/>
  <c r="AL39" i="30"/>
  <c r="AM39" i="30"/>
  <c r="AX38" i="30" l="1"/>
  <c r="AW39" i="30"/>
  <c r="AW40" i="30" s="1"/>
  <c r="AW41" i="30" s="1"/>
  <c r="AV39" i="30"/>
  <c r="AV40" i="30" s="1"/>
  <c r="AV41" i="30" s="1"/>
  <c r="Q46" i="31"/>
  <c r="K47" i="31"/>
  <c r="Q47" i="31" s="1"/>
  <c r="Q25" i="31"/>
  <c r="AX39" i="30" l="1"/>
  <c r="AX40" i="30" s="1"/>
  <c r="AX41" i="30" s="1"/>
  <c r="K37" i="31"/>
  <c r="Q37" i="31" s="1"/>
  <c r="K26" i="31"/>
  <c r="Q26" i="31" s="1"/>
  <c r="K27" i="31" l="1"/>
  <c r="Q27" i="31" s="1"/>
  <c r="K38" i="31"/>
  <c r="Q38" i="31" s="1"/>
  <c r="K48" i="31"/>
  <c r="Q48" i="31" s="1"/>
  <c r="R27" i="31" l="1"/>
  <c r="R38" i="31"/>
  <c r="K49" i="31"/>
  <c r="G50" i="31" s="1"/>
  <c r="K51" i="31" l="1"/>
  <c r="Q49" i="31"/>
  <c r="R49" i="31" s="1"/>
  <c r="R51" i="31" l="1"/>
</calcChain>
</file>

<file path=xl/comments1.xml><?xml version="1.0" encoding="utf-8"?>
<comments xmlns="http://schemas.openxmlformats.org/spreadsheetml/2006/main">
  <authors>
    <author>JamesW</author>
    <author>James Woodcock</author>
  </authors>
  <commentList>
    <comment ref="B8" authorId="0">
      <text>
        <r>
          <rPr>
            <b/>
            <sz val="9"/>
            <color indexed="81"/>
            <rFont val="Tahoma"/>
            <family val="2"/>
          </rPr>
          <t>JamesW:</t>
        </r>
        <r>
          <rPr>
            <sz val="9"/>
            <color indexed="81"/>
            <rFont val="Tahoma"/>
            <family val="2"/>
          </rPr>
          <t xml:space="preserve"> does not include non travel METs in calculation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B12" authorId="0">
      <text>
        <r>
          <rPr>
            <b/>
            <sz val="9"/>
            <color indexed="81"/>
            <rFont val="Tahoma"/>
            <family val="2"/>
          </rPr>
          <t>JamesW:</t>
        </r>
        <r>
          <rPr>
            <sz val="9"/>
            <color indexed="81"/>
            <rFont val="Tahoma"/>
            <family val="2"/>
          </rPr>
          <t xml:space="preserve">
Does not include non travel METs in calculation
</t>
        </r>
      </text>
    </comment>
    <comment ref="B13" authorId="1">
      <text>
        <r>
          <rPr>
            <b/>
            <sz val="8"/>
            <color indexed="81"/>
            <rFont val="Tahoma"/>
            <family val="2"/>
          </rPr>
          <t>James Woodcock:</t>
        </r>
        <r>
          <rPr>
            <sz val="8"/>
            <color indexed="81"/>
            <rFont val="Tahoma"/>
            <family val="2"/>
          </rPr>
          <t xml:space="preserve">
best fit 0.25
</t>
        </r>
      </text>
    </comment>
    <comment ref="D14" authorId="1">
      <text>
        <r>
          <rPr>
            <b/>
            <sz val="8"/>
            <color indexed="81"/>
            <rFont val="Tahoma"/>
            <family val="2"/>
          </rPr>
          <t>James Woodcock:</t>
        </r>
        <r>
          <rPr>
            <sz val="8"/>
            <color indexed="81"/>
            <rFont val="Tahoma"/>
            <family val="2"/>
          </rPr>
          <t xml:space="preserve">
cycling alone
</t>
        </r>
      </text>
    </comment>
    <comment ref="B16" authorId="1">
      <text>
        <r>
          <rPr>
            <b/>
            <sz val="8"/>
            <color indexed="81"/>
            <rFont val="Tahoma"/>
            <family val="2"/>
          </rPr>
          <t>James Woodcock:</t>
        </r>
        <r>
          <rPr>
            <sz val="8"/>
            <color indexed="81"/>
            <rFont val="Tahoma"/>
            <family val="2"/>
          </rPr>
          <t xml:space="preserve">
0.375 best fit
</t>
        </r>
      </text>
    </comment>
  </commentList>
</comments>
</file>

<file path=xl/sharedStrings.xml><?xml version="1.0" encoding="utf-8"?>
<sst xmlns="http://schemas.openxmlformats.org/spreadsheetml/2006/main" count="1847" uniqueCount="292">
  <si>
    <t>age</t>
  </si>
  <si>
    <t>sex</t>
  </si>
  <si>
    <t>AF</t>
  </si>
  <si>
    <t>US</t>
  </si>
  <si>
    <t>Fresno</t>
  </si>
  <si>
    <t>Breast Cancer</t>
  </si>
  <si>
    <t>0-4</t>
  </si>
  <si>
    <t xml:space="preserve"> 5-14</t>
  </si>
  <si>
    <t xml:space="preserve"> 15-29</t>
  </si>
  <si>
    <t xml:space="preserve"> 30-44</t>
  </si>
  <si>
    <t xml:space="preserve"> 45-59</t>
  </si>
  <si>
    <t xml:space="preserve"> 60-69</t>
  </si>
  <si>
    <t xml:space="preserve"> 70-79</t>
  </si>
  <si>
    <t xml:space="preserve"> 80+</t>
  </si>
  <si>
    <t>Total</t>
  </si>
  <si>
    <t>Colon Cancer</t>
  </si>
  <si>
    <t xml:space="preserve">Total </t>
  </si>
  <si>
    <t>IHD</t>
  </si>
  <si>
    <t>Dementia</t>
  </si>
  <si>
    <t>Sex</t>
  </si>
  <si>
    <t>Age</t>
  </si>
  <si>
    <t>yll</t>
  </si>
  <si>
    <t>yld</t>
  </si>
  <si>
    <t>daly</t>
  </si>
  <si>
    <t>population</t>
  </si>
  <si>
    <t>deaths</t>
  </si>
  <si>
    <t>Diabetes</t>
  </si>
  <si>
    <t>Depression</t>
  </si>
  <si>
    <t>Male</t>
  </si>
  <si>
    <t>Female</t>
  </si>
  <si>
    <t>15-29</t>
  </si>
  <si>
    <t>30-44</t>
  </si>
  <si>
    <t>45-59</t>
  </si>
  <si>
    <t>60-69</t>
  </si>
  <si>
    <t>70-79</t>
  </si>
  <si>
    <t>80+</t>
  </si>
  <si>
    <t>F = 1, M = 2</t>
  </si>
  <si>
    <t>Scenario</t>
  </si>
  <si>
    <t>walk</t>
  </si>
  <si>
    <t>m</t>
  </si>
  <si>
    <t>f</t>
  </si>
  <si>
    <t>total</t>
  </si>
  <si>
    <t xml:space="preserve">walking </t>
  </si>
  <si>
    <t>cycling</t>
  </si>
  <si>
    <t>min</t>
  </si>
  <si>
    <t>RR walking</t>
  </si>
  <si>
    <t>calculation</t>
  </si>
  <si>
    <t>mean</t>
  </si>
  <si>
    <t>RR cycling</t>
  </si>
  <si>
    <t xml:space="preserve">mean </t>
  </si>
  <si>
    <t>proportion</t>
  </si>
  <si>
    <t>F</t>
  </si>
  <si>
    <t>calcualtion</t>
  </si>
  <si>
    <t>5-14</t>
  </si>
  <si>
    <t>walking METs</t>
  </si>
  <si>
    <t>cycling METs</t>
  </si>
  <si>
    <t>total METs</t>
  </si>
  <si>
    <t>male</t>
  </si>
  <si>
    <t>female</t>
  </si>
  <si>
    <t>Baseline (0)</t>
  </si>
  <si>
    <t>Walking time</t>
  </si>
  <si>
    <t>Cycling time</t>
  </si>
  <si>
    <t>Scenario A</t>
  </si>
  <si>
    <t>Scenario B</t>
  </si>
  <si>
    <t>Scenario C</t>
  </si>
  <si>
    <t>Baseline</t>
  </si>
  <si>
    <t>Scenario D</t>
  </si>
  <si>
    <t>agecat</t>
  </si>
  <si>
    <t>mode</t>
  </si>
  <si>
    <t>Auto driver</t>
  </si>
  <si>
    <t>Auto passenger</t>
  </si>
  <si>
    <t>Bike</t>
  </si>
  <si>
    <t>Bus and express bus</t>
  </si>
  <si>
    <t>Commuter rail</t>
  </si>
  <si>
    <t>Ferry</t>
  </si>
  <si>
    <t>Heavy rail</t>
  </si>
  <si>
    <t>Light rail</t>
  </si>
  <si>
    <t>Other non-motorized</t>
  </si>
  <si>
    <t>Private transit</t>
  </si>
  <si>
    <t>Walk</t>
  </si>
  <si>
    <t>travel distance (mi, total)</t>
  </si>
  <si>
    <t>travel time (min, total)</t>
  </si>
  <si>
    <t>travel distance (mi, per capita)</t>
  </si>
  <si>
    <t>travel time (min, per capita)</t>
  </si>
  <si>
    <t>California totals</t>
  </si>
  <si>
    <t>Coefficient of variation</t>
  </si>
  <si>
    <t>Walking and cycling times (minutes per capita)</t>
  </si>
  <si>
    <t>Fresno population by age-sex-occupation category, 2007 - 2011 American Community Survey PUMS estimates</t>
  </si>
  <si>
    <t>Statewide mean non-transport METS/day by age-sex-occupation category from the 2005 CHIS</t>
  </si>
  <si>
    <t>Unemployed</t>
  </si>
  <si>
    <t>Not codeable</t>
  </si>
  <si>
    <t>Proportion employed in each occupation by age-sex category</t>
  </si>
  <si>
    <t>Occupation category</t>
  </si>
  <si>
    <t>Can I distribute the uncodeables proportionally across the other categories? Err?</t>
  </si>
  <si>
    <t>Looking into the occupation data in ACS - it seems like they impute occupation data</t>
  </si>
  <si>
    <t>but it's not clear that these are available in the PUMS data - they might only have them</t>
  </si>
  <si>
    <t>in the summary statistics.</t>
  </si>
  <si>
    <t>distance</t>
  </si>
  <si>
    <t>time</t>
  </si>
  <si>
    <t>distance/ca</t>
  </si>
  <si>
    <t>time/ca</t>
  </si>
  <si>
    <t>Eight county San Joaquin Valley totals, 2010-2012 California Household Travel Survey data</t>
  </si>
  <si>
    <t>Walking and cycling distances (miles per capita)</t>
  </si>
  <si>
    <t>relative wk dist</t>
  </si>
  <si>
    <t>relative cyc dist</t>
  </si>
  <si>
    <t>Key parameters</t>
  </si>
  <si>
    <t>Population mean walking time (min/week)</t>
  </si>
  <si>
    <t>Population mean cycling time (min/week)</t>
  </si>
  <si>
    <t>Population mean active travel time(min/week)</t>
  </si>
  <si>
    <t>Coefficient of variation for active travel time</t>
  </si>
  <si>
    <t>Population mean walking distance (mi/week)</t>
  </si>
  <si>
    <t>Population mean cycling distance (mi/week)</t>
  </si>
  <si>
    <t>Population mean active travel distance (mi/week)</t>
  </si>
  <si>
    <t>overall</t>
  </si>
  <si>
    <t>total active travel time</t>
  </si>
  <si>
    <t>minutes</t>
  </si>
  <si>
    <t>Baseline active travel distributions (alll figures are per week)</t>
  </si>
  <si>
    <t>walking</t>
  </si>
  <si>
    <t>log value</t>
  </si>
  <si>
    <t>log mean</t>
  </si>
  <si>
    <t>log sd</t>
  </si>
  <si>
    <t>total walking time (minutes)</t>
  </si>
  <si>
    <t>total cycling time (minutes)</t>
  </si>
  <si>
    <t>sd</t>
  </si>
  <si>
    <t>totals</t>
  </si>
  <si>
    <t>time (min)</t>
  </si>
  <si>
    <t>distance (mi)</t>
  </si>
  <si>
    <t>speed (mph)</t>
  </si>
  <si>
    <t>men</t>
  </si>
  <si>
    <t>women</t>
  </si>
  <si>
    <t>scenario</t>
  </si>
  <si>
    <t>baseline</t>
  </si>
  <si>
    <t>RR compared with baseline</t>
  </si>
  <si>
    <t>YLL per group</t>
  </si>
  <si>
    <t>YLD per group</t>
  </si>
  <si>
    <t>∆ Burden</t>
  </si>
  <si>
    <t>RR 1 MET</t>
  </si>
  <si>
    <t>∆ Deaths</t>
  </si>
  <si>
    <t>∆YLL</t>
  </si>
  <si>
    <t>∆ YLD</t>
  </si>
  <si>
    <t>DALYs</t>
  </si>
  <si>
    <t>travel exposure</t>
  </si>
  <si>
    <t xml:space="preserve">total exposure </t>
  </si>
  <si>
    <t>CVD</t>
  </si>
  <si>
    <t>CVD cubic splines</t>
  </si>
  <si>
    <t>&gt;29</t>
  </si>
  <si>
    <t>RR</t>
  </si>
  <si>
    <t xml:space="preserve">exposure </t>
  </si>
  <si>
    <t>breast cancer</t>
  </si>
  <si>
    <t>colon cancer</t>
  </si>
  <si>
    <t>dementia</t>
  </si>
  <si>
    <t>depression</t>
  </si>
  <si>
    <t>diabetes</t>
  </si>
  <si>
    <t xml:space="preserve">all-cause mortality Woodcock </t>
  </si>
  <si>
    <t>all-cause mortality cycling Anderson</t>
  </si>
  <si>
    <t>all-cause mortality walking: HEAT</t>
  </si>
  <si>
    <t>all-cause mortality Woodcock walking alone</t>
  </si>
  <si>
    <t>disease</t>
  </si>
  <si>
    <r>
      <t xml:space="preserve">source: </t>
    </r>
    <r>
      <rPr>
        <sz val="10"/>
        <color theme="1"/>
        <rFont val="Arial"/>
        <family val="2"/>
      </rPr>
      <t>Woodcock et al. 2009</t>
    </r>
  </si>
  <si>
    <t>References</t>
  </si>
  <si>
    <t>Woodcock, J., Edwards, P., Tonne, C., Armstrong, B.G., Ashiru, O., Banister, D., Beevers, S., Chalabi, Z., Chowdhury, Z., Cohen, A., Franco, O.H., Haines, A., Hickman, R., Lindsay, G., Mittal, I., Mohan, D., Tiwari, G., Woodward, A., Roberts, I., 2009. Public health benefits of strategies to reduce greenhouse-gas emissions: Urban land transport. The Lancet 374(9705), 1930-1943.</t>
  </si>
  <si>
    <t>NB: Grey shaded diseases are not considered in the Fresno HIA study.</t>
  </si>
  <si>
    <t>RR normalized to 1 MET exposure</t>
  </si>
  <si>
    <t>RR, considering exposure</t>
  </si>
  <si>
    <t>deaths per group</t>
  </si>
  <si>
    <t>new burden</t>
  </si>
  <si>
    <t>ratio of RR relative to quintile 1</t>
  </si>
  <si>
    <t>Person travel time, speeds, and distance</t>
  </si>
  <si>
    <t>Scenarios</t>
  </si>
  <si>
    <t>A</t>
  </si>
  <si>
    <t>B</t>
  </si>
  <si>
    <t>C</t>
  </si>
  <si>
    <t>D</t>
  </si>
  <si>
    <t>User-chosen scenario active travel distributions (alll figures are per week)</t>
  </si>
  <si>
    <t>Breast cancer relative risk and DALY calculations</t>
  </si>
  <si>
    <t>Colon cancer relative risk and DALY calculations</t>
  </si>
  <si>
    <t>Ischemic heart disease relative risk and DALY calculations</t>
  </si>
  <si>
    <t>Dementia relative risk and DALY calculations</t>
  </si>
  <si>
    <t>Diabetes relative risk and DALY calculations</t>
  </si>
  <si>
    <t>Depression relative risk and DALY calculations</t>
  </si>
  <si>
    <t>Deaths</t>
  </si>
  <si>
    <t>YLL</t>
  </si>
  <si>
    <t>YLD</t>
  </si>
  <si>
    <t>Physical activity-related disease totals</t>
  </si>
  <si>
    <t>YLDs</t>
  </si>
  <si>
    <t>YLLs</t>
  </si>
  <si>
    <t>Sheet color key</t>
  </si>
  <si>
    <t>Instructions</t>
  </si>
  <si>
    <t>Cell color key</t>
  </si>
  <si>
    <t xml:space="preserve">The modelling tool is implemented in Excel 2010 (Microsoft). No rights to Excel are implied in this licence. </t>
  </si>
  <si>
    <t>The modelling tool is free software: you can redistribute it and/or modify</t>
  </si>
  <si>
    <t>it under the terms of the GNU General Public License as published by</t>
  </si>
  <si>
    <t>the Free Software Foundation, either version 3 of the License, or</t>
  </si>
  <si>
    <t>(at your option) any later version.</t>
  </si>
  <si>
    <t>This program is distributed in the hope that it will be useful,</t>
  </si>
  <si>
    <t>but WITHOUT ANY WARRANTY; without even the implied warranty of</t>
  </si>
  <si>
    <t>MERCHANTABILITY or FITNESS FOR A PARTICULAR PURPOSE.  See the</t>
  </si>
  <si>
    <t>GNU General Public License for more details.</t>
  </si>
  <si>
    <t>You should have received a copy of the GNU General Public License</t>
  </si>
  <si>
    <t>Fresno County Comparative Risk Assessment Modeling Tool</t>
  </si>
  <si>
    <t>Based on the Integrated Transport &amp; Health Impact Model (ITHIM) developed by Dr. James Woodcock</t>
  </si>
  <si>
    <t>This spreadsheet model estimates the health impacts of transport scenarios in Fresno County, California</t>
  </si>
  <si>
    <t>User input</t>
  </si>
  <si>
    <t>Results</t>
  </si>
  <si>
    <t>Intermediate calculations; no user intervention required</t>
  </si>
  <si>
    <t>Intermediate results; no user intervention required</t>
  </si>
  <si>
    <t>Input data used in all intermediate calculations</t>
  </si>
  <si>
    <t>This tool was designed to assess the health benefits of transportation plans that facilitate increases</t>
  </si>
  <si>
    <t>It is currently calibrated to analyze the transportation-land use scenarios developed for the 2014 Sustainable</t>
  </si>
  <si>
    <t>disability-adjusted life years (DALYs).</t>
  </si>
  <si>
    <t xml:space="preserve">and applied to the San Francisco Bay Area by Dr. Neil Maizlish. See Maizlish et al. (2013) and </t>
  </si>
  <si>
    <t>Woodcock et al. (2009).</t>
  </si>
  <si>
    <t>Maizlish, N., Woodcock, J., Co, S., Ostro, B., Fanai, A., Fairley, D., 2013. Health cobenefits and transportation-related reductions in greenhouse gas emissions in the San Francisco Bay Area. American Journal of Public Health 103(4), 703-709.</t>
  </si>
  <si>
    <t>Analyses of different scenarios and regions are possible. Full, step-by-step instructions</t>
  </si>
  <si>
    <t>for doing so are located on the project's GitHub page: https://github.com/aakarner/fresno-hia.</t>
  </si>
  <si>
    <t>Calculated from the same sheet</t>
  </si>
  <si>
    <t>Calculated or taken from another sheet</t>
  </si>
  <si>
    <t>Miscellaneous highlight; see comments</t>
  </si>
  <si>
    <t>transport physical activity quintile</t>
  </si>
  <si>
    <t>The GitHub page also includes all scripts necessary for processing the raw input data used in this tool.</t>
  </si>
  <si>
    <t xml:space="preserve">    Copyright © 2013 Alex Karner (alex.karner@gmail.com)</t>
  </si>
  <si>
    <t>Weighted mean METs by age-sex category</t>
  </si>
  <si>
    <t>Non-travel METs (overall age-sex specific median values from the 2005 CHIS)</t>
  </si>
  <si>
    <t>Age-standardized death rates relative to the US population (per 100,000)</t>
  </si>
  <si>
    <t>MET hours</t>
  </si>
  <si>
    <t>Transit</t>
  </si>
  <si>
    <t>If the number of per capita trips increases by 20%, does it follow that the time spent traveling increases by 20%?</t>
  </si>
  <si>
    <t>Walking distance</t>
  </si>
  <si>
    <t>Cycling distance</t>
  </si>
  <si>
    <t>MET</t>
  </si>
  <si>
    <t>walking MET hours</t>
  </si>
  <si>
    <t>cycling MET hours</t>
  </si>
  <si>
    <t>total MET hours</t>
  </si>
  <si>
    <t>Total Trips</t>
  </si>
  <si>
    <t>Yes, if we assume the same distribution of trip length, but that doesn't seem to be the case in FCOG's modeling</t>
  </si>
  <si>
    <t>Population override (used to approximate small area health effects)</t>
  </si>
  <si>
    <t>Countywide population</t>
  </si>
  <si>
    <t>Lanare</t>
  </si>
  <si>
    <t>Laton</t>
  </si>
  <si>
    <t>Riverdale</t>
  </si>
  <si>
    <t>West Fresno</t>
  </si>
  <si>
    <t>bike</t>
  </si>
  <si>
    <t>Time (min/day)</t>
  </si>
  <si>
    <t>Speed (mph)</t>
  </si>
  <si>
    <t>Distance (mi/day)</t>
  </si>
  <si>
    <t>DUCs</t>
  </si>
  <si>
    <t>RR to the US population</t>
  </si>
  <si>
    <t>Changes in health outcomes due to changes in physical activity</t>
  </si>
  <si>
    <t>along with this program. If not, see: http://www.gnu.org/licenses/</t>
  </si>
  <si>
    <t>Communities Strategy and its four alternative scenarios in Fresno County and some disadvantaged unincorporated communities (DUCs).</t>
  </si>
  <si>
    <t>Select Fresno if interested in county-level results and DUCs if interested in DUC-specific results.</t>
  </si>
  <si>
    <t>In order to compare the health benefits of each, the user has to follow these steps:</t>
  </si>
  <si>
    <t>1. Select the geography of interest: Fresno County, or DUC.</t>
  </si>
  <si>
    <t>2. Select the appropriate non-motorized travel estimates.</t>
  </si>
  <si>
    <t>3. Select the scenario of interest.</t>
  </si>
  <si>
    <t>in the amount of non-motorized transportation undertaken by the population in Fresno County, California.</t>
  </si>
  <si>
    <t>The default estimates are for the entire region (i.e. Fresno County). To perform DUC-level analysis, and paste the travel</t>
  </si>
  <si>
    <t>estimates for the DUC of interest (contained in row 16 and below) and paste them into the "Main input cells" (rows 6-11).</t>
  </si>
  <si>
    <t>4. View results.</t>
  </si>
  <si>
    <t>All results are contained in the "Health results" worksheet - years of life lost (YLLs), years living with disability (YLD),</t>
  </si>
  <si>
    <t>(from US Census)</t>
  </si>
  <si>
    <t>Pick a scenario to analyze:</t>
  </si>
  <si>
    <t>Population and deaths</t>
  </si>
  <si>
    <t>Entire Region</t>
  </si>
  <si>
    <t>Subarea</t>
  </si>
  <si>
    <t>Entire Region:</t>
  </si>
  <si>
    <t>Subarea:</t>
  </si>
  <si>
    <t>Name</t>
  </si>
  <si>
    <t>Fresno DUCs</t>
  </si>
  <si>
    <t>Area(s) of analysis</t>
  </si>
  <si>
    <t>Select an area to analyze:</t>
  </si>
  <si>
    <t>Area selected (1 = entire region, 2 = subarea)</t>
  </si>
  <si>
    <t xml:space="preserve">Population </t>
  </si>
  <si>
    <t>TOTAL</t>
  </si>
  <si>
    <t>Deaths (calculated from CDPH Vital Stats)</t>
  </si>
  <si>
    <t>Area 1</t>
  </si>
  <si>
    <t>Area 2</t>
  </si>
  <si>
    <t>[Optional] Store additional values below that can be pasted into the cells above to simulate health outcomes for smaller geographic areas</t>
  </si>
  <si>
    <t>Cause of death</t>
  </si>
  <si>
    <t>Directly entered input assumption. In this version the defaults are specific to Fresno.  If a new area is used, update these fields for that area.</t>
  </si>
  <si>
    <t>Analysis input cells (copy from below)</t>
  </si>
  <si>
    <t>Each geography uses different population and disease burden estimates (contained on the "GBDUS" worksheet, based on data from the Global</t>
  </si>
  <si>
    <t>Burden of Disease database). Cell J5 of the "InputPopulationDeaths" sheet (highlighted yellow) can be toggled between the Entire region (Fresno) and the Subarea (Fresno DUCs).</t>
  </si>
  <si>
    <t>Estimates of non-motorized travel derived from Fresno COG's travel demand modeling are contained in the "InputTravel" worksheet.</t>
  </si>
  <si>
    <t>Finally, cell J4 on the "InputTravel" sheet changes the selected scenario (A-D) as defined by Fresno COG's modeling.</t>
  </si>
  <si>
    <t>Processed Global Burden of Disease data</t>
  </si>
  <si>
    <t>Ratio of walking and cycling times to women aged 15-29 (from the CHTS 2010-2012, for the San Joaquin Valley)</t>
  </si>
  <si>
    <t>Ratio of walking and cycling distances to women aged 15-29 (from the CHTS 2010-2012, for the San Joaquin Valley)</t>
  </si>
  <si>
    <t>Future travel, existing population</t>
  </si>
  <si>
    <t>Baseline: Riverdale, Future scenarios: West Fresno</t>
  </si>
  <si>
    <t>attributable fraction of disease burden</t>
  </si>
  <si>
    <t>User input - modify to view various Fresno results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</si>
</sst>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43" formatCode="_(* #,##0.00_);_(* \(#,##0.00\);_(* &quot;-&quot;??_);_(@_)"/>
    <numFmt numFmtId="164" formatCode="_-* #,##0.00_-;\-* #,##0.00_-;_-* &quot;-&quot;??_-;_-@_-"/>
    <numFmt numFmtId="165" formatCode="_-* #,##0_-;\-* #,##0_-;_-* &quot;-&quot;??_-;_-@_-"/>
    <numFmt numFmtId="166" formatCode="_-* #,##0.0000_-;\-* #,##0.0000_-;_-* &quot;-&quot;??_-;_-@_-"/>
    <numFmt numFmtId="167" formatCode="0.0"/>
    <numFmt numFmtId="168" formatCode="0.0%"/>
    <numFmt numFmtId="169" formatCode="0.0000"/>
    <numFmt numFmtId="170" formatCode="[&gt;0.5]#,##0;[&lt;-0.5]\-#,##0;\-"/>
    <numFmt numFmtId="171" formatCode="0.000"/>
    <numFmt numFmtId="172" formatCode="0.0000000"/>
    <numFmt numFmtId="173" formatCode="0.00000"/>
  </numFmts>
  <fonts count="26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3F3F76"/>
      <name val="Calibri"/>
      <family val="2"/>
      <scheme val="minor"/>
    </font>
    <font>
      <sz val="10"/>
      <color rgb="FF000000"/>
      <name val="Arial"/>
      <family val="2"/>
    </font>
    <font>
      <sz val="14"/>
      <name val="Arial"/>
      <family val="2"/>
    </font>
    <font>
      <u/>
      <sz val="10"/>
      <color indexed="12"/>
      <name val="Arial"/>
      <family val="2"/>
    </font>
    <font>
      <sz val="10"/>
      <name val="Times New Roman"/>
      <family val="1"/>
    </font>
    <font>
      <i/>
      <sz val="12"/>
      <name val="Times New Roman"/>
      <family val="1"/>
    </font>
    <font>
      <b/>
      <sz val="11"/>
      <color theme="1"/>
      <name val="Arial"/>
      <family val="2"/>
    </font>
    <font>
      <b/>
      <sz val="9"/>
      <color theme="1"/>
      <name val="Arial"/>
      <family val="2"/>
    </font>
    <font>
      <b/>
      <sz val="10"/>
      <name val="Arial"/>
      <family val="2"/>
    </font>
    <font>
      <i/>
      <sz val="10"/>
      <color theme="1"/>
      <name val="Arial"/>
      <family val="2"/>
    </font>
    <font>
      <i/>
      <sz val="10"/>
      <name val="Arial"/>
      <family val="2"/>
    </font>
    <font>
      <u/>
      <sz val="10"/>
      <color theme="1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14"/>
      <color theme="1"/>
      <name val="Arial"/>
      <family val="2"/>
    </font>
    <font>
      <i/>
      <u/>
      <sz val="10"/>
      <color theme="1"/>
      <name val="Arial"/>
      <family val="2"/>
    </font>
    <font>
      <b/>
      <i/>
      <sz val="10"/>
      <color theme="1"/>
      <name val="Arial"/>
      <family val="2"/>
    </font>
    <font>
      <sz val="10"/>
      <color rgb="FFFF0000"/>
      <name val="Arial"/>
      <family val="2"/>
    </font>
    <font>
      <sz val="8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 tint="-0.749992370372631"/>
        <bgColor indexed="64"/>
      </patternFill>
    </fill>
  </fills>
  <borders count="1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9">
    <xf numFmtId="0" fontId="0" fillId="0" borderId="0"/>
    <xf numFmtId="43" fontId="1" fillId="0" borderId="0" applyFont="0" applyFill="0" applyBorder="0" applyAlignment="0" applyProtection="0"/>
    <xf numFmtId="0" fontId="3" fillId="0" borderId="0"/>
    <xf numFmtId="0" fontId="3" fillId="0" borderId="0"/>
    <xf numFmtId="0" fontId="4" fillId="0" borderId="0"/>
    <xf numFmtId="0" fontId="7" fillId="2" borderId="1" applyNumberFormat="0" applyAlignment="0" applyProtection="0"/>
    <xf numFmtId="9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70" fontId="9" fillId="0" borderId="0">
      <alignment horizontal="left" vertical="center"/>
    </xf>
    <xf numFmtId="0" fontId="10" fillId="0" borderId="0" applyNumberFormat="0" applyFill="0" applyBorder="0" applyAlignment="0" applyProtection="0">
      <alignment vertical="top"/>
      <protection locked="0"/>
    </xf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70" fontId="11" fillId="0" borderId="0" applyFill="0" applyBorder="0" applyAlignment="0" applyProtection="0"/>
    <xf numFmtId="0" fontId="4" fillId="0" borderId="0"/>
    <xf numFmtId="0" fontId="12" fillId="0" borderId="0"/>
    <xf numFmtId="9" fontId="1" fillId="0" borderId="0" applyFont="0" applyFill="0" applyBorder="0" applyAlignment="0" applyProtection="0"/>
  </cellStyleXfs>
  <cellXfs count="714">
    <xf numFmtId="0" fontId="0" fillId="0" borderId="0" xfId="0"/>
    <xf numFmtId="0" fontId="1" fillId="0" borderId="0" xfId="2" applyFont="1" applyFill="1" applyBorder="1"/>
    <xf numFmtId="0" fontId="1" fillId="0" borderId="0" xfId="2" applyFont="1" applyFill="1" applyBorder="1" applyAlignment="1">
      <alignment horizontal="center"/>
    </xf>
    <xf numFmtId="0" fontId="0" fillId="0" borderId="0" xfId="2" applyFont="1" applyFill="1" applyBorder="1" applyAlignment="1">
      <alignment horizontal="center"/>
    </xf>
    <xf numFmtId="0" fontId="0" fillId="0" borderId="0" xfId="0" applyFont="1"/>
    <xf numFmtId="0" fontId="0" fillId="0" borderId="0" xfId="2" applyFont="1" applyFill="1" applyBorder="1"/>
    <xf numFmtId="0" fontId="1" fillId="0" borderId="0" xfId="3" applyFont="1"/>
    <xf numFmtId="0" fontId="1" fillId="0" borderId="0" xfId="2" applyFont="1"/>
    <xf numFmtId="0" fontId="0" fillId="0" borderId="0" xfId="0" applyFont="1" applyFill="1"/>
    <xf numFmtId="3" fontId="0" fillId="0" borderId="0" xfId="0" applyNumberFormat="1" applyFont="1"/>
    <xf numFmtId="0" fontId="0" fillId="0" borderId="0" xfId="0" applyAlignment="1">
      <alignment horizontal="center" vertical="center"/>
    </xf>
    <xf numFmtId="0" fontId="0" fillId="3" borderId="0" xfId="0" applyFill="1"/>
    <xf numFmtId="166" fontId="0" fillId="0" borderId="0" xfId="0" applyNumberFormat="1" applyFont="1"/>
    <xf numFmtId="167" fontId="0" fillId="4" borderId="0" xfId="0" applyNumberFormat="1" applyFont="1" applyFill="1"/>
    <xf numFmtId="0" fontId="0" fillId="4" borderId="0" xfId="0" applyFont="1" applyFill="1"/>
    <xf numFmtId="3" fontId="0" fillId="5" borderId="0" xfId="0" applyNumberFormat="1" applyFont="1" applyFill="1"/>
    <xf numFmtId="0" fontId="0" fillId="5" borderId="0" xfId="0" applyFill="1"/>
    <xf numFmtId="0" fontId="0" fillId="5" borderId="0" xfId="0" applyFont="1" applyFill="1"/>
    <xf numFmtId="0" fontId="4" fillId="0" borderId="0" xfId="4" applyFont="1"/>
    <xf numFmtId="2" fontId="4" fillId="0" borderId="0" xfId="4" applyNumberFormat="1" applyFont="1" applyFill="1" applyBorder="1"/>
    <xf numFmtId="0" fontId="4" fillId="0" borderId="0" xfId="4" applyFont="1" applyBorder="1"/>
    <xf numFmtId="0" fontId="4" fillId="0" borderId="0" xfId="4" applyFont="1" applyFill="1"/>
    <xf numFmtId="1" fontId="4" fillId="0" borderId="0" xfId="4" applyNumberFormat="1" applyFont="1"/>
    <xf numFmtId="167" fontId="4" fillId="0" borderId="0" xfId="4" applyNumberFormat="1" applyFont="1"/>
    <xf numFmtId="0" fontId="4" fillId="0" borderId="0" xfId="4" applyFont="1" applyFill="1" applyBorder="1"/>
    <xf numFmtId="169" fontId="4" fillId="0" borderId="0" xfId="4" applyNumberFormat="1" applyFont="1" applyFill="1" applyBorder="1"/>
    <xf numFmtId="0" fontId="4" fillId="0" borderId="8" xfId="4" applyFont="1" applyFill="1" applyBorder="1" applyAlignment="1">
      <alignment horizontal="center"/>
    </xf>
    <xf numFmtId="0" fontId="4" fillId="0" borderId="0" xfId="4" applyFont="1" applyFill="1" applyBorder="1" applyAlignment="1">
      <alignment horizontal="center"/>
    </xf>
    <xf numFmtId="0" fontId="4" fillId="0" borderId="0" xfId="4" applyFont="1" applyAlignment="1">
      <alignment horizontal="center"/>
    </xf>
    <xf numFmtId="1" fontId="4" fillId="0" borderId="0" xfId="4" applyNumberFormat="1" applyFont="1" applyFill="1" applyBorder="1" applyAlignment="1">
      <alignment horizontal="center"/>
    </xf>
    <xf numFmtId="167" fontId="4" fillId="0" borderId="0" xfId="4" applyNumberFormat="1" applyFont="1" applyFill="1" applyBorder="1" applyAlignment="1">
      <alignment horizontal="center"/>
    </xf>
    <xf numFmtId="0" fontId="4" fillId="0" borderId="0" xfId="4" applyFont="1" applyAlignment="1">
      <alignment horizontal="center" wrapText="1"/>
    </xf>
    <xf numFmtId="1" fontId="4" fillId="0" borderId="0" xfId="4" applyNumberFormat="1" applyFont="1" applyAlignment="1">
      <alignment horizontal="center"/>
    </xf>
    <xf numFmtId="9" fontId="4" fillId="0" borderId="0" xfId="6" applyFont="1" applyAlignment="1">
      <alignment horizontal="center"/>
    </xf>
    <xf numFmtId="2" fontId="4" fillId="0" borderId="0" xfId="4" applyNumberFormat="1" applyFont="1" applyFill="1" applyBorder="1" applyAlignment="1">
      <alignment horizontal="center"/>
    </xf>
    <xf numFmtId="171" fontId="4" fillId="0" borderId="0" xfId="4" applyNumberFormat="1" applyFont="1"/>
    <xf numFmtId="169" fontId="4" fillId="0" borderId="0" xfId="4" applyNumberFormat="1" applyFont="1"/>
    <xf numFmtId="2" fontId="4" fillId="0" borderId="0" xfId="4" applyNumberFormat="1" applyFont="1"/>
    <xf numFmtId="9" fontId="4" fillId="0" borderId="0" xfId="4" applyNumberFormat="1" applyFont="1" applyFill="1" applyBorder="1" applyAlignment="1">
      <alignment horizontal="center"/>
    </xf>
    <xf numFmtId="0" fontId="2" fillId="0" borderId="0" xfId="4" applyFont="1" applyFill="1" applyBorder="1" applyAlignment="1">
      <alignment horizontal="center" vertical="center" wrapText="1"/>
    </xf>
    <xf numFmtId="0" fontId="15" fillId="0" borderId="0" xfId="4" applyFont="1" applyFill="1" applyBorder="1" applyAlignment="1">
      <alignment horizontal="center"/>
    </xf>
    <xf numFmtId="167" fontId="1" fillId="0" borderId="0" xfId="4" applyNumberFormat="1" applyFont="1" applyFill="1" applyBorder="1" applyAlignment="1">
      <alignment horizontal="center"/>
    </xf>
    <xf numFmtId="9" fontId="1" fillId="0" borderId="0" xfId="6" applyNumberFormat="1" applyFont="1" applyFill="1" applyBorder="1" applyAlignment="1">
      <alignment horizontal="center"/>
    </xf>
    <xf numFmtId="0" fontId="15" fillId="0" borderId="0" xfId="4" applyFont="1"/>
    <xf numFmtId="0" fontId="4" fillId="0" borderId="4" xfId="4" applyFont="1" applyBorder="1" applyAlignment="1">
      <alignment horizontal="center"/>
    </xf>
    <xf numFmtId="0" fontId="4" fillId="0" borderId="0" xfId="4" applyFont="1" applyBorder="1" applyAlignment="1">
      <alignment horizontal="center" vertical="center"/>
    </xf>
    <xf numFmtId="171" fontId="4" fillId="0" borderId="0" xfId="4" applyNumberFormat="1" applyFont="1" applyAlignment="1">
      <alignment horizontal="center"/>
    </xf>
    <xf numFmtId="1" fontId="0" fillId="0" borderId="0" xfId="0" applyNumberFormat="1"/>
    <xf numFmtId="2" fontId="0" fillId="0" borderId="0" xfId="0" applyNumberFormat="1"/>
    <xf numFmtId="0" fontId="4" fillId="0" borderId="4" xfId="4" applyFon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4" fillId="0" borderId="7" xfId="4" applyFont="1" applyFill="1" applyBorder="1" applyAlignment="1">
      <alignment horizontal="center"/>
    </xf>
    <xf numFmtId="0" fontId="13" fillId="0" borderId="0" xfId="4" applyFont="1" applyFill="1" applyBorder="1" applyAlignment="1">
      <alignment vertical="center" wrapText="1"/>
    </xf>
    <xf numFmtId="0" fontId="4" fillId="3" borderId="0" xfId="4" applyFont="1" applyFill="1"/>
    <xf numFmtId="0" fontId="4" fillId="3" borderId="0" xfId="4" applyFont="1" applyFill="1" applyBorder="1" applyAlignment="1">
      <alignment horizontal="center"/>
    </xf>
    <xf numFmtId="171" fontId="4" fillId="3" borderId="0" xfId="4" applyNumberFormat="1" applyFont="1" applyFill="1" applyAlignment="1">
      <alignment horizontal="center"/>
    </xf>
    <xf numFmtId="0" fontId="16" fillId="0" borderId="0" xfId="0" applyFont="1"/>
    <xf numFmtId="0" fontId="0" fillId="0" borderId="4" xfId="0" applyBorder="1"/>
    <xf numFmtId="0" fontId="0" fillId="0" borderId="8" xfId="0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2" fontId="0" fillId="3" borderId="0" xfId="0" applyNumberFormat="1" applyFill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3" borderId="4" xfId="0" applyNumberFormat="1" applyFill="1" applyBorder="1" applyAlignment="1">
      <alignment horizontal="center" vertical="center"/>
    </xf>
    <xf numFmtId="2" fontId="0" fillId="0" borderId="4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/>
    <xf numFmtId="0" fontId="0" fillId="3" borderId="3" xfId="0" applyFill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4" xfId="0" applyFont="1" applyBorder="1"/>
    <xf numFmtId="0" fontId="2" fillId="0" borderId="6" xfId="0" applyFont="1" applyBorder="1" applyAlignment="1">
      <alignment horizontal="center" vertical="center"/>
    </xf>
    <xf numFmtId="0" fontId="0" fillId="3" borderId="0" xfId="0" applyFill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7" xfId="0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3" borderId="10" xfId="0" applyFill="1" applyBorder="1" applyAlignment="1">
      <alignment horizontal="center" vertical="center"/>
    </xf>
    <xf numFmtId="2" fontId="0" fillId="3" borderId="0" xfId="0" applyNumberForma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2" fontId="0" fillId="0" borderId="0" xfId="0" applyNumberFormat="1" applyBorder="1" applyAlignment="1">
      <alignment horizontal="center" vertical="center"/>
    </xf>
    <xf numFmtId="0" fontId="0" fillId="6" borderId="0" xfId="0" applyFill="1"/>
    <xf numFmtId="167" fontId="4" fillId="0" borderId="0" xfId="6" applyNumberFormat="1" applyFont="1" applyFill="1" applyBorder="1" applyAlignment="1">
      <alignment horizontal="center"/>
    </xf>
    <xf numFmtId="0" fontId="2" fillId="0" borderId="0" xfId="4" applyFont="1" applyFill="1" applyBorder="1" applyAlignment="1">
      <alignment horizontal="center" vertical="center" wrapText="1"/>
    </xf>
    <xf numFmtId="167" fontId="1" fillId="0" borderId="0" xfId="4" applyNumberFormat="1" applyFont="1" applyFill="1" applyBorder="1" applyAlignment="1">
      <alignment horizontal="center" vertical="center" wrapText="1"/>
    </xf>
    <xf numFmtId="0" fontId="4" fillId="0" borderId="4" xfId="4" applyFont="1" applyFill="1" applyBorder="1" applyAlignment="1">
      <alignment horizontal="center"/>
    </xf>
    <xf numFmtId="0" fontId="2" fillId="0" borderId="8" xfId="4" applyFont="1" applyFill="1" applyBorder="1" applyAlignment="1">
      <alignment horizontal="center" vertical="center" wrapText="1"/>
    </xf>
    <xf numFmtId="167" fontId="4" fillId="0" borderId="4" xfId="4" applyNumberFormat="1" applyFont="1" applyFill="1" applyBorder="1" applyAlignment="1">
      <alignment horizontal="center"/>
    </xf>
    <xf numFmtId="2" fontId="4" fillId="0" borderId="4" xfId="4" applyNumberFormat="1" applyFont="1" applyFill="1" applyBorder="1" applyAlignment="1">
      <alignment horizontal="center"/>
    </xf>
    <xf numFmtId="0" fontId="15" fillId="0" borderId="8" xfId="4" applyFont="1" applyFill="1" applyBorder="1" applyAlignment="1">
      <alignment horizontal="center"/>
    </xf>
    <xf numFmtId="0" fontId="15" fillId="0" borderId="7" xfId="4" applyFont="1" applyFill="1" applyBorder="1" applyAlignment="1">
      <alignment horizontal="center"/>
    </xf>
    <xf numFmtId="167" fontId="4" fillId="3" borderId="0" xfId="6" applyNumberFormat="1" applyFont="1" applyFill="1" applyBorder="1" applyAlignment="1">
      <alignment horizontal="center"/>
    </xf>
    <xf numFmtId="167" fontId="1" fillId="3" borderId="0" xfId="4" applyNumberFormat="1" applyFont="1" applyFill="1" applyBorder="1" applyAlignment="1">
      <alignment horizontal="center" vertical="center" wrapText="1"/>
    </xf>
    <xf numFmtId="49" fontId="4" fillId="0" borderId="0" xfId="4" applyNumberFormat="1" applyFont="1" applyFill="1" applyBorder="1" applyAlignment="1">
      <alignment horizontal="center"/>
    </xf>
    <xf numFmtId="0" fontId="4" fillId="0" borderId="8" xfId="4" applyFont="1" applyFill="1" applyBorder="1" applyAlignment="1">
      <alignment horizontal="center"/>
    </xf>
    <xf numFmtId="0" fontId="17" fillId="0" borderId="0" xfId="4" applyFont="1"/>
    <xf numFmtId="0" fontId="2" fillId="0" borderId="0" xfId="4" applyFont="1" applyFill="1" applyBorder="1" applyAlignment="1"/>
    <xf numFmtId="9" fontId="1" fillId="0" borderId="0" xfId="6" applyNumberFormat="1" applyFont="1" applyFill="1" applyBorder="1" applyAlignment="1"/>
    <xf numFmtId="0" fontId="4" fillId="0" borderId="0" xfId="4" applyFont="1" applyFill="1" applyBorder="1" applyAlignment="1"/>
    <xf numFmtId="0" fontId="4" fillId="0" borderId="0" xfId="4" applyFont="1" applyAlignment="1"/>
    <xf numFmtId="0" fontId="4" fillId="0" borderId="0" xfId="4" applyFont="1" applyFill="1" applyAlignment="1">
      <alignment horizontal="center"/>
    </xf>
    <xf numFmtId="0" fontId="17" fillId="0" borderId="0" xfId="4" applyFont="1" applyAlignment="1">
      <alignment horizontal="left"/>
    </xf>
    <xf numFmtId="0" fontId="4" fillId="0" borderId="0" xfId="4" applyFont="1" applyAlignment="1">
      <alignment horizontal="left"/>
    </xf>
    <xf numFmtId="0" fontId="4" fillId="0" borderId="0" xfId="4" applyFont="1" applyBorder="1" applyAlignment="1">
      <alignment horizontal="center"/>
    </xf>
    <xf numFmtId="0" fontId="15" fillId="0" borderId="0" xfId="4" applyFont="1" applyAlignment="1">
      <alignment horizontal="left"/>
    </xf>
    <xf numFmtId="2" fontId="4" fillId="0" borderId="0" xfId="4" applyNumberFormat="1" applyFont="1" applyBorder="1" applyAlignment="1">
      <alignment horizontal="center"/>
    </xf>
    <xf numFmtId="1" fontId="4" fillId="0" borderId="3" xfId="4" applyNumberFormat="1" applyFont="1" applyFill="1" applyBorder="1" applyAlignment="1">
      <alignment horizontal="center"/>
    </xf>
    <xf numFmtId="1" fontId="4" fillId="0" borderId="2" xfId="4" applyNumberFormat="1" applyFont="1" applyFill="1" applyBorder="1" applyAlignment="1">
      <alignment horizontal="center"/>
    </xf>
    <xf numFmtId="0" fontId="15" fillId="0" borderId="0" xfId="4" applyFont="1" applyAlignment="1">
      <alignment horizontal="center"/>
    </xf>
    <xf numFmtId="49" fontId="15" fillId="0" borderId="0" xfId="4" applyNumberFormat="1" applyFont="1" applyFill="1" applyBorder="1" applyAlignment="1">
      <alignment horizontal="center"/>
    </xf>
    <xf numFmtId="0" fontId="4" fillId="0" borderId="0" xfId="4" applyFont="1" applyBorder="1" applyAlignment="1">
      <alignment horizontal="center" wrapText="1"/>
    </xf>
    <xf numFmtId="167" fontId="4" fillId="0" borderId="8" xfId="4" applyNumberFormat="1" applyFont="1" applyFill="1" applyBorder="1" applyAlignment="1">
      <alignment horizontal="center"/>
    </xf>
    <xf numFmtId="167" fontId="4" fillId="0" borderId="7" xfId="4" applyNumberFormat="1" applyFont="1" applyFill="1" applyBorder="1" applyAlignment="1">
      <alignment horizontal="center"/>
    </xf>
    <xf numFmtId="2" fontId="4" fillId="0" borderId="8" xfId="4" applyNumberFormat="1" applyFont="1" applyFill="1" applyBorder="1" applyAlignment="1">
      <alignment horizontal="center"/>
    </xf>
    <xf numFmtId="9" fontId="1" fillId="0" borderId="4" xfId="6" applyFont="1" applyFill="1" applyBorder="1" applyAlignment="1">
      <alignment horizontal="center"/>
    </xf>
    <xf numFmtId="9" fontId="1" fillId="0" borderId="7" xfId="6" applyFont="1" applyFill="1" applyBorder="1" applyAlignment="1">
      <alignment horizontal="center"/>
    </xf>
    <xf numFmtId="49" fontId="4" fillId="0" borderId="4" xfId="4" applyNumberFormat="1" applyFont="1" applyFill="1" applyBorder="1" applyAlignment="1">
      <alignment horizontal="center"/>
    </xf>
    <xf numFmtId="1" fontId="4" fillId="0" borderId="4" xfId="4" applyNumberFormat="1" applyFont="1" applyFill="1" applyBorder="1" applyAlignment="1">
      <alignment horizontal="center"/>
    </xf>
    <xf numFmtId="2" fontId="4" fillId="0" borderId="7" xfId="4" applyNumberFormat="1" applyFont="1" applyFill="1" applyBorder="1" applyAlignment="1">
      <alignment horizontal="center"/>
    </xf>
    <xf numFmtId="1" fontId="4" fillId="0" borderId="8" xfId="4" applyNumberFormat="1" applyFont="1" applyFill="1" applyBorder="1" applyAlignment="1">
      <alignment horizontal="center"/>
    </xf>
    <xf numFmtId="1" fontId="4" fillId="0" borderId="7" xfId="4" applyNumberFormat="1" applyFont="1" applyFill="1" applyBorder="1" applyAlignment="1">
      <alignment horizontal="center"/>
    </xf>
    <xf numFmtId="0" fontId="16" fillId="0" borderId="0" xfId="4" applyFont="1" applyFill="1" applyBorder="1" applyAlignment="1">
      <alignment vertical="center" wrapText="1"/>
    </xf>
    <xf numFmtId="0" fontId="16" fillId="0" borderId="0" xfId="4" applyFont="1" applyFill="1" applyBorder="1" applyAlignment="1">
      <alignment vertical="center"/>
    </xf>
    <xf numFmtId="0" fontId="1" fillId="0" borderId="0" xfId="4" applyFont="1" applyFill="1" applyBorder="1" applyAlignment="1">
      <alignment vertical="center"/>
    </xf>
    <xf numFmtId="0" fontId="16" fillId="0" borderId="4" xfId="4" applyFont="1" applyFill="1" applyBorder="1" applyAlignment="1">
      <alignment vertical="center"/>
    </xf>
    <xf numFmtId="1" fontId="4" fillId="0" borderId="14" xfId="4" applyNumberFormat="1" applyFont="1" applyFill="1" applyBorder="1" applyAlignment="1">
      <alignment horizontal="center"/>
    </xf>
    <xf numFmtId="0" fontId="4" fillId="0" borderId="0" xfId="4" applyFont="1" applyBorder="1" applyAlignment="1">
      <alignment horizontal="left"/>
    </xf>
    <xf numFmtId="0" fontId="4" fillId="0" borderId="0" xfId="4" applyFont="1" applyAlignment="1">
      <alignment horizontal="center" vertical="center"/>
    </xf>
    <xf numFmtId="0" fontId="4" fillId="0" borderId="8" xfId="4" applyFont="1" applyBorder="1" applyAlignment="1">
      <alignment horizontal="center" vertical="center"/>
    </xf>
    <xf numFmtId="0" fontId="4" fillId="0" borderId="8" xfId="4" applyFont="1" applyBorder="1" applyAlignment="1">
      <alignment horizontal="center"/>
    </xf>
    <xf numFmtId="0" fontId="4" fillId="6" borderId="8" xfId="4" applyFont="1" applyFill="1" applyBorder="1" applyAlignment="1">
      <alignment horizontal="center"/>
    </xf>
    <xf numFmtId="167" fontId="4" fillId="0" borderId="0" xfId="4" applyNumberFormat="1" applyFont="1" applyBorder="1" applyAlignment="1">
      <alignment horizontal="center"/>
    </xf>
    <xf numFmtId="1" fontId="4" fillId="6" borderId="0" xfId="4" applyNumberFormat="1" applyFont="1" applyFill="1" applyBorder="1" applyAlignment="1">
      <alignment horizontal="center"/>
    </xf>
    <xf numFmtId="2" fontId="4" fillId="0" borderId="8" xfId="4" applyNumberFormat="1" applyFont="1" applyBorder="1" applyAlignment="1">
      <alignment horizontal="center"/>
    </xf>
    <xf numFmtId="167" fontId="4" fillId="0" borderId="8" xfId="4" applyNumberFormat="1" applyFont="1" applyBorder="1" applyAlignment="1">
      <alignment horizontal="center"/>
    </xf>
    <xf numFmtId="167" fontId="15" fillId="0" borderId="0" xfId="4" applyNumberFormat="1" applyFont="1" applyFill="1" applyBorder="1" applyAlignment="1">
      <alignment horizontal="center"/>
    </xf>
    <xf numFmtId="171" fontId="4" fillId="0" borderId="0" xfId="4" applyNumberFormat="1" applyFont="1" applyFill="1"/>
    <xf numFmtId="167" fontId="4" fillId="0" borderId="0" xfId="4" applyNumberFormat="1" applyFont="1" applyFill="1"/>
    <xf numFmtId="171" fontId="4" fillId="0" borderId="0" xfId="4" applyNumberFormat="1" applyFont="1" applyFill="1" applyBorder="1"/>
    <xf numFmtId="169" fontId="4" fillId="0" borderId="0" xfId="4" applyNumberFormat="1" applyFont="1" applyFill="1"/>
    <xf numFmtId="171" fontId="4" fillId="0" borderId="0" xfId="4" applyNumberFormat="1" applyFont="1" applyBorder="1" applyAlignment="1">
      <alignment horizontal="center"/>
    </xf>
    <xf numFmtId="167" fontId="4" fillId="8" borderId="0" xfId="4" applyNumberFormat="1" applyFont="1" applyFill="1" applyBorder="1" applyAlignment="1">
      <alignment horizontal="center"/>
    </xf>
    <xf numFmtId="2" fontId="4" fillId="8" borderId="0" xfId="4" applyNumberFormat="1" applyFont="1" applyFill="1" applyBorder="1" applyAlignment="1">
      <alignment horizontal="center"/>
    </xf>
    <xf numFmtId="171" fontId="4" fillId="0" borderId="8" xfId="4" applyNumberFormat="1" applyFont="1" applyBorder="1" applyAlignment="1">
      <alignment horizontal="center"/>
    </xf>
    <xf numFmtId="167" fontId="4" fillId="8" borderId="4" xfId="4" applyNumberFormat="1" applyFont="1" applyFill="1" applyBorder="1" applyAlignment="1">
      <alignment horizontal="center"/>
    </xf>
    <xf numFmtId="171" fontId="4" fillId="0" borderId="4" xfId="4" applyNumberFormat="1" applyFont="1" applyBorder="1" applyAlignment="1">
      <alignment horizontal="center"/>
    </xf>
    <xf numFmtId="171" fontId="4" fillId="0" borderId="7" xfId="4" applyNumberFormat="1" applyFont="1" applyBorder="1" applyAlignment="1">
      <alignment horizontal="center"/>
    </xf>
    <xf numFmtId="167" fontId="4" fillId="8" borderId="3" xfId="4" applyNumberFormat="1" applyFont="1" applyFill="1" applyBorder="1" applyAlignment="1">
      <alignment horizontal="center"/>
    </xf>
    <xf numFmtId="2" fontId="4" fillId="0" borderId="4" xfId="4" applyNumberFormat="1" applyFont="1" applyBorder="1" applyAlignment="1">
      <alignment horizontal="center"/>
    </xf>
    <xf numFmtId="167" fontId="4" fillId="0" borderId="4" xfId="4" applyNumberFormat="1" applyFont="1" applyBorder="1" applyAlignment="1">
      <alignment horizontal="center"/>
    </xf>
    <xf numFmtId="167" fontId="4" fillId="0" borderId="7" xfId="4" applyNumberFormat="1" applyFont="1" applyBorder="1" applyAlignment="1">
      <alignment horizontal="center"/>
    </xf>
    <xf numFmtId="2" fontId="4" fillId="0" borderId="7" xfId="4" applyNumberFormat="1" applyFont="1" applyBorder="1" applyAlignment="1">
      <alignment horizontal="center"/>
    </xf>
    <xf numFmtId="0" fontId="4" fillId="0" borderId="2" xfId="4" applyFont="1" applyFill="1" applyBorder="1" applyAlignment="1">
      <alignment horizontal="center"/>
    </xf>
    <xf numFmtId="0" fontId="4" fillId="0" borderId="14" xfId="4" applyFont="1" applyFill="1" applyBorder="1" applyAlignment="1">
      <alignment horizontal="center"/>
    </xf>
    <xf numFmtId="2" fontId="4" fillId="0" borderId="14" xfId="4" applyNumberFormat="1" applyFont="1" applyFill="1" applyBorder="1" applyAlignment="1">
      <alignment horizontal="center"/>
    </xf>
    <xf numFmtId="2" fontId="4" fillId="0" borderId="0" xfId="6" applyNumberFormat="1" applyFont="1" applyFill="1" applyBorder="1" applyAlignment="1">
      <alignment horizontal="center"/>
    </xf>
    <xf numFmtId="1" fontId="4" fillId="0" borderId="0" xfId="4" applyNumberFormat="1" applyFont="1" applyFill="1" applyBorder="1" applyAlignment="1">
      <alignment horizontal="center" vertical="center"/>
    </xf>
    <xf numFmtId="1" fontId="4" fillId="0" borderId="8" xfId="4" applyNumberFormat="1" applyFont="1" applyFill="1" applyBorder="1" applyAlignment="1">
      <alignment horizontal="center" vertical="center"/>
    </xf>
    <xf numFmtId="167" fontId="4" fillId="0" borderId="0" xfId="4" applyNumberFormat="1" applyFont="1" applyFill="1" applyBorder="1" applyAlignment="1">
      <alignment horizontal="center" vertical="center"/>
    </xf>
    <xf numFmtId="167" fontId="4" fillId="0" borderId="8" xfId="4" applyNumberFormat="1" applyFont="1" applyFill="1" applyBorder="1" applyAlignment="1">
      <alignment horizontal="center" vertical="center"/>
    </xf>
    <xf numFmtId="2" fontId="4" fillId="0" borderId="0" xfId="4" applyNumberFormat="1" applyFont="1" applyFill="1" applyBorder="1" applyAlignment="1">
      <alignment horizontal="center" vertical="center"/>
    </xf>
    <xf numFmtId="2" fontId="4" fillId="0" borderId="8" xfId="4" applyNumberFormat="1" applyFont="1" applyFill="1" applyBorder="1" applyAlignment="1">
      <alignment horizontal="center" vertical="center"/>
    </xf>
    <xf numFmtId="167" fontId="4" fillId="0" borderId="3" xfId="4" applyNumberFormat="1" applyFont="1" applyFill="1" applyBorder="1" applyAlignment="1">
      <alignment horizontal="center" vertical="center"/>
    </xf>
    <xf numFmtId="167" fontId="4" fillId="0" borderId="4" xfId="4" applyNumberFormat="1" applyFont="1" applyFill="1" applyBorder="1" applyAlignment="1">
      <alignment horizontal="center" vertical="center"/>
    </xf>
    <xf numFmtId="167" fontId="4" fillId="0" borderId="7" xfId="4" applyNumberFormat="1" applyFont="1" applyFill="1" applyBorder="1" applyAlignment="1">
      <alignment horizontal="center" vertical="center"/>
    </xf>
    <xf numFmtId="2" fontId="4" fillId="0" borderId="4" xfId="4" applyNumberFormat="1" applyFont="1" applyFill="1" applyBorder="1" applyAlignment="1">
      <alignment horizontal="center" vertical="center"/>
    </xf>
    <xf numFmtId="2" fontId="4" fillId="0" borderId="7" xfId="4" applyNumberFormat="1" applyFont="1" applyFill="1" applyBorder="1" applyAlignment="1">
      <alignment horizontal="center" vertical="center"/>
    </xf>
    <xf numFmtId="0" fontId="1" fillId="0" borderId="0" xfId="2" applyFont="1" applyAlignment="1">
      <alignment horizontal="center"/>
    </xf>
    <xf numFmtId="0" fontId="1" fillId="7" borderId="0" xfId="2" applyFont="1" applyFill="1" applyAlignment="1">
      <alignment horizontal="center"/>
    </xf>
    <xf numFmtId="1" fontId="2" fillId="7" borderId="0" xfId="2" applyNumberFormat="1" applyFont="1" applyFill="1" applyBorder="1" applyAlignment="1"/>
    <xf numFmtId="0" fontId="1" fillId="0" borderId="0" xfId="2" applyFont="1" applyBorder="1"/>
    <xf numFmtId="0" fontId="1" fillId="0" borderId="0" xfId="2" applyFont="1" applyBorder="1" applyAlignment="1">
      <alignment horizontal="center"/>
    </xf>
    <xf numFmtId="0" fontId="1" fillId="7" borderId="0" xfId="2" applyFont="1" applyFill="1" applyBorder="1" applyAlignment="1">
      <alignment horizontal="center"/>
    </xf>
    <xf numFmtId="1" fontId="16" fillId="7" borderId="0" xfId="2" applyNumberFormat="1" applyFont="1" applyFill="1" applyBorder="1" applyAlignment="1"/>
    <xf numFmtId="1" fontId="1" fillId="7" borderId="4" xfId="2" applyNumberFormat="1" applyFont="1" applyFill="1" applyBorder="1" applyAlignment="1">
      <alignment horizontal="center"/>
    </xf>
    <xf numFmtId="0" fontId="1" fillId="7" borderId="2" xfId="2" applyFont="1" applyFill="1" applyBorder="1" applyAlignment="1">
      <alignment horizontal="center"/>
    </xf>
    <xf numFmtId="0" fontId="1" fillId="0" borderId="2" xfId="2" applyFont="1" applyBorder="1" applyAlignment="1">
      <alignment horizontal="center"/>
    </xf>
    <xf numFmtId="0" fontId="1" fillId="0" borderId="2" xfId="2" applyFont="1" applyBorder="1"/>
    <xf numFmtId="0" fontId="0" fillId="7" borderId="0" xfId="2" applyFont="1" applyFill="1" applyBorder="1" applyAlignment="1">
      <alignment horizontal="center"/>
    </xf>
    <xf numFmtId="0" fontId="0" fillId="7" borderId="7" xfId="2" applyFont="1" applyFill="1" applyBorder="1" applyAlignment="1">
      <alignment horizontal="center"/>
    </xf>
    <xf numFmtId="0" fontId="0" fillId="0" borderId="0" xfId="2" applyFont="1" applyBorder="1" applyAlignment="1">
      <alignment horizontal="center"/>
    </xf>
    <xf numFmtId="0" fontId="0" fillId="0" borderId="0" xfId="0" applyFont="1" applyBorder="1"/>
    <xf numFmtId="2" fontId="0" fillId="0" borderId="0" xfId="0" applyNumberFormat="1" applyFont="1"/>
    <xf numFmtId="167" fontId="0" fillId="0" borderId="0" xfId="0" applyNumberFormat="1" applyFont="1"/>
    <xf numFmtId="0" fontId="18" fillId="0" borderId="0" xfId="2" applyFont="1" applyBorder="1" applyAlignment="1">
      <alignment horizontal="center" vertical="center"/>
    </xf>
    <xf numFmtId="0" fontId="0" fillId="0" borderId="0" xfId="2" applyFont="1" applyBorder="1" applyAlignment="1">
      <alignment horizontal="center" vertical="center"/>
    </xf>
    <xf numFmtId="167" fontId="0" fillId="0" borderId="0" xfId="0" applyNumberFormat="1" applyFont="1" applyAlignment="1">
      <alignment horizontal="center" vertical="center"/>
    </xf>
    <xf numFmtId="0" fontId="0" fillId="0" borderId="4" xfId="2" applyFont="1" applyBorder="1" applyAlignment="1">
      <alignment horizontal="center" vertical="center" wrapText="1"/>
    </xf>
    <xf numFmtId="0" fontId="1" fillId="0" borderId="4" xfId="2" applyFont="1" applyBorder="1" applyAlignment="1">
      <alignment horizontal="center" vertical="center" wrapText="1"/>
    </xf>
    <xf numFmtId="0" fontId="1" fillId="0" borderId="7" xfId="2" applyFont="1" applyBorder="1" applyAlignment="1">
      <alignment horizontal="center" vertical="center" wrapText="1"/>
    </xf>
    <xf numFmtId="167" fontId="0" fillId="0" borderId="14" xfId="0" applyNumberFormat="1" applyFont="1" applyBorder="1" applyAlignment="1">
      <alignment horizontal="center" vertical="center"/>
    </xf>
    <xf numFmtId="167" fontId="0" fillId="0" borderId="8" xfId="0" applyNumberFormat="1" applyFont="1" applyBorder="1" applyAlignment="1">
      <alignment horizontal="center" vertical="center"/>
    </xf>
    <xf numFmtId="0" fontId="0" fillId="0" borderId="8" xfId="2" applyFont="1" applyBorder="1" applyAlignment="1">
      <alignment horizontal="center" vertical="center"/>
    </xf>
    <xf numFmtId="0" fontId="0" fillId="0" borderId="7" xfId="2" applyFont="1" applyBorder="1" applyAlignment="1">
      <alignment horizontal="center" vertical="center" wrapText="1"/>
    </xf>
    <xf numFmtId="0" fontId="0" fillId="0" borderId="4" xfId="2" applyFont="1" applyBorder="1" applyAlignment="1">
      <alignment horizontal="center" vertical="center"/>
    </xf>
    <xf numFmtId="0" fontId="0" fillId="0" borderId="7" xfId="2" applyFont="1" applyBorder="1" applyAlignment="1">
      <alignment horizontal="center" vertical="center"/>
    </xf>
    <xf numFmtId="167" fontId="0" fillId="0" borderId="4" xfId="0" applyNumberFormat="1" applyFont="1" applyBorder="1" applyAlignment="1">
      <alignment horizontal="center" vertical="center"/>
    </xf>
    <xf numFmtId="167" fontId="0" fillId="0" borderId="7" xfId="0" applyNumberFormat="1" applyFont="1" applyBorder="1" applyAlignment="1">
      <alignment horizontal="center" vertical="center"/>
    </xf>
    <xf numFmtId="167" fontId="0" fillId="0" borderId="3" xfId="0" applyNumberFormat="1" applyFont="1" applyBorder="1" applyAlignment="1">
      <alignment horizontal="center" vertical="center"/>
    </xf>
    <xf numFmtId="0" fontId="1" fillId="0" borderId="0" xfId="4" applyFont="1"/>
    <xf numFmtId="0" fontId="1" fillId="0" borderId="0" xfId="4" applyFont="1" applyAlignment="1">
      <alignment horizontal="center"/>
    </xf>
    <xf numFmtId="49" fontId="2" fillId="0" borderId="0" xfId="4" applyNumberFormat="1" applyFont="1" applyFill="1" applyBorder="1" applyAlignment="1">
      <alignment horizontal="center"/>
    </xf>
    <xf numFmtId="0" fontId="1" fillId="0" borderId="0" xfId="4" applyFont="1" applyFill="1" applyBorder="1" applyAlignment="1">
      <alignment horizontal="center"/>
    </xf>
    <xf numFmtId="0" fontId="1" fillId="0" borderId="0" xfId="4" applyFont="1" applyBorder="1"/>
    <xf numFmtId="2" fontId="1" fillId="0" borderId="0" xfId="4" applyNumberFormat="1" applyFont="1" applyFill="1" applyBorder="1" applyAlignment="1">
      <alignment horizontal="center"/>
    </xf>
    <xf numFmtId="0" fontId="1" fillId="0" borderId="0" xfId="4" applyFont="1" applyFill="1" applyBorder="1"/>
    <xf numFmtId="0" fontId="1" fillId="0" borderId="0" xfId="4" applyFont="1" applyFill="1"/>
    <xf numFmtId="167" fontId="1" fillId="0" borderId="0" xfId="4" applyNumberFormat="1" applyFont="1" applyFill="1" applyBorder="1" applyAlignment="1"/>
    <xf numFmtId="0" fontId="1" fillId="0" borderId="0" xfId="4" applyFont="1" applyFill="1" applyBorder="1" applyAlignment="1"/>
    <xf numFmtId="2" fontId="1" fillId="0" borderId="0" xfId="4" applyNumberFormat="1" applyFont="1" applyFill="1" applyBorder="1" applyAlignment="1"/>
    <xf numFmtId="1" fontId="1" fillId="0" borderId="0" xfId="4" applyNumberFormat="1" applyFont="1" applyFill="1" applyBorder="1" applyAlignment="1"/>
    <xf numFmtId="167" fontId="1" fillId="0" borderId="0" xfId="4" applyNumberFormat="1" applyFont="1" applyFill="1" applyBorder="1" applyAlignment="1">
      <alignment wrapText="1"/>
    </xf>
    <xf numFmtId="169" fontId="1" fillId="0" borderId="0" xfId="4" applyNumberFormat="1" applyFont="1" applyFill="1" applyBorder="1" applyAlignment="1"/>
    <xf numFmtId="167" fontId="1" fillId="0" borderId="4" xfId="4" applyNumberFormat="1" applyFont="1" applyFill="1" applyBorder="1" applyAlignment="1"/>
    <xf numFmtId="0" fontId="1" fillId="0" borderId="4" xfId="4" applyFont="1" applyFill="1" applyBorder="1" applyAlignment="1">
      <alignment horizontal="center"/>
    </xf>
    <xf numFmtId="0" fontId="1" fillId="0" borderId="3" xfId="4" applyFont="1" applyFill="1" applyBorder="1" applyAlignment="1">
      <alignment horizontal="center" wrapText="1"/>
    </xf>
    <xf numFmtId="2" fontId="1" fillId="0" borderId="4" xfId="4" applyNumberFormat="1" applyFont="1" applyFill="1" applyBorder="1" applyAlignment="1">
      <alignment horizontal="center"/>
    </xf>
    <xf numFmtId="167" fontId="0" fillId="0" borderId="8" xfId="4" applyNumberFormat="1" applyFont="1" applyFill="1" applyBorder="1" applyAlignment="1"/>
    <xf numFmtId="167" fontId="1" fillId="0" borderId="8" xfId="4" applyNumberFormat="1" applyFont="1" applyFill="1" applyBorder="1" applyAlignment="1"/>
    <xf numFmtId="0" fontId="0" fillId="0" borderId="7" xfId="4" applyFont="1" applyFill="1" applyBorder="1" applyAlignment="1">
      <alignment horizontal="left" vertical="top"/>
    </xf>
    <xf numFmtId="0" fontId="16" fillId="0" borderId="0" xfId="4" applyFont="1" applyFill="1" applyBorder="1"/>
    <xf numFmtId="167" fontId="0" fillId="3" borderId="8" xfId="4" applyNumberFormat="1" applyFont="1" applyFill="1" applyBorder="1" applyAlignment="1">
      <alignment wrapText="1"/>
    </xf>
    <xf numFmtId="0" fontId="1" fillId="3" borderId="0" xfId="4" applyFont="1" applyFill="1" applyBorder="1" applyAlignment="1">
      <alignment horizontal="center"/>
    </xf>
    <xf numFmtId="2" fontId="1" fillId="3" borderId="0" xfId="4" applyNumberFormat="1" applyFont="1" applyFill="1" applyBorder="1" applyAlignment="1">
      <alignment horizontal="center"/>
    </xf>
    <xf numFmtId="167" fontId="1" fillId="3" borderId="8" xfId="4" applyNumberFormat="1" applyFont="1" applyFill="1" applyBorder="1" applyAlignment="1">
      <alignment wrapText="1"/>
    </xf>
    <xf numFmtId="167" fontId="1" fillId="3" borderId="7" xfId="4" applyNumberFormat="1" applyFont="1" applyFill="1" applyBorder="1" applyAlignment="1">
      <alignment wrapText="1"/>
    </xf>
    <xf numFmtId="0" fontId="1" fillId="3" borderId="4" xfId="4" applyFont="1" applyFill="1" applyBorder="1" applyAlignment="1"/>
    <xf numFmtId="2" fontId="1" fillId="3" borderId="4" xfId="4" applyNumberFormat="1" applyFont="1" applyFill="1" applyBorder="1" applyAlignment="1">
      <alignment horizontal="center"/>
    </xf>
    <xf numFmtId="0" fontId="0" fillId="0" borderId="0" xfId="4" applyFont="1" applyFill="1" applyBorder="1"/>
    <xf numFmtId="167" fontId="0" fillId="0" borderId="0" xfId="0" applyNumberFormat="1" applyFont="1" applyAlignment="1">
      <alignment horizontal="center"/>
    </xf>
    <xf numFmtId="2" fontId="0" fillId="0" borderId="0" xfId="0" applyNumberFormat="1" applyFont="1" applyAlignment="1">
      <alignment horizontal="center"/>
    </xf>
    <xf numFmtId="0" fontId="0" fillId="0" borderId="4" xfId="2" applyFont="1" applyBorder="1" applyAlignment="1">
      <alignment horizontal="center" wrapText="1"/>
    </xf>
    <xf numFmtId="2" fontId="0" fillId="0" borderId="4" xfId="0" applyNumberFormat="1" applyFont="1" applyBorder="1" applyAlignment="1">
      <alignment horizontal="center"/>
    </xf>
    <xf numFmtId="167" fontId="0" fillId="0" borderId="4" xfId="0" applyNumberFormat="1" applyFont="1" applyBorder="1" applyAlignment="1">
      <alignment horizontal="center"/>
    </xf>
    <xf numFmtId="0" fontId="0" fillId="0" borderId="8" xfId="0" applyFont="1" applyBorder="1" applyAlignment="1">
      <alignment horizontal="center" vertical="center"/>
    </xf>
    <xf numFmtId="0" fontId="0" fillId="0" borderId="7" xfId="0" applyFont="1" applyBorder="1" applyAlignment="1">
      <alignment horizontal="center" vertical="center"/>
    </xf>
    <xf numFmtId="2" fontId="0" fillId="0" borderId="8" xfId="0" applyNumberFormat="1" applyFont="1" applyBorder="1" applyAlignment="1">
      <alignment horizontal="center" vertical="center"/>
    </xf>
    <xf numFmtId="2" fontId="0" fillId="0" borderId="7" xfId="0" applyNumberFormat="1" applyFont="1" applyBorder="1" applyAlignment="1">
      <alignment horizontal="center" vertical="center"/>
    </xf>
    <xf numFmtId="0" fontId="0" fillId="0" borderId="7" xfId="2" applyFont="1" applyBorder="1" applyAlignment="1">
      <alignment horizontal="center" wrapText="1"/>
    </xf>
    <xf numFmtId="167" fontId="0" fillId="0" borderId="8" xfId="0" applyNumberFormat="1" applyFont="1" applyBorder="1" applyAlignment="1">
      <alignment horizontal="center"/>
    </xf>
    <xf numFmtId="167" fontId="0" fillId="0" borderId="7" xfId="0" applyNumberFormat="1" applyFont="1" applyBorder="1" applyAlignment="1">
      <alignment horizontal="center"/>
    </xf>
    <xf numFmtId="2" fontId="0" fillId="0" borderId="8" xfId="0" applyNumberFormat="1" applyFont="1" applyBorder="1" applyAlignment="1">
      <alignment horizontal="center"/>
    </xf>
    <xf numFmtId="2" fontId="0" fillId="0" borderId="7" xfId="0" applyNumberFormat="1" applyFont="1" applyBorder="1" applyAlignment="1">
      <alignment horizontal="center"/>
    </xf>
    <xf numFmtId="167" fontId="0" fillId="3" borderId="0" xfId="0" applyNumberFormat="1" applyFont="1" applyFill="1" applyAlignment="1">
      <alignment horizontal="center"/>
    </xf>
    <xf numFmtId="167" fontId="0" fillId="3" borderId="8" xfId="0" applyNumberFormat="1" applyFont="1" applyFill="1" applyBorder="1" applyAlignment="1">
      <alignment horizontal="center"/>
    </xf>
    <xf numFmtId="167" fontId="0" fillId="3" borderId="3" xfId="0" applyNumberFormat="1" applyFont="1" applyFill="1" applyBorder="1" applyAlignment="1">
      <alignment horizontal="center"/>
    </xf>
    <xf numFmtId="167" fontId="0" fillId="3" borderId="4" xfId="0" applyNumberFormat="1" applyFont="1" applyFill="1" applyBorder="1" applyAlignment="1">
      <alignment horizontal="center"/>
    </xf>
    <xf numFmtId="167" fontId="0" fillId="3" borderId="7" xfId="0" applyNumberFormat="1" applyFont="1" applyFill="1" applyBorder="1" applyAlignment="1">
      <alignment horizontal="center"/>
    </xf>
    <xf numFmtId="0" fontId="0" fillId="0" borderId="4" xfId="0" applyFont="1" applyBorder="1"/>
    <xf numFmtId="0" fontId="1" fillId="0" borderId="3" xfId="2" applyFont="1" applyBorder="1" applyAlignment="1">
      <alignment horizontal="center" wrapText="1"/>
    </xf>
    <xf numFmtId="0" fontId="1" fillId="0" borderId="4" xfId="2" applyFont="1" applyBorder="1" applyAlignment="1">
      <alignment horizontal="center" wrapText="1"/>
    </xf>
    <xf numFmtId="0" fontId="1" fillId="0" borderId="7" xfId="2" applyFont="1" applyBorder="1" applyAlignment="1">
      <alignment horizontal="center" wrapText="1"/>
    </xf>
    <xf numFmtId="0" fontId="0" fillId="0" borderId="8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2" fontId="0" fillId="0" borderId="14" xfId="0" applyNumberFormat="1" applyFont="1" applyBorder="1" applyAlignment="1">
      <alignment horizontal="center"/>
    </xf>
    <xf numFmtId="2" fontId="0" fillId="0" borderId="3" xfId="0" applyNumberFormat="1" applyFont="1" applyBorder="1" applyAlignment="1">
      <alignment horizontal="center"/>
    </xf>
    <xf numFmtId="0" fontId="0" fillId="0" borderId="2" xfId="0" applyFont="1" applyBorder="1"/>
    <xf numFmtId="0" fontId="0" fillId="3" borderId="11" xfId="0" applyFont="1" applyFill="1" applyBorder="1"/>
    <xf numFmtId="0" fontId="0" fillId="3" borderId="9" xfId="0" applyFont="1" applyFill="1" applyBorder="1"/>
    <xf numFmtId="0" fontId="0" fillId="3" borderId="13" xfId="0" applyFont="1" applyFill="1" applyBorder="1"/>
    <xf numFmtId="2" fontId="0" fillId="0" borderId="8" xfId="0" applyNumberFormat="1" applyFont="1" applyBorder="1"/>
    <xf numFmtId="2" fontId="0" fillId="0" borderId="3" xfId="0" applyNumberFormat="1" applyFont="1" applyBorder="1"/>
    <xf numFmtId="2" fontId="0" fillId="0" borderId="4" xfId="0" applyNumberFormat="1" applyFont="1" applyBorder="1"/>
    <xf numFmtId="2" fontId="0" fillId="0" borderId="7" xfId="0" applyNumberFormat="1" applyFont="1" applyBorder="1"/>
    <xf numFmtId="2" fontId="0" fillId="0" borderId="0" xfId="0" applyNumberFormat="1" applyFont="1" applyFill="1" applyBorder="1"/>
    <xf numFmtId="0" fontId="1" fillId="0" borderId="3" xfId="2" applyFont="1" applyBorder="1" applyAlignment="1">
      <alignment horizontal="center" vertical="center" wrapText="1"/>
    </xf>
    <xf numFmtId="2" fontId="1" fillId="0" borderId="4" xfId="2" applyNumberFormat="1" applyFont="1" applyBorder="1" applyAlignment="1">
      <alignment horizontal="center" wrapText="1"/>
    </xf>
    <xf numFmtId="0" fontId="0" fillId="9" borderId="0" xfId="0" applyFont="1" applyFill="1"/>
    <xf numFmtId="0" fontId="0" fillId="9" borderId="4" xfId="0" applyFont="1" applyFill="1" applyBorder="1"/>
    <xf numFmtId="167" fontId="0" fillId="0" borderId="0" xfId="0" applyNumberFormat="1" applyFont="1" applyFill="1" applyBorder="1" applyAlignment="1">
      <alignment horizontal="center" vertical="center"/>
    </xf>
    <xf numFmtId="167" fontId="0" fillId="0" borderId="14" xfId="0" applyNumberFormat="1" applyFont="1" applyFill="1" applyBorder="1" applyAlignment="1">
      <alignment horizontal="center" vertical="center"/>
    </xf>
    <xf numFmtId="167" fontId="0" fillId="0" borderId="8" xfId="0" applyNumberFormat="1" applyFont="1" applyFill="1" applyBorder="1" applyAlignment="1">
      <alignment horizontal="center" vertical="center"/>
    </xf>
    <xf numFmtId="167" fontId="0" fillId="0" borderId="3" xfId="0" applyNumberFormat="1" applyFont="1" applyFill="1" applyBorder="1" applyAlignment="1">
      <alignment horizontal="center" vertical="center"/>
    </xf>
    <xf numFmtId="167" fontId="0" fillId="0" borderId="4" xfId="0" applyNumberFormat="1" applyFont="1" applyFill="1" applyBorder="1" applyAlignment="1">
      <alignment horizontal="center" vertical="center"/>
    </xf>
    <xf numFmtId="167" fontId="0" fillId="0" borderId="7" xfId="0" applyNumberFormat="1" applyFont="1" applyFill="1" applyBorder="1" applyAlignment="1">
      <alignment horizontal="center" vertical="center"/>
    </xf>
    <xf numFmtId="0" fontId="1" fillId="0" borderId="8" xfId="4" applyFont="1" applyFill="1" applyBorder="1"/>
    <xf numFmtId="169" fontId="1" fillId="0" borderId="0" xfId="6" applyNumberFormat="1" applyFont="1" applyFill="1" applyBorder="1" applyAlignment="1">
      <alignment horizontal="center"/>
    </xf>
    <xf numFmtId="0" fontId="1" fillId="0" borderId="7" xfId="4" applyFont="1" applyFill="1" applyBorder="1" applyAlignment="1">
      <alignment wrapText="1"/>
    </xf>
    <xf numFmtId="0" fontId="1" fillId="0" borderId="0" xfId="4" applyFont="1" applyFill="1" applyBorder="1" applyAlignment="1">
      <alignment vertical="top"/>
    </xf>
    <xf numFmtId="1" fontId="0" fillId="3" borderId="0" xfId="0" applyNumberFormat="1" applyFill="1" applyAlignment="1">
      <alignment horizontal="center" vertical="center"/>
    </xf>
    <xf numFmtId="167" fontId="2" fillId="3" borderId="0" xfId="4" applyNumberFormat="1" applyFont="1" applyFill="1" applyBorder="1" applyAlignment="1">
      <alignment horizontal="center" vertical="center" wrapText="1"/>
    </xf>
    <xf numFmtId="167" fontId="4" fillId="3" borderId="0" xfId="4" applyNumberFormat="1" applyFont="1" applyFill="1" applyBorder="1" applyAlignment="1">
      <alignment horizontal="center"/>
    </xf>
    <xf numFmtId="2" fontId="4" fillId="3" borderId="0" xfId="4" applyNumberFormat="1" applyFont="1" applyFill="1" applyBorder="1" applyAlignment="1">
      <alignment horizontal="center"/>
    </xf>
    <xf numFmtId="2" fontId="4" fillId="3" borderId="4" xfId="4" applyNumberFormat="1" applyFont="1" applyFill="1" applyBorder="1" applyAlignment="1">
      <alignment horizontal="center"/>
    </xf>
    <xf numFmtId="2" fontId="4" fillId="0" borderId="0" xfId="4" applyNumberFormat="1" applyFont="1" applyAlignment="1">
      <alignment horizontal="center" vertical="center"/>
    </xf>
    <xf numFmtId="2" fontId="4" fillId="0" borderId="8" xfId="4" applyNumberFormat="1" applyFont="1" applyBorder="1" applyAlignment="1">
      <alignment horizontal="center" vertical="center"/>
    </xf>
    <xf numFmtId="2" fontId="4" fillId="0" borderId="4" xfId="4" applyNumberFormat="1" applyFont="1" applyBorder="1" applyAlignment="1">
      <alignment horizontal="center" vertical="center"/>
    </xf>
    <xf numFmtId="0" fontId="0" fillId="0" borderId="4" xfId="2" applyFont="1" applyBorder="1" applyAlignment="1">
      <alignment horizontal="center"/>
    </xf>
    <xf numFmtId="167" fontId="0" fillId="0" borderId="4" xfId="0" applyNumberFormat="1" applyFont="1" applyBorder="1"/>
    <xf numFmtId="167" fontId="0" fillId="0" borderId="8" xfId="0" applyNumberFormat="1" applyFont="1" applyBorder="1"/>
    <xf numFmtId="167" fontId="0" fillId="0" borderId="7" xfId="0" applyNumberFormat="1" applyFont="1" applyBorder="1"/>
    <xf numFmtId="0" fontId="0" fillId="7" borderId="13" xfId="2" applyFont="1" applyFill="1" applyBorder="1" applyAlignment="1">
      <alignment horizontal="center"/>
    </xf>
    <xf numFmtId="0" fontId="0" fillId="0" borderId="8" xfId="2" applyFont="1" applyBorder="1" applyAlignment="1">
      <alignment horizontal="center"/>
    </xf>
    <xf numFmtId="0" fontId="0" fillId="0" borderId="7" xfId="2" applyFont="1" applyBorder="1" applyAlignment="1">
      <alignment horizontal="center"/>
    </xf>
    <xf numFmtId="167" fontId="0" fillId="0" borderId="3" xfId="0" applyNumberFormat="1" applyFont="1" applyBorder="1"/>
    <xf numFmtId="2" fontId="0" fillId="0" borderId="8" xfId="0" applyNumberFormat="1" applyFont="1" applyFill="1" applyBorder="1"/>
    <xf numFmtId="2" fontId="0" fillId="0" borderId="3" xfId="0" applyNumberFormat="1" applyFont="1" applyFill="1" applyBorder="1"/>
    <xf numFmtId="2" fontId="0" fillId="0" borderId="4" xfId="0" applyNumberFormat="1" applyFont="1" applyFill="1" applyBorder="1"/>
    <xf numFmtId="2" fontId="0" fillId="0" borderId="7" xfId="0" applyNumberFormat="1" applyFont="1" applyFill="1" applyBorder="1"/>
    <xf numFmtId="168" fontId="0" fillId="0" borderId="13" xfId="18" applyNumberFormat="1" applyFont="1" applyFill="1" applyBorder="1" applyAlignment="1">
      <alignment horizontal="center"/>
    </xf>
    <xf numFmtId="168" fontId="0" fillId="0" borderId="8" xfId="18" applyNumberFormat="1" applyFont="1" applyFill="1" applyBorder="1" applyAlignment="1">
      <alignment horizontal="center"/>
    </xf>
    <xf numFmtId="168" fontId="0" fillId="0" borderId="9" xfId="18" applyNumberFormat="1" applyFont="1" applyBorder="1" applyAlignment="1">
      <alignment horizontal="center"/>
    </xf>
    <xf numFmtId="168" fontId="0" fillId="0" borderId="13" xfId="18" applyNumberFormat="1" applyFont="1" applyBorder="1" applyAlignment="1">
      <alignment horizontal="center"/>
    </xf>
    <xf numFmtId="168" fontId="0" fillId="0" borderId="11" xfId="18" applyNumberFormat="1" applyFont="1" applyBorder="1" applyAlignment="1">
      <alignment horizontal="center"/>
    </xf>
    <xf numFmtId="0" fontId="0" fillId="0" borderId="0" xfId="0" applyFont="1" applyAlignment="1">
      <alignment horizontal="right"/>
    </xf>
    <xf numFmtId="0" fontId="18" fillId="0" borderId="4" xfId="2" applyFont="1" applyBorder="1" applyAlignment="1">
      <alignment horizontal="center"/>
    </xf>
    <xf numFmtId="167" fontId="1" fillId="0" borderId="0" xfId="4" applyNumberFormat="1" applyFont="1" applyFill="1" applyBorder="1" applyAlignment="1">
      <alignment horizontal="center"/>
    </xf>
    <xf numFmtId="167" fontId="1" fillId="0" borderId="0" xfId="4" applyNumberFormat="1" applyFont="1" applyFill="1" applyBorder="1" applyAlignment="1">
      <alignment horizontal="center"/>
    </xf>
    <xf numFmtId="167" fontId="1" fillId="0" borderId="4" xfId="4" applyNumberFormat="1" applyFont="1" applyFill="1" applyBorder="1" applyAlignment="1">
      <alignment horizontal="center"/>
    </xf>
    <xf numFmtId="0" fontId="4" fillId="0" borderId="0" xfId="4" applyFont="1" applyFill="1" applyBorder="1" applyAlignment="1">
      <alignment horizontal="center"/>
    </xf>
    <xf numFmtId="0" fontId="4" fillId="0" borderId="7" xfId="4" applyFont="1" applyFill="1" applyBorder="1" applyAlignment="1">
      <alignment horizontal="center"/>
    </xf>
    <xf numFmtId="0" fontId="0" fillId="0" borderId="4" xfId="2" applyFont="1" applyFill="1" applyBorder="1"/>
    <xf numFmtId="0" fontId="0" fillId="0" borderId="4" xfId="2" applyFont="1" applyFill="1" applyBorder="1" applyAlignment="1">
      <alignment horizontal="center"/>
    </xf>
    <xf numFmtId="2" fontId="0" fillId="4" borderId="0" xfId="0" applyNumberFormat="1" applyFont="1" applyFill="1" applyAlignment="1">
      <alignment horizontal="center"/>
    </xf>
    <xf numFmtId="0" fontId="0" fillId="0" borderId="7" xfId="2" applyFont="1" applyFill="1" applyBorder="1" applyAlignment="1">
      <alignment horizontal="center"/>
    </xf>
    <xf numFmtId="0" fontId="0" fillId="0" borderId="8" xfId="2" applyFont="1" applyFill="1" applyBorder="1" applyAlignment="1">
      <alignment horizontal="center"/>
    </xf>
    <xf numFmtId="0" fontId="0" fillId="0" borderId="8" xfId="0" applyFont="1" applyBorder="1"/>
    <xf numFmtId="0" fontId="1" fillId="0" borderId="8" xfId="2" applyFont="1" applyFill="1" applyBorder="1" applyAlignment="1">
      <alignment horizontal="center"/>
    </xf>
    <xf numFmtId="171" fontId="1" fillId="0" borderId="12" xfId="4" applyNumberFormat="1" applyFont="1" applyFill="1" applyBorder="1" applyAlignment="1">
      <alignment horizontal="center"/>
    </xf>
    <xf numFmtId="171" fontId="1" fillId="3" borderId="12" xfId="4" applyNumberFormat="1" applyFont="1" applyFill="1" applyBorder="1" applyAlignment="1">
      <alignment horizontal="center"/>
    </xf>
    <xf numFmtId="171" fontId="1" fillId="3" borderId="3" xfId="4" applyNumberFormat="1" applyFont="1" applyFill="1" applyBorder="1" applyAlignment="1">
      <alignment horizontal="center"/>
    </xf>
    <xf numFmtId="172" fontId="1" fillId="0" borderId="0" xfId="4" applyNumberFormat="1" applyFont="1"/>
    <xf numFmtId="0" fontId="0" fillId="0" borderId="0" xfId="4" applyFont="1"/>
    <xf numFmtId="167" fontId="1" fillId="3" borderId="0" xfId="4" applyNumberFormat="1" applyFont="1" applyFill="1" applyBorder="1" applyAlignment="1">
      <alignment horizontal="center"/>
    </xf>
    <xf numFmtId="167" fontId="1" fillId="3" borderId="4" xfId="4" applyNumberFormat="1" applyFont="1" applyFill="1" applyBorder="1" applyAlignment="1">
      <alignment horizontal="center"/>
    </xf>
    <xf numFmtId="168" fontId="0" fillId="0" borderId="0" xfId="18" applyNumberFormat="1" applyFont="1" applyFill="1" applyBorder="1" applyAlignment="1">
      <alignment horizontal="center"/>
    </xf>
    <xf numFmtId="1" fontId="0" fillId="0" borderId="0" xfId="0" applyNumberFormat="1" applyFont="1"/>
    <xf numFmtId="10" fontId="0" fillId="0" borderId="0" xfId="18" applyNumberFormat="1" applyFont="1" applyFill="1" applyBorder="1" applyAlignment="1">
      <alignment horizontal="center"/>
    </xf>
    <xf numFmtId="10" fontId="0" fillId="0" borderId="8" xfId="18" applyNumberFormat="1" applyFont="1" applyFill="1" applyBorder="1" applyAlignment="1">
      <alignment horizontal="center"/>
    </xf>
    <xf numFmtId="169" fontId="0" fillId="0" borderId="0" xfId="0" applyNumberFormat="1" applyFont="1"/>
    <xf numFmtId="173" fontId="0" fillId="0" borderId="0" xfId="0" applyNumberFormat="1" applyFont="1"/>
    <xf numFmtId="2" fontId="0" fillId="0" borderId="11" xfId="0" applyNumberFormat="1" applyFont="1" applyBorder="1" applyAlignment="1">
      <alignment horizontal="center" vertical="center"/>
    </xf>
    <xf numFmtId="2" fontId="0" fillId="0" borderId="13" xfId="0" applyNumberFormat="1" applyFont="1" applyBorder="1" applyAlignment="1">
      <alignment horizontal="center" vertical="center"/>
    </xf>
    <xf numFmtId="1" fontId="0" fillId="0" borderId="0" xfId="0" applyNumberFormat="1" applyFont="1" applyAlignment="1">
      <alignment horizontal="center"/>
    </xf>
    <xf numFmtId="1" fontId="0" fillId="0" borderId="3" xfId="0" applyNumberFormat="1" applyFont="1" applyBorder="1" applyAlignment="1">
      <alignment horizontal="center"/>
    </xf>
    <xf numFmtId="1" fontId="0" fillId="0" borderId="4" xfId="0" applyNumberFormat="1" applyFont="1" applyBorder="1" applyAlignment="1">
      <alignment horizontal="center"/>
    </xf>
    <xf numFmtId="9" fontId="0" fillId="0" borderId="0" xfId="18" applyFont="1" applyFill="1" applyBorder="1" applyAlignment="1">
      <alignment horizontal="center"/>
    </xf>
    <xf numFmtId="171" fontId="1" fillId="0" borderId="5" xfId="4" applyNumberFormat="1" applyFont="1" applyFill="1" applyBorder="1" applyAlignment="1">
      <alignment horizontal="center"/>
    </xf>
    <xf numFmtId="167" fontId="1" fillId="0" borderId="10" xfId="4" applyNumberFormat="1" applyFont="1" applyFill="1" applyBorder="1" applyAlignment="1">
      <alignment horizontal="center"/>
    </xf>
    <xf numFmtId="171" fontId="1" fillId="0" borderId="3" xfId="4" applyNumberFormat="1" applyFont="1" applyFill="1" applyBorder="1" applyAlignment="1">
      <alignment horizontal="center"/>
    </xf>
    <xf numFmtId="0" fontId="1" fillId="0" borderId="15" xfId="4" applyFont="1" applyFill="1" applyBorder="1" applyAlignment="1">
      <alignment horizontal="center"/>
    </xf>
    <xf numFmtId="171" fontId="1" fillId="0" borderId="15" xfId="4" applyNumberFormat="1" applyFont="1" applyFill="1" applyBorder="1" applyAlignment="1">
      <alignment horizontal="center"/>
    </xf>
    <xf numFmtId="167" fontId="1" fillId="0" borderId="2" xfId="4" applyNumberFormat="1" applyFont="1" applyFill="1" applyBorder="1" applyAlignment="1">
      <alignment horizontal="center"/>
    </xf>
    <xf numFmtId="2" fontId="1" fillId="0" borderId="14" xfId="4" applyNumberFormat="1" applyFont="1" applyFill="1" applyBorder="1" applyAlignment="1">
      <alignment horizontal="center"/>
    </xf>
    <xf numFmtId="0" fontId="1" fillId="0" borderId="5" xfId="4" applyFont="1" applyFill="1" applyBorder="1" applyAlignment="1"/>
    <xf numFmtId="169" fontId="1" fillId="0" borderId="10" xfId="4" applyNumberFormat="1" applyFont="1" applyFill="1" applyBorder="1" applyAlignment="1">
      <alignment horizontal="center"/>
    </xf>
    <xf numFmtId="0" fontId="16" fillId="0" borderId="0" xfId="2" applyFont="1" applyFill="1" applyBorder="1"/>
    <xf numFmtId="3" fontId="1" fillId="0" borderId="0" xfId="2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" fontId="0" fillId="0" borderId="8" xfId="0" applyNumberFormat="1" applyBorder="1" applyAlignment="1">
      <alignment horizontal="center" vertical="center"/>
    </xf>
    <xf numFmtId="1" fontId="0" fillId="0" borderId="4" xfId="0" applyNumberFormat="1" applyBorder="1" applyAlignment="1">
      <alignment horizontal="center" vertical="center"/>
    </xf>
    <xf numFmtId="1" fontId="0" fillId="0" borderId="3" xfId="0" applyNumberFormat="1" applyBorder="1"/>
    <xf numFmtId="1" fontId="0" fillId="0" borderId="4" xfId="0" applyNumberFormat="1" applyBorder="1"/>
    <xf numFmtId="0" fontId="0" fillId="0" borderId="8" xfId="0" applyBorder="1"/>
    <xf numFmtId="0" fontId="0" fillId="0" borderId="7" xfId="0" applyBorder="1"/>
    <xf numFmtId="1" fontId="0" fillId="0" borderId="7" xfId="0" applyNumberFormat="1" applyBorder="1" applyAlignment="1">
      <alignment horizontal="center" vertical="center"/>
    </xf>
    <xf numFmtId="0" fontId="0" fillId="0" borderId="6" xfId="0" applyBorder="1"/>
    <xf numFmtId="1" fontId="0" fillId="0" borderId="10" xfId="0" applyNumberFormat="1" applyBorder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1" fontId="0" fillId="0" borderId="10" xfId="0" applyNumberFormat="1" applyBorder="1"/>
    <xf numFmtId="0" fontId="0" fillId="0" borderId="6" xfId="0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1" fillId="0" borderId="0" xfId="0" applyFont="1"/>
    <xf numFmtId="0" fontId="1" fillId="0" borderId="0" xfId="10" applyFont="1"/>
    <xf numFmtId="0" fontId="0" fillId="0" borderId="0" xfId="10" applyFont="1"/>
    <xf numFmtId="0" fontId="0" fillId="0" borderId="0" xfId="0" applyFont="1" applyAlignment="1">
      <alignment wrapText="1"/>
    </xf>
    <xf numFmtId="0" fontId="21" fillId="0" borderId="0" xfId="10" applyFont="1" applyAlignment="1"/>
    <xf numFmtId="0" fontId="0" fillId="6" borderId="0" xfId="0" applyFont="1" applyFill="1"/>
    <xf numFmtId="0" fontId="0" fillId="10" borderId="0" xfId="0" applyFont="1" applyFill="1"/>
    <xf numFmtId="0" fontId="0" fillId="11" borderId="0" xfId="0" applyFont="1" applyFill="1"/>
    <xf numFmtId="0" fontId="0" fillId="12" borderId="0" xfId="0" applyFont="1" applyFill="1"/>
    <xf numFmtId="0" fontId="0" fillId="13" borderId="0" xfId="0" applyFont="1" applyFill="1"/>
    <xf numFmtId="0" fontId="22" fillId="0" borderId="0" xfId="0" applyFont="1"/>
    <xf numFmtId="0" fontId="0" fillId="3" borderId="0" xfId="0" applyFont="1" applyFill="1"/>
    <xf numFmtId="0" fontId="0" fillId="0" borderId="0" xfId="0" applyFill="1" applyAlignment="1">
      <alignment horizontal="center" vertical="center"/>
    </xf>
    <xf numFmtId="2" fontId="0" fillId="4" borderId="0" xfId="0" applyNumberFormat="1" applyFont="1" applyFill="1" applyAlignment="1">
      <alignment horizontal="center" vertical="center"/>
    </xf>
    <xf numFmtId="167" fontId="0" fillId="0" borderId="15" xfId="0" applyNumberFormat="1" applyFont="1" applyBorder="1"/>
    <xf numFmtId="167" fontId="0" fillId="0" borderId="15" xfId="0" applyNumberFormat="1" applyFont="1" applyFill="1" applyBorder="1" applyAlignment="1">
      <alignment horizontal="center" vertical="center"/>
    </xf>
    <xf numFmtId="167" fontId="0" fillId="0" borderId="2" xfId="0" applyNumberFormat="1" applyFont="1" applyBorder="1"/>
    <xf numFmtId="2" fontId="0" fillId="0" borderId="15" xfId="0" applyNumberFormat="1" applyFont="1" applyBorder="1"/>
    <xf numFmtId="171" fontId="4" fillId="0" borderId="0" xfId="4" applyNumberFormat="1" applyFont="1" applyBorder="1"/>
    <xf numFmtId="171" fontId="8" fillId="0" borderId="0" xfId="4" applyNumberFormat="1" applyFont="1" applyBorder="1"/>
    <xf numFmtId="171" fontId="4" fillId="0" borderId="0" xfId="4" applyNumberFormat="1" applyFont="1" applyBorder="1" applyAlignment="1">
      <alignment wrapText="1"/>
    </xf>
    <xf numFmtId="1" fontId="1" fillId="0" borderId="0" xfId="6" applyNumberFormat="1" applyFont="1" applyFill="1" applyBorder="1" applyAlignment="1">
      <alignment horizontal="center"/>
    </xf>
    <xf numFmtId="168" fontId="4" fillId="0" borderId="0" xfId="18" applyNumberFormat="1" applyFont="1"/>
    <xf numFmtId="168" fontId="4" fillId="0" borderId="0" xfId="18" applyNumberFormat="1" applyFont="1" applyFill="1"/>
    <xf numFmtId="0" fontId="15" fillId="0" borderId="8" xfId="4" applyFont="1" applyFill="1" applyBorder="1" applyAlignment="1">
      <alignment horizontal="center" vertical="center"/>
    </xf>
    <xf numFmtId="167" fontId="4" fillId="0" borderId="0" xfId="6" applyNumberFormat="1" applyFont="1" applyFill="1" applyBorder="1" applyAlignment="1">
      <alignment horizontal="center" vertical="center"/>
    </xf>
    <xf numFmtId="167" fontId="1" fillId="0" borderId="0" xfId="4" applyNumberFormat="1" applyFont="1" applyFill="1" applyBorder="1" applyAlignment="1">
      <alignment horizontal="center" vertical="center"/>
    </xf>
    <xf numFmtId="0" fontId="2" fillId="0" borderId="8" xfId="4" applyFont="1" applyFill="1" applyBorder="1" applyAlignment="1">
      <alignment horizontal="center" vertical="center"/>
    </xf>
    <xf numFmtId="2" fontId="4" fillId="0" borderId="0" xfId="6" applyNumberFormat="1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69" fontId="0" fillId="0" borderId="0" xfId="6" applyNumberFormat="1" applyFont="1" applyFill="1" applyBorder="1" applyAlignment="1">
      <alignment horizontal="left"/>
    </xf>
    <xf numFmtId="167" fontId="1" fillId="5" borderId="0" xfId="2" applyNumberFormat="1" applyFont="1" applyFill="1" applyBorder="1" applyAlignment="1">
      <alignment horizontal="center" vertical="center"/>
    </xf>
    <xf numFmtId="167" fontId="1" fillId="7" borderId="0" xfId="2" applyNumberFormat="1" applyFont="1" applyFill="1" applyBorder="1" applyAlignment="1">
      <alignment horizontal="center" vertical="center"/>
    </xf>
    <xf numFmtId="167" fontId="1" fillId="0" borderId="3" xfId="2" applyNumberFormat="1" applyFont="1" applyBorder="1" applyAlignment="1">
      <alignment horizontal="center" vertical="center"/>
    </xf>
    <xf numFmtId="167" fontId="1" fillId="0" borderId="4" xfId="2" applyNumberFormat="1" applyFont="1" applyBorder="1" applyAlignment="1">
      <alignment horizontal="center" vertical="center"/>
    </xf>
    <xf numFmtId="167" fontId="4" fillId="5" borderId="0" xfId="2" applyNumberFormat="1" applyFont="1" applyFill="1" applyBorder="1" applyAlignment="1">
      <alignment horizontal="center" vertical="center"/>
    </xf>
    <xf numFmtId="167" fontId="1" fillId="5" borderId="0" xfId="2" applyNumberFormat="1" applyFont="1" applyFill="1" applyAlignment="1">
      <alignment horizontal="center" vertical="center"/>
    </xf>
    <xf numFmtId="167" fontId="1" fillId="5" borderId="3" xfId="2" applyNumberFormat="1" applyFont="1" applyFill="1" applyBorder="1" applyAlignment="1">
      <alignment horizontal="center" vertical="center"/>
    </xf>
    <xf numFmtId="167" fontId="1" fillId="5" borderId="4" xfId="2" applyNumberFormat="1" applyFont="1" applyFill="1" applyBorder="1" applyAlignment="1">
      <alignment horizontal="center" vertical="center"/>
    </xf>
    <xf numFmtId="167" fontId="1" fillId="0" borderId="0" xfId="2" applyNumberFormat="1" applyFont="1" applyBorder="1" applyAlignment="1">
      <alignment horizontal="center" vertical="center"/>
    </xf>
    <xf numFmtId="3" fontId="0" fillId="5" borderId="8" xfId="0" applyNumberFormat="1" applyFont="1" applyFill="1" applyBorder="1"/>
    <xf numFmtId="0" fontId="0" fillId="5" borderId="8" xfId="0" applyFont="1" applyFill="1" applyBorder="1"/>
    <xf numFmtId="167" fontId="0" fillId="4" borderId="8" xfId="0" applyNumberFormat="1" applyFont="1" applyFill="1" applyBorder="1"/>
    <xf numFmtId="3" fontId="4" fillId="0" borderId="0" xfId="4" applyNumberFormat="1" applyFont="1"/>
    <xf numFmtId="2" fontId="1" fillId="5" borderId="0" xfId="4" applyNumberFormat="1" applyFont="1" applyFill="1" applyBorder="1" applyAlignment="1">
      <alignment horizontal="center" vertical="center"/>
    </xf>
    <xf numFmtId="2" fontId="1" fillId="7" borderId="0" xfId="4" applyNumberFormat="1" applyFont="1" applyFill="1" applyBorder="1" applyAlignment="1">
      <alignment horizontal="center" vertical="center"/>
    </xf>
    <xf numFmtId="0" fontId="1" fillId="0" borderId="5" xfId="4" applyFont="1" applyFill="1" applyBorder="1" applyAlignment="1">
      <alignment horizontal="center" vertical="center" wrapText="1"/>
    </xf>
    <xf numFmtId="0" fontId="1" fillId="0" borderId="10" xfId="4" applyFont="1" applyFill="1" applyBorder="1" applyAlignment="1">
      <alignment horizontal="center" vertical="center" wrapText="1"/>
    </xf>
    <xf numFmtId="0" fontId="4" fillId="0" borderId="10" xfId="5" applyFont="1" applyFill="1" applyBorder="1" applyAlignment="1">
      <alignment horizontal="center" vertical="center"/>
    </xf>
    <xf numFmtId="0" fontId="1" fillId="6" borderId="10" xfId="4" applyFont="1" applyFill="1" applyBorder="1" applyAlignment="1">
      <alignment horizontal="center" vertical="center"/>
    </xf>
    <xf numFmtId="2" fontId="1" fillId="7" borderId="2" xfId="4" applyNumberFormat="1" applyFont="1" applyFill="1" applyBorder="1" applyAlignment="1">
      <alignment horizontal="center" vertical="center"/>
    </xf>
    <xf numFmtId="2" fontId="1" fillId="7" borderId="4" xfId="4" applyNumberFormat="1" applyFont="1" applyFill="1" applyBorder="1" applyAlignment="1">
      <alignment horizontal="center" vertical="center"/>
    </xf>
    <xf numFmtId="2" fontId="1" fillId="0" borderId="5" xfId="6" applyNumberFormat="1" applyFont="1" applyFill="1" applyBorder="1" applyAlignment="1">
      <alignment horizontal="center" vertical="center"/>
    </xf>
    <xf numFmtId="2" fontId="1" fillId="0" borderId="10" xfId="6" applyNumberFormat="1" applyFont="1" applyFill="1" applyBorder="1" applyAlignment="1">
      <alignment horizontal="center" vertical="center"/>
    </xf>
    <xf numFmtId="2" fontId="1" fillId="7" borderId="10" xfId="6" applyNumberFormat="1" applyFont="1" applyFill="1" applyBorder="1" applyAlignment="1">
      <alignment horizontal="center" vertical="center"/>
    </xf>
    <xf numFmtId="0" fontId="0" fillId="0" borderId="8" xfId="4" applyFont="1" applyFill="1" applyBorder="1"/>
    <xf numFmtId="0" fontId="1" fillId="0" borderId="9" xfId="4" applyFont="1" applyFill="1" applyBorder="1"/>
    <xf numFmtId="0" fontId="0" fillId="0" borderId="13" xfId="4" applyFont="1" applyFill="1" applyBorder="1"/>
    <xf numFmtId="0" fontId="0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1" fillId="0" borderId="0" xfId="0" applyFont="1" applyBorder="1" applyAlignment="1">
      <alignment vertical="center" wrapText="1"/>
    </xf>
    <xf numFmtId="167" fontId="4" fillId="0" borderId="0" xfId="4" applyNumberFormat="1" applyFont="1" applyFill="1" applyBorder="1" applyAlignment="1">
      <alignment horizontal="center"/>
    </xf>
    <xf numFmtId="0" fontId="0" fillId="0" borderId="11" xfId="0" applyBorder="1"/>
    <xf numFmtId="0" fontId="0" fillId="0" borderId="13" xfId="0" applyBorder="1"/>
    <xf numFmtId="0" fontId="0" fillId="0" borderId="9" xfId="0" applyBorder="1"/>
    <xf numFmtId="0" fontId="0" fillId="0" borderId="5" xfId="0" applyBorder="1"/>
    <xf numFmtId="0" fontId="0" fillId="0" borderId="16" xfId="0" applyBorder="1"/>
    <xf numFmtId="0" fontId="0" fillId="0" borderId="6" xfId="4" applyFont="1" applyFill="1" applyBorder="1" applyAlignment="1">
      <alignment wrapText="1"/>
    </xf>
    <xf numFmtId="0" fontId="0" fillId="0" borderId="5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65" fontId="0" fillId="0" borderId="0" xfId="0" applyNumberFormat="1" applyFont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165" fontId="0" fillId="0" borderId="0" xfId="1" applyNumberFormat="1" applyFont="1" applyBorder="1" applyAlignment="1"/>
    <xf numFmtId="0" fontId="4" fillId="0" borderId="0" xfId="4" applyFont="1"/>
    <xf numFmtId="2" fontId="1" fillId="4" borderId="15" xfId="4" applyNumberFormat="1" applyFont="1" applyFill="1" applyBorder="1" applyAlignment="1">
      <alignment horizontal="center" vertical="center"/>
    </xf>
    <xf numFmtId="2" fontId="1" fillId="5" borderId="2" xfId="4" applyNumberFormat="1" applyFont="1" applyFill="1" applyBorder="1" applyAlignment="1">
      <alignment horizontal="center" vertical="center"/>
    </xf>
    <xf numFmtId="2" fontId="1" fillId="4" borderId="3" xfId="4" applyNumberFormat="1" applyFont="1" applyFill="1" applyBorder="1" applyAlignment="1">
      <alignment horizontal="center" vertical="center"/>
    </xf>
    <xf numFmtId="2" fontId="1" fillId="5" borderId="4" xfId="4" applyNumberFormat="1" applyFont="1" applyFill="1" applyBorder="1" applyAlignment="1">
      <alignment horizontal="center" vertical="center"/>
    </xf>
    <xf numFmtId="3" fontId="4" fillId="0" borderId="0" xfId="4" applyNumberFormat="1" applyFont="1" applyBorder="1"/>
    <xf numFmtId="0" fontId="4" fillId="0" borderId="0" xfId="4" applyFont="1"/>
    <xf numFmtId="0" fontId="1" fillId="0" borderId="0" xfId="4" applyFont="1" applyFill="1" applyBorder="1"/>
    <xf numFmtId="167" fontId="0" fillId="0" borderId="0" xfId="0" applyNumberFormat="1"/>
    <xf numFmtId="0" fontId="0" fillId="0" borderId="0" xfId="4" applyFont="1" applyFill="1" applyBorder="1" applyAlignment="1">
      <alignment horizontal="center" vertical="center" wrapText="1"/>
    </xf>
    <xf numFmtId="0" fontId="4" fillId="0" borderId="0" xfId="4" applyFont="1" applyFill="1" applyBorder="1" applyAlignment="1">
      <alignment horizontal="center"/>
    </xf>
    <xf numFmtId="0" fontId="4" fillId="0" borderId="4" xfId="4" applyFont="1" applyFill="1" applyBorder="1" applyAlignment="1">
      <alignment horizontal="center"/>
    </xf>
    <xf numFmtId="171" fontId="1" fillId="4" borderId="0" xfId="6" applyNumberFormat="1" applyFont="1" applyFill="1" applyBorder="1" applyAlignment="1">
      <alignment horizontal="center" vertical="center"/>
    </xf>
    <xf numFmtId="171" fontId="1" fillId="4" borderId="0" xfId="4" applyNumberFormat="1" applyFont="1" applyFill="1" applyBorder="1" applyAlignment="1">
      <alignment horizontal="center" vertical="center"/>
    </xf>
    <xf numFmtId="2" fontId="0" fillId="5" borderId="0" xfId="0" applyNumberFormat="1" applyFill="1" applyAlignment="1">
      <alignment horizontal="center" vertical="center"/>
    </xf>
    <xf numFmtId="2" fontId="0" fillId="5" borderId="3" xfId="0" applyNumberFormat="1" applyFill="1" applyBorder="1" applyAlignment="1">
      <alignment horizontal="center" vertical="center"/>
    </xf>
    <xf numFmtId="2" fontId="0" fillId="5" borderId="4" xfId="0" applyNumberFormat="1" applyFill="1" applyBorder="1" applyAlignment="1">
      <alignment horizontal="center" vertical="center"/>
    </xf>
    <xf numFmtId="171" fontId="0" fillId="5" borderId="0" xfId="0" applyNumberFormat="1" applyFill="1" applyAlignment="1">
      <alignment horizontal="center" vertical="center"/>
    </xf>
    <xf numFmtId="0" fontId="2" fillId="0" borderId="4" xfId="4" applyFont="1" applyFill="1" applyBorder="1" applyAlignment="1">
      <alignment vertical="center"/>
    </xf>
    <xf numFmtId="0" fontId="0" fillId="0" borderId="3" xfId="2" applyFont="1" applyBorder="1" applyAlignment="1">
      <alignment horizontal="center"/>
    </xf>
    <xf numFmtId="165" fontId="0" fillId="0" borderId="4" xfId="1" applyNumberFormat="1" applyFont="1" applyBorder="1" applyAlignment="1"/>
    <xf numFmtId="165" fontId="0" fillId="0" borderId="7" xfId="1" applyNumberFormat="1" applyFont="1" applyBorder="1" applyAlignment="1"/>
    <xf numFmtId="0" fontId="0" fillId="7" borderId="0" xfId="0" applyFill="1"/>
    <xf numFmtId="0" fontId="16" fillId="7" borderId="0" xfId="4" applyFont="1" applyFill="1" applyBorder="1" applyAlignment="1">
      <alignment vertical="center"/>
    </xf>
    <xf numFmtId="0" fontId="0" fillId="7" borderId="0" xfId="0" applyFont="1" applyFill="1"/>
    <xf numFmtId="0" fontId="0" fillId="7" borderId="0" xfId="0" applyFill="1" applyBorder="1"/>
    <xf numFmtId="0" fontId="0" fillId="7" borderId="4" xfId="2" applyFont="1" applyFill="1" applyBorder="1" applyAlignment="1">
      <alignment horizontal="center"/>
    </xf>
    <xf numFmtId="3" fontId="0" fillId="4" borderId="0" xfId="0" applyNumberFormat="1" applyFont="1" applyFill="1" applyBorder="1"/>
    <xf numFmtId="0" fontId="0" fillId="7" borderId="3" xfId="2" applyFont="1" applyFill="1" applyBorder="1" applyAlignment="1">
      <alignment horizontal="center"/>
    </xf>
    <xf numFmtId="0" fontId="0" fillId="7" borderId="12" xfId="2" applyFont="1" applyFill="1" applyBorder="1" applyAlignment="1">
      <alignment horizontal="center"/>
    </xf>
    <xf numFmtId="0" fontId="0" fillId="7" borderId="0" xfId="2" applyFont="1" applyFill="1" applyBorder="1"/>
    <xf numFmtId="0" fontId="1" fillId="7" borderId="0" xfId="2" applyFont="1" applyFill="1" applyBorder="1"/>
    <xf numFmtId="0" fontId="0" fillId="7" borderId="14" xfId="0" applyFill="1" applyBorder="1"/>
    <xf numFmtId="0" fontId="0" fillId="7" borderId="12" xfId="0" applyFill="1" applyBorder="1"/>
    <xf numFmtId="0" fontId="0" fillId="7" borderId="3" xfId="0" applyFill="1" applyBorder="1"/>
    <xf numFmtId="0" fontId="0" fillId="7" borderId="4" xfId="0" applyFill="1" applyBorder="1"/>
    <xf numFmtId="0" fontId="0" fillId="7" borderId="5" xfId="0" applyFill="1" applyBorder="1"/>
    <xf numFmtId="0" fontId="0" fillId="7" borderId="6" xfId="0" applyFill="1" applyBorder="1"/>
    <xf numFmtId="0" fontId="0" fillId="7" borderId="8" xfId="0" applyFill="1" applyBorder="1"/>
    <xf numFmtId="0" fontId="0" fillId="7" borderId="7" xfId="0" applyFill="1" applyBorder="1"/>
    <xf numFmtId="0" fontId="16" fillId="7" borderId="0" xfId="0" applyFont="1" applyFill="1"/>
    <xf numFmtId="0" fontId="0" fillId="8" borderId="0" xfId="0" applyFill="1" applyAlignment="1">
      <alignment horizontal="center"/>
    </xf>
    <xf numFmtId="0" fontId="0" fillId="7" borderId="0" xfId="0" applyFont="1" applyFill="1" applyBorder="1"/>
    <xf numFmtId="0" fontId="0" fillId="7" borderId="4" xfId="2" applyFont="1" applyFill="1" applyBorder="1"/>
    <xf numFmtId="0" fontId="2" fillId="7" borderId="15" xfId="4" applyFont="1" applyFill="1" applyBorder="1" applyAlignment="1">
      <alignment vertical="center"/>
    </xf>
    <xf numFmtId="0" fontId="0" fillId="7" borderId="12" xfId="0" applyFont="1" applyFill="1" applyBorder="1"/>
    <xf numFmtId="0" fontId="0" fillId="7" borderId="8" xfId="0" applyFont="1" applyFill="1" applyBorder="1"/>
    <xf numFmtId="0" fontId="0" fillId="5" borderId="7" xfId="0" applyFont="1" applyFill="1" applyBorder="1"/>
    <xf numFmtId="0" fontId="2" fillId="7" borderId="3" xfId="0" applyFont="1" applyFill="1" applyBorder="1" applyAlignment="1">
      <alignment horizontal="center"/>
    </xf>
    <xf numFmtId="0" fontId="2" fillId="7" borderId="4" xfId="0" applyFont="1" applyFill="1" applyBorder="1" applyAlignment="1">
      <alignment horizontal="center"/>
    </xf>
    <xf numFmtId="0" fontId="2" fillId="7" borderId="7" xfId="0" applyFont="1" applyFill="1" applyBorder="1" applyAlignment="1">
      <alignment horizontal="center"/>
    </xf>
    <xf numFmtId="2" fontId="0" fillId="6" borderId="0" xfId="0" applyNumberFormat="1" applyFill="1" applyAlignment="1">
      <alignment horizontal="center" vertical="center"/>
    </xf>
    <xf numFmtId="2" fontId="0" fillId="6" borderId="3" xfId="0" applyNumberFormat="1" applyFill="1" applyBorder="1" applyAlignment="1">
      <alignment horizontal="center" vertical="center"/>
    </xf>
    <xf numFmtId="2" fontId="0" fillId="6" borderId="4" xfId="0" applyNumberFormat="1" applyFill="1" applyBorder="1" applyAlignment="1">
      <alignment horizontal="center" vertical="center"/>
    </xf>
    <xf numFmtId="171" fontId="0" fillId="6" borderId="0" xfId="0" applyNumberFormat="1" applyFill="1" applyAlignment="1">
      <alignment horizontal="center" vertical="center"/>
    </xf>
    <xf numFmtId="171" fontId="0" fillId="6" borderId="4" xfId="0" applyNumberFormat="1" applyFill="1" applyBorder="1" applyAlignment="1">
      <alignment horizontal="center" vertical="center"/>
    </xf>
    <xf numFmtId="0" fontId="23" fillId="0" borderId="0" xfId="0" applyFont="1"/>
    <xf numFmtId="0" fontId="24" fillId="0" borderId="0" xfId="0" applyFont="1"/>
    <xf numFmtId="0" fontId="24" fillId="0" borderId="0" xfId="0" applyFont="1" applyBorder="1" applyAlignment="1">
      <alignment vertical="center" wrapText="1"/>
    </xf>
    <xf numFmtId="0" fontId="24" fillId="0" borderId="0" xfId="0" applyFont="1" applyAlignment="1">
      <alignment vertical="center" wrapText="1"/>
    </xf>
    <xf numFmtId="0" fontId="1" fillId="6" borderId="16" xfId="4" applyFont="1" applyFill="1" applyBorder="1" applyAlignment="1">
      <alignment horizontal="center" vertical="center"/>
    </xf>
    <xf numFmtId="0" fontId="0" fillId="4" borderId="0" xfId="0" applyNumberFormat="1" applyFill="1"/>
    <xf numFmtId="0" fontId="2" fillId="0" borderId="4" xfId="4" applyFont="1" applyFill="1" applyBorder="1" applyAlignment="1">
      <alignment horizontal="left" vertical="center"/>
    </xf>
    <xf numFmtId="0" fontId="0" fillId="7" borderId="15" xfId="2" applyFont="1" applyFill="1" applyBorder="1" applyAlignment="1">
      <alignment horizontal="center"/>
    </xf>
    <xf numFmtId="0" fontId="0" fillId="7" borderId="2" xfId="2" applyFont="1" applyFill="1" applyBorder="1" applyAlignment="1">
      <alignment horizontal="center"/>
    </xf>
    <xf numFmtId="3" fontId="0" fillId="5" borderId="12" xfId="0" applyNumberFormat="1" applyFont="1" applyFill="1" applyBorder="1"/>
    <xf numFmtId="0" fontId="0" fillId="5" borderId="9" xfId="0" applyFont="1" applyFill="1" applyBorder="1"/>
    <xf numFmtId="0" fontId="0" fillId="5" borderId="9" xfId="0" applyFill="1" applyBorder="1"/>
    <xf numFmtId="3" fontId="0" fillId="5" borderId="3" xfId="0" applyNumberFormat="1" applyFont="1" applyFill="1" applyBorder="1"/>
    <xf numFmtId="0" fontId="0" fillId="5" borderId="13" xfId="0" applyFill="1" applyBorder="1"/>
    <xf numFmtId="0" fontId="0" fillId="5" borderId="11" xfId="0" applyNumberFormat="1" applyFill="1" applyBorder="1"/>
    <xf numFmtId="0" fontId="0" fillId="5" borderId="9" xfId="0" applyNumberFormat="1" applyFill="1" applyBorder="1"/>
    <xf numFmtId="3" fontId="0" fillId="5" borderId="9" xfId="0" applyNumberFormat="1" applyFont="1" applyFill="1" applyBorder="1"/>
    <xf numFmtId="3" fontId="0" fillId="5" borderId="13" xfId="0" applyNumberFormat="1" applyFont="1" applyFill="1" applyBorder="1"/>
    <xf numFmtId="0" fontId="0" fillId="5" borderId="4" xfId="0" applyFill="1" applyBorder="1"/>
    <xf numFmtId="0" fontId="0" fillId="5" borderId="8" xfId="0" applyFill="1" applyBorder="1"/>
    <xf numFmtId="0" fontId="0" fillId="5" borderId="7" xfId="0" applyFill="1" applyBorder="1"/>
    <xf numFmtId="168" fontId="4" fillId="8" borderId="0" xfId="4" applyNumberFormat="1" applyFont="1" applyFill="1" applyBorder="1" applyAlignment="1">
      <alignment horizontal="center"/>
    </xf>
    <xf numFmtId="168" fontId="4" fillId="8" borderId="8" xfId="4" applyNumberFormat="1" applyFont="1" applyFill="1" applyBorder="1" applyAlignment="1">
      <alignment horizontal="center"/>
    </xf>
    <xf numFmtId="168" fontId="4" fillId="8" borderId="4" xfId="4" applyNumberFormat="1" applyFont="1" applyFill="1" applyBorder="1" applyAlignment="1">
      <alignment horizontal="center"/>
    </xf>
    <xf numFmtId="168" fontId="4" fillId="8" borderId="7" xfId="4" applyNumberFormat="1" applyFont="1" applyFill="1" applyBorder="1" applyAlignment="1">
      <alignment horizontal="center"/>
    </xf>
    <xf numFmtId="1" fontId="0" fillId="5" borderId="0" xfId="0" applyNumberFormat="1" applyFill="1" applyAlignment="1">
      <alignment horizontal="center" vertical="center"/>
    </xf>
    <xf numFmtId="1" fontId="0" fillId="5" borderId="2" xfId="0" applyNumberFormat="1" applyFill="1" applyBorder="1" applyAlignment="1">
      <alignment horizontal="center" vertical="center"/>
    </xf>
    <xf numFmtId="1" fontId="0" fillId="5" borderId="0" xfId="0" applyNumberFormat="1" applyFill="1" applyAlignment="1">
      <alignment horizontal="center"/>
    </xf>
    <xf numFmtId="0" fontId="24" fillId="0" borderId="0" xfId="4" applyFont="1"/>
    <xf numFmtId="1" fontId="0" fillId="4" borderId="0" xfId="0" applyNumberFormat="1" applyFill="1" applyAlignment="1">
      <alignment horizontal="center" vertical="center"/>
    </xf>
    <xf numFmtId="1" fontId="0" fillId="4" borderId="8" xfId="0" applyNumberFormat="1" applyFill="1" applyBorder="1" applyAlignment="1">
      <alignment horizontal="center" vertical="center"/>
    </xf>
    <xf numFmtId="1" fontId="0" fillId="4" borderId="4" xfId="0" applyNumberFormat="1" applyFill="1" applyBorder="1" applyAlignment="1">
      <alignment horizontal="center" vertical="center"/>
    </xf>
    <xf numFmtId="1" fontId="0" fillId="4" borderId="7" xfId="0" applyNumberFormat="1" applyFill="1" applyBorder="1" applyAlignment="1">
      <alignment horizontal="center" vertical="center"/>
    </xf>
    <xf numFmtId="2" fontId="0" fillId="0" borderId="10" xfId="0" applyNumberFormat="1" applyBorder="1"/>
    <xf numFmtId="1" fontId="24" fillId="0" borderId="0" xfId="0" applyNumberFormat="1" applyFont="1" applyAlignment="1">
      <alignment horizontal="center" vertical="center"/>
    </xf>
    <xf numFmtId="1" fontId="24" fillId="0" borderId="8" xfId="0" applyNumberFormat="1" applyFont="1" applyBorder="1" applyAlignment="1">
      <alignment horizontal="center" vertical="center"/>
    </xf>
    <xf numFmtId="1" fontId="24" fillId="0" borderId="0" xfId="0" applyNumberFormat="1" applyFont="1"/>
    <xf numFmtId="168" fontId="24" fillId="0" borderId="0" xfId="18" applyNumberFormat="1" applyFont="1"/>
    <xf numFmtId="167" fontId="0" fillId="0" borderId="4" xfId="0" applyNumberFormat="1" applyBorder="1"/>
    <xf numFmtId="10" fontId="0" fillId="0" borderId="4" xfId="18" applyNumberFormat="1" applyFont="1" applyBorder="1"/>
    <xf numFmtId="3" fontId="0" fillId="7" borderId="12" xfId="0" applyNumberFormat="1" applyFont="1" applyFill="1" applyBorder="1"/>
    <xf numFmtId="3" fontId="0" fillId="7" borderId="3" xfId="0" applyNumberFormat="1" applyFont="1" applyFill="1" applyBorder="1"/>
    <xf numFmtId="3" fontId="0" fillId="7" borderId="15" xfId="0" applyNumberFormat="1" applyFont="1" applyFill="1" applyBorder="1"/>
    <xf numFmtId="3" fontId="0" fillId="7" borderId="11" xfId="0" applyNumberFormat="1" applyFont="1" applyFill="1" applyBorder="1"/>
    <xf numFmtId="3" fontId="0" fillId="7" borderId="9" xfId="0" applyNumberFormat="1" applyFont="1" applyFill="1" applyBorder="1"/>
    <xf numFmtId="3" fontId="0" fillId="7" borderId="13" xfId="0" applyNumberFormat="1" applyFont="1" applyFill="1" applyBorder="1"/>
    <xf numFmtId="168" fontId="0" fillId="7" borderId="15" xfId="18" applyNumberFormat="1" applyFont="1" applyFill="1" applyBorder="1"/>
    <xf numFmtId="168" fontId="0" fillId="7" borderId="14" xfId="18" applyNumberFormat="1" applyFont="1" applyFill="1" applyBorder="1"/>
    <xf numFmtId="168" fontId="0" fillId="7" borderId="12" xfId="18" applyNumberFormat="1" applyFont="1" applyFill="1" applyBorder="1"/>
    <xf numFmtId="168" fontId="0" fillId="7" borderId="8" xfId="18" applyNumberFormat="1" applyFont="1" applyFill="1" applyBorder="1"/>
    <xf numFmtId="168" fontId="0" fillId="7" borderId="3" xfId="18" applyNumberFormat="1" applyFont="1" applyFill="1" applyBorder="1"/>
    <xf numFmtId="168" fontId="0" fillId="7" borderId="7" xfId="18" applyNumberFormat="1" applyFont="1" applyFill="1" applyBorder="1"/>
    <xf numFmtId="0" fontId="4" fillId="0" borderId="8" xfId="4" applyFont="1" applyFill="1" applyBorder="1" applyAlignment="1">
      <alignment horizontal="center"/>
    </xf>
    <xf numFmtId="0" fontId="15" fillId="0" borderId="4" xfId="0" applyFont="1" applyBorder="1"/>
    <xf numFmtId="0" fontId="4" fillId="5" borderId="4" xfId="0" applyFont="1" applyFill="1" applyBorder="1"/>
    <xf numFmtId="0" fontId="4" fillId="0" borderId="4" xfId="0" applyFont="1" applyBorder="1"/>
    <xf numFmtId="0" fontId="4" fillId="0" borderId="0" xfId="0" applyFont="1"/>
    <xf numFmtId="0" fontId="4" fillId="0" borderId="5" xfId="0" applyFont="1" applyBorder="1"/>
    <xf numFmtId="0" fontId="4" fillId="0" borderId="5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11" xfId="0" applyFont="1" applyBorder="1"/>
    <xf numFmtId="2" fontId="4" fillId="5" borderId="0" xfId="0" applyNumberFormat="1" applyFont="1" applyFill="1" applyAlignment="1">
      <alignment horizontal="center" vertical="center"/>
    </xf>
    <xf numFmtId="0" fontId="4" fillId="0" borderId="13" xfId="0" applyFont="1" applyBorder="1"/>
    <xf numFmtId="2" fontId="4" fillId="5" borderId="3" xfId="0" applyNumberFormat="1" applyFont="1" applyFill="1" applyBorder="1" applyAlignment="1">
      <alignment horizontal="center" vertical="center"/>
    </xf>
    <xf numFmtId="2" fontId="4" fillId="5" borderId="4" xfId="0" applyNumberFormat="1" applyFont="1" applyFill="1" applyBorder="1" applyAlignment="1">
      <alignment horizontal="center" vertical="center"/>
    </xf>
    <xf numFmtId="0" fontId="4" fillId="0" borderId="9" xfId="0" applyFont="1" applyBorder="1"/>
    <xf numFmtId="171" fontId="4" fillId="5" borderId="0" xfId="0" applyNumberFormat="1" applyFont="1" applyFill="1" applyAlignment="1">
      <alignment horizontal="center" vertical="center"/>
    </xf>
    <xf numFmtId="171" fontId="4" fillId="5" borderId="4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 vertical="center"/>
    </xf>
    <xf numFmtId="0" fontId="4" fillId="5" borderId="0" xfId="0" applyFont="1" applyFill="1"/>
    <xf numFmtId="167" fontId="4" fillId="0" borderId="0" xfId="0" applyNumberFormat="1" applyFont="1"/>
    <xf numFmtId="10" fontId="4" fillId="0" borderId="4" xfId="18" applyNumberFormat="1" applyFont="1" applyBorder="1"/>
    <xf numFmtId="0" fontId="4" fillId="0" borderId="4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wrapText="1"/>
    </xf>
    <xf numFmtId="168" fontId="0" fillId="0" borderId="4" xfId="18" applyNumberFormat="1" applyFont="1" applyBorder="1" applyAlignment="1">
      <alignment horizontal="center" vertical="center"/>
    </xf>
    <xf numFmtId="0" fontId="0" fillId="0" borderId="3" xfId="0" applyBorder="1" applyAlignment="1">
      <alignment horizontal="center" wrapText="1"/>
    </xf>
    <xf numFmtId="1" fontId="24" fillId="0" borderId="4" xfId="0" applyNumberFormat="1" applyFont="1" applyBorder="1" applyAlignment="1">
      <alignment horizontal="center" vertical="center"/>
    </xf>
    <xf numFmtId="168" fontId="4" fillId="0" borderId="4" xfId="18" applyNumberFormat="1" applyFont="1" applyBorder="1" applyAlignment="1">
      <alignment horizontal="center" vertical="center"/>
    </xf>
    <xf numFmtId="168" fontId="4" fillId="0" borderId="7" xfId="18" applyNumberFormat="1" applyFont="1" applyBorder="1" applyAlignment="1">
      <alignment horizontal="center" vertical="center"/>
    </xf>
    <xf numFmtId="1" fontId="4" fillId="0" borderId="4" xfId="0" applyNumberFormat="1" applyFont="1" applyBorder="1"/>
    <xf numFmtId="167" fontId="4" fillId="4" borderId="0" xfId="6" applyNumberFormat="1" applyFont="1" applyFill="1" applyBorder="1" applyAlignment="1">
      <alignment horizontal="center"/>
    </xf>
    <xf numFmtId="167" fontId="4" fillId="4" borderId="0" xfId="4" applyNumberFormat="1" applyFont="1" applyFill="1" applyBorder="1" applyAlignment="1">
      <alignment horizontal="center"/>
    </xf>
    <xf numFmtId="167" fontId="4" fillId="4" borderId="4" xfId="4" applyNumberFormat="1" applyFont="1" applyFill="1" applyBorder="1" applyAlignment="1">
      <alignment horizontal="center"/>
    </xf>
    <xf numFmtId="2" fontId="4" fillId="4" borderId="0" xfId="4" applyNumberFormat="1" applyFont="1" applyFill="1" applyBorder="1" applyAlignment="1">
      <alignment horizontal="center"/>
    </xf>
    <xf numFmtId="2" fontId="4" fillId="4" borderId="3" xfId="4" applyNumberFormat="1" applyFont="1" applyFill="1" applyBorder="1" applyAlignment="1">
      <alignment horizontal="center"/>
    </xf>
    <xf numFmtId="2" fontId="4" fillId="4" borderId="4" xfId="4" applyNumberFormat="1" applyFont="1" applyFill="1" applyBorder="1" applyAlignment="1">
      <alignment horizontal="center"/>
    </xf>
    <xf numFmtId="167" fontId="24" fillId="0" borderId="0" xfId="6" applyNumberFormat="1" applyFont="1" applyFill="1" applyBorder="1" applyAlignment="1">
      <alignment horizontal="center"/>
    </xf>
    <xf numFmtId="2" fontId="24" fillId="0" borderId="0" xfId="6" applyNumberFormat="1" applyFont="1" applyFill="1" applyBorder="1" applyAlignment="1">
      <alignment horizontal="center" vertical="center"/>
    </xf>
    <xf numFmtId="0" fontId="15" fillId="0" borderId="13" xfId="4" applyFont="1" applyFill="1" applyBorder="1" applyAlignment="1">
      <alignment horizontal="center"/>
    </xf>
    <xf numFmtId="0" fontId="0" fillId="0" borderId="0" xfId="0" applyFont="1" applyAlignment="1">
      <alignment horizontal="left" wrapText="1"/>
    </xf>
    <xf numFmtId="0" fontId="0" fillId="0" borderId="0" xfId="0" applyFont="1" applyAlignment="1">
      <alignment horizontal="left" vertical="top" wrapText="1"/>
    </xf>
    <xf numFmtId="0" fontId="0" fillId="7" borderId="12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7" borderId="3" xfId="0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2" fillId="7" borderId="15" xfId="4" applyFont="1" applyFill="1" applyBorder="1" applyAlignment="1">
      <alignment horizontal="center" vertical="center"/>
    </xf>
    <xf numFmtId="0" fontId="2" fillId="7" borderId="2" xfId="4" applyFont="1" applyFill="1" applyBorder="1" applyAlignment="1">
      <alignment horizontal="center" vertical="center"/>
    </xf>
    <xf numFmtId="0" fontId="2" fillId="7" borderId="14" xfId="4" applyFont="1" applyFill="1" applyBorder="1" applyAlignment="1">
      <alignment horizontal="center" vertical="center"/>
    </xf>
    <xf numFmtId="0" fontId="0" fillId="7" borderId="8" xfId="0" applyFill="1" applyBorder="1" applyAlignment="1">
      <alignment horizontal="center"/>
    </xf>
    <xf numFmtId="0" fontId="2" fillId="7" borderId="15" xfId="0" applyFont="1" applyFill="1" applyBorder="1" applyAlignment="1">
      <alignment horizontal="center"/>
    </xf>
    <xf numFmtId="0" fontId="2" fillId="7" borderId="14" xfId="0" applyFont="1" applyFill="1" applyBorder="1" applyAlignment="1">
      <alignment horizontal="center"/>
    </xf>
    <xf numFmtId="0" fontId="0" fillId="0" borderId="14" xfId="4" applyFont="1" applyFill="1" applyBorder="1" applyAlignment="1">
      <alignment horizontal="center" vertical="center" wrapText="1"/>
    </xf>
    <xf numFmtId="0" fontId="0" fillId="0" borderId="7" xfId="4" applyFont="1" applyFill="1" applyBorder="1" applyAlignment="1">
      <alignment horizontal="center" vertical="center" wrapText="1"/>
    </xf>
    <xf numFmtId="0" fontId="0" fillId="0" borderId="14" xfId="4" applyFont="1" applyFill="1" applyBorder="1" applyAlignment="1">
      <alignment horizontal="center" vertical="center"/>
    </xf>
    <xf numFmtId="0" fontId="0" fillId="0" borderId="7" xfId="4" applyFont="1" applyFill="1" applyBorder="1" applyAlignment="1">
      <alignment horizontal="center" vertical="center"/>
    </xf>
    <xf numFmtId="0" fontId="0" fillId="0" borderId="8" xfId="4" applyFont="1" applyFill="1" applyBorder="1" applyAlignment="1">
      <alignment horizontal="center" vertical="center" wrapText="1"/>
    </xf>
    <xf numFmtId="0" fontId="1" fillId="0" borderId="10" xfId="4" applyFont="1" applyFill="1" applyBorder="1" applyAlignment="1">
      <alignment horizontal="center" wrapText="1"/>
    </xf>
    <xf numFmtId="0" fontId="1" fillId="0" borderId="6" xfId="4" applyFont="1" applyFill="1" applyBorder="1" applyAlignment="1">
      <alignment horizontal="center" wrapText="1"/>
    </xf>
    <xf numFmtId="0" fontId="4" fillId="0" borderId="8" xfId="4" applyFont="1" applyFill="1" applyBorder="1" applyAlignment="1">
      <alignment horizontal="center" vertical="center" wrapText="1"/>
    </xf>
    <xf numFmtId="0" fontId="4" fillId="0" borderId="7" xfId="4" applyFont="1" applyFill="1" applyBorder="1" applyAlignment="1">
      <alignment horizontal="center" vertical="center" wrapText="1"/>
    </xf>
    <xf numFmtId="0" fontId="4" fillId="0" borderId="14" xfId="4" applyFont="1" applyFill="1" applyBorder="1" applyAlignment="1">
      <alignment horizontal="center" vertical="center"/>
    </xf>
    <xf numFmtId="0" fontId="4" fillId="0" borderId="7" xfId="4" applyFont="1" applyFill="1" applyBorder="1" applyAlignment="1">
      <alignment horizontal="center" vertical="center"/>
    </xf>
    <xf numFmtId="0" fontId="4" fillId="0" borderId="14" xfId="4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4" fillId="0" borderId="3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2" fillId="0" borderId="8" xfId="4" applyFont="1" applyFill="1" applyBorder="1" applyAlignment="1">
      <alignment horizontal="center" vertical="center" wrapText="1"/>
    </xf>
    <xf numFmtId="0" fontId="2" fillId="0" borderId="0" xfId="4" applyFont="1" applyFill="1" applyBorder="1" applyAlignment="1">
      <alignment horizontal="center"/>
    </xf>
    <xf numFmtId="0" fontId="2" fillId="0" borderId="7" xfId="4" applyFont="1" applyFill="1" applyBorder="1" applyAlignment="1">
      <alignment horizontal="center" vertical="center" wrapText="1"/>
    </xf>
    <xf numFmtId="0" fontId="14" fillId="0" borderId="0" xfId="4" applyFont="1" applyFill="1" applyBorder="1" applyAlignment="1">
      <alignment horizontal="center" wrapText="1"/>
    </xf>
    <xf numFmtId="0" fontId="4" fillId="0" borderId="8" xfId="4" applyFont="1" applyFill="1" applyBorder="1" applyAlignment="1">
      <alignment horizontal="center" vertical="center"/>
    </xf>
    <xf numFmtId="0" fontId="14" fillId="0" borderId="8" xfId="4" applyFont="1" applyFill="1" applyBorder="1" applyAlignment="1">
      <alignment horizontal="center" wrapText="1"/>
    </xf>
    <xf numFmtId="0" fontId="4" fillId="0" borderId="9" xfId="4" applyFont="1" applyFill="1" applyBorder="1" applyAlignment="1">
      <alignment horizontal="center" vertical="center"/>
    </xf>
    <xf numFmtId="0" fontId="4" fillId="0" borderId="13" xfId="4" applyFont="1" applyFill="1" applyBorder="1" applyAlignment="1">
      <alignment horizontal="center" vertical="center"/>
    </xf>
    <xf numFmtId="1" fontId="4" fillId="0" borderId="0" xfId="4" applyNumberFormat="1" applyFont="1" applyFill="1" applyBorder="1" applyAlignment="1">
      <alignment horizontal="center"/>
    </xf>
    <xf numFmtId="9" fontId="1" fillId="0" borderId="2" xfId="6" applyFont="1" applyFill="1" applyBorder="1" applyAlignment="1">
      <alignment horizontal="center" vertical="center" wrapText="1"/>
    </xf>
    <xf numFmtId="9" fontId="1" fillId="0" borderId="4" xfId="6" applyFont="1" applyFill="1" applyBorder="1" applyAlignment="1">
      <alignment horizontal="center" vertical="center" wrapText="1"/>
    </xf>
    <xf numFmtId="9" fontId="1" fillId="0" borderId="2" xfId="6" applyFont="1" applyFill="1" applyBorder="1" applyAlignment="1">
      <alignment horizontal="center" vertical="center"/>
    </xf>
    <xf numFmtId="9" fontId="1" fillId="0" borderId="4" xfId="6" applyFont="1" applyFill="1" applyBorder="1" applyAlignment="1">
      <alignment horizontal="center" vertical="center"/>
    </xf>
    <xf numFmtId="167" fontId="4" fillId="0" borderId="4" xfId="4" applyNumberFormat="1" applyFont="1" applyFill="1" applyBorder="1" applyAlignment="1">
      <alignment horizontal="center"/>
    </xf>
    <xf numFmtId="167" fontId="4" fillId="0" borderId="7" xfId="4" applyNumberFormat="1" applyFont="1" applyFill="1" applyBorder="1" applyAlignment="1">
      <alignment horizontal="center"/>
    </xf>
    <xf numFmtId="9" fontId="1" fillId="0" borderId="14" xfId="6" applyFont="1" applyFill="1" applyBorder="1" applyAlignment="1">
      <alignment horizontal="center" vertical="center"/>
    </xf>
    <xf numFmtId="9" fontId="1" fillId="0" borderId="7" xfId="6" applyFont="1" applyFill="1" applyBorder="1" applyAlignment="1">
      <alignment horizontal="center" vertical="center"/>
    </xf>
    <xf numFmtId="167" fontId="4" fillId="0" borderId="3" xfId="4" applyNumberFormat="1" applyFont="1" applyFill="1" applyBorder="1" applyAlignment="1">
      <alignment horizontal="center"/>
    </xf>
    <xf numFmtId="167" fontId="4" fillId="0" borderId="0" xfId="4" applyNumberFormat="1" applyFont="1" applyFill="1" applyBorder="1" applyAlignment="1">
      <alignment horizontal="center"/>
    </xf>
    <xf numFmtId="167" fontId="4" fillId="0" borderId="8" xfId="4" applyNumberFormat="1" applyFont="1" applyFill="1" applyBorder="1" applyAlignment="1">
      <alignment horizontal="center"/>
    </xf>
    <xf numFmtId="1" fontId="4" fillId="0" borderId="8" xfId="4" applyNumberFormat="1" applyFont="1" applyFill="1" applyBorder="1" applyAlignment="1">
      <alignment horizontal="center"/>
    </xf>
    <xf numFmtId="0" fontId="4" fillId="0" borderId="0" xfId="4" applyFont="1" applyFill="1" applyBorder="1" applyAlignment="1">
      <alignment horizontal="center"/>
    </xf>
    <xf numFmtId="0" fontId="4" fillId="0" borderId="8" xfId="4" applyFont="1" applyFill="1" applyBorder="1" applyAlignment="1">
      <alignment horizontal="center"/>
    </xf>
    <xf numFmtId="0" fontId="4" fillId="0" borderId="3" xfId="4" applyFont="1" applyFill="1" applyBorder="1" applyAlignment="1">
      <alignment horizontal="center"/>
    </xf>
    <xf numFmtId="0" fontId="4" fillId="0" borderId="4" xfId="4" applyFont="1" applyFill="1" applyBorder="1" applyAlignment="1">
      <alignment horizontal="center"/>
    </xf>
    <xf numFmtId="0" fontId="4" fillId="0" borderId="7" xfId="4" applyFont="1" applyFill="1" applyBorder="1" applyAlignment="1">
      <alignment horizontal="center"/>
    </xf>
    <xf numFmtId="0" fontId="4" fillId="0" borderId="2" xfId="4" applyFont="1" applyFill="1" applyBorder="1" applyAlignment="1">
      <alignment horizontal="center"/>
    </xf>
    <xf numFmtId="0" fontId="4" fillId="0" borderId="14" xfId="4" applyFont="1" applyFill="1" applyBorder="1" applyAlignment="1">
      <alignment horizontal="center"/>
    </xf>
    <xf numFmtId="1" fontId="4" fillId="0" borderId="15" xfId="4" applyNumberFormat="1" applyFont="1" applyFill="1" applyBorder="1" applyAlignment="1">
      <alignment horizontal="center"/>
    </xf>
    <xf numFmtId="1" fontId="4" fillId="0" borderId="2" xfId="4" applyNumberFormat="1" applyFont="1" applyFill="1" applyBorder="1" applyAlignment="1">
      <alignment horizontal="center"/>
    </xf>
    <xf numFmtId="1" fontId="4" fillId="0" borderId="14" xfId="4" applyNumberFormat="1" applyFont="1" applyFill="1" applyBorder="1" applyAlignment="1">
      <alignment horizontal="center"/>
    </xf>
    <xf numFmtId="0" fontId="15" fillId="0" borderId="0" xfId="4" applyFont="1" applyFill="1" applyBorder="1" applyAlignment="1">
      <alignment horizontal="center"/>
    </xf>
    <xf numFmtId="9" fontId="4" fillId="0" borderId="4" xfId="4" applyNumberFormat="1" applyFont="1" applyFill="1" applyBorder="1" applyAlignment="1">
      <alignment horizontal="center"/>
    </xf>
    <xf numFmtId="9" fontId="4" fillId="0" borderId="7" xfId="4" applyNumberFormat="1" applyFont="1" applyFill="1" applyBorder="1" applyAlignment="1">
      <alignment horizontal="center"/>
    </xf>
    <xf numFmtId="0" fontId="4" fillId="0" borderId="0" xfId="4" applyFont="1" applyBorder="1" applyAlignment="1">
      <alignment horizontal="center" vertical="center"/>
    </xf>
    <xf numFmtId="0" fontId="4" fillId="0" borderId="0" xfId="4" applyFont="1" applyBorder="1" applyAlignment="1">
      <alignment horizontal="center"/>
    </xf>
    <xf numFmtId="0" fontId="4" fillId="0" borderId="8" xfId="4" applyFont="1" applyBorder="1" applyAlignment="1">
      <alignment horizontal="center"/>
    </xf>
    <xf numFmtId="0" fontId="4" fillId="0" borderId="4" xfId="4" applyFont="1" applyBorder="1" applyAlignment="1">
      <alignment horizontal="center" vertical="center"/>
    </xf>
    <xf numFmtId="0" fontId="4" fillId="0" borderId="7" xfId="4" applyFont="1" applyBorder="1" applyAlignment="1">
      <alignment horizontal="center" vertical="center"/>
    </xf>
    <xf numFmtId="0" fontId="4" fillId="0" borderId="15" xfId="4" applyFont="1" applyFill="1" applyBorder="1" applyAlignment="1">
      <alignment horizontal="center" vertical="center"/>
    </xf>
    <xf numFmtId="0" fontId="4" fillId="0" borderId="3" xfId="4" applyFont="1" applyFill="1" applyBorder="1" applyAlignment="1">
      <alignment horizontal="center" vertical="center"/>
    </xf>
    <xf numFmtId="167" fontId="4" fillId="0" borderId="2" xfId="4" applyNumberFormat="1" applyFont="1" applyFill="1" applyBorder="1" applyAlignment="1">
      <alignment horizontal="center" vertical="center"/>
    </xf>
    <xf numFmtId="167" fontId="4" fillId="0" borderId="4" xfId="4" applyNumberFormat="1" applyFont="1" applyFill="1" applyBorder="1" applyAlignment="1">
      <alignment horizontal="center" vertical="center"/>
    </xf>
    <xf numFmtId="167" fontId="4" fillId="0" borderId="2" xfId="4" applyNumberFormat="1" applyFont="1" applyFill="1" applyBorder="1" applyAlignment="1">
      <alignment horizontal="center" vertical="center" wrapText="1"/>
    </xf>
    <xf numFmtId="167" fontId="4" fillId="0" borderId="4" xfId="4" applyNumberFormat="1" applyFont="1" applyFill="1" applyBorder="1" applyAlignment="1">
      <alignment horizontal="center" vertical="center" wrapText="1"/>
    </xf>
    <xf numFmtId="167" fontId="4" fillId="0" borderId="14" xfId="4" applyNumberFormat="1" applyFont="1" applyFill="1" applyBorder="1" applyAlignment="1">
      <alignment horizontal="center" vertical="center" wrapText="1"/>
    </xf>
    <xf numFmtId="167" fontId="4" fillId="0" borderId="7" xfId="4" applyNumberFormat="1" applyFont="1" applyFill="1" applyBorder="1" applyAlignment="1">
      <alignment horizontal="center" vertical="center" wrapText="1"/>
    </xf>
    <xf numFmtId="9" fontId="1" fillId="0" borderId="15" xfId="6" applyFont="1" applyFill="1" applyBorder="1" applyAlignment="1">
      <alignment horizontal="center" vertical="center" wrapText="1"/>
    </xf>
    <xf numFmtId="9" fontId="1" fillId="0" borderId="3" xfId="6" applyFont="1" applyFill="1" applyBorder="1" applyAlignment="1">
      <alignment horizontal="center" vertical="center" wrapText="1"/>
    </xf>
    <xf numFmtId="0" fontId="0" fillId="0" borderId="0" xfId="4" applyFont="1" applyFill="1" applyBorder="1" applyAlignment="1">
      <alignment horizontal="center" wrapText="1"/>
    </xf>
    <xf numFmtId="0" fontId="0" fillId="0" borderId="4" xfId="4" applyFont="1" applyFill="1" applyBorder="1" applyAlignment="1">
      <alignment horizontal="center" wrapText="1"/>
    </xf>
    <xf numFmtId="167" fontId="0" fillId="0" borderId="14" xfId="4" applyNumberFormat="1" applyFont="1" applyFill="1" applyBorder="1" applyAlignment="1">
      <alignment horizontal="left" vertical="center"/>
    </xf>
    <xf numFmtId="167" fontId="0" fillId="0" borderId="7" xfId="4" applyNumberFormat="1" applyFont="1" applyFill="1" applyBorder="1" applyAlignment="1">
      <alignment horizontal="left" vertical="center"/>
    </xf>
    <xf numFmtId="167" fontId="1" fillId="0" borderId="7" xfId="4" applyNumberFormat="1" applyFont="1" applyFill="1" applyBorder="1" applyAlignment="1">
      <alignment horizontal="left" vertical="center"/>
    </xf>
    <xf numFmtId="0" fontId="0" fillId="0" borderId="0" xfId="2" applyFont="1" applyBorder="1" applyAlignment="1">
      <alignment horizontal="center"/>
    </xf>
    <xf numFmtId="0" fontId="1" fillId="0" borderId="0" xfId="2" applyFont="1" applyBorder="1" applyAlignment="1">
      <alignment horizontal="center"/>
    </xf>
    <xf numFmtId="2" fontId="1" fillId="0" borderId="0" xfId="2" applyNumberFormat="1" applyFont="1" applyBorder="1" applyAlignment="1">
      <alignment horizontal="center" wrapText="1"/>
    </xf>
    <xf numFmtId="0" fontId="1" fillId="0" borderId="0" xfId="2" applyFont="1" applyBorder="1" applyAlignment="1">
      <alignment horizontal="center" wrapText="1"/>
    </xf>
    <xf numFmtId="0" fontId="0" fillId="0" borderId="0" xfId="2" applyFont="1" applyBorder="1" applyAlignment="1">
      <alignment horizontal="center" wrapText="1"/>
    </xf>
    <xf numFmtId="0" fontId="0" fillId="0" borderId="0" xfId="2" applyFont="1" applyBorder="1" applyAlignment="1">
      <alignment horizontal="center" vertical="center" wrapText="1"/>
    </xf>
    <xf numFmtId="0" fontId="1" fillId="0" borderId="0" xfId="2" applyFont="1" applyBorder="1" applyAlignment="1">
      <alignment horizontal="center" vertical="center" wrapText="1"/>
    </xf>
    <xf numFmtId="0" fontId="1" fillId="0" borderId="8" xfId="2" applyFont="1" applyBorder="1" applyAlignment="1">
      <alignment horizontal="center" vertical="center" wrapText="1"/>
    </xf>
    <xf numFmtId="0" fontId="1" fillId="0" borderId="9" xfId="2" applyFont="1" applyBorder="1" applyAlignment="1">
      <alignment horizontal="center" vertical="center" wrapText="1"/>
    </xf>
    <xf numFmtId="0" fontId="1" fillId="0" borderId="13" xfId="2" applyFont="1" applyBorder="1" applyAlignment="1">
      <alignment horizontal="center" vertical="center" wrapText="1"/>
    </xf>
    <xf numFmtId="0" fontId="1" fillId="0" borderId="8" xfId="2" applyFont="1" applyBorder="1" applyAlignment="1">
      <alignment horizontal="center" wrapText="1"/>
    </xf>
    <xf numFmtId="1" fontId="0" fillId="0" borderId="9" xfId="2" applyNumberFormat="1" applyFont="1" applyBorder="1" applyAlignment="1">
      <alignment horizontal="center" vertical="center" wrapText="1"/>
    </xf>
    <xf numFmtId="1" fontId="1" fillId="0" borderId="13" xfId="2" applyNumberFormat="1" applyFont="1" applyBorder="1" applyAlignment="1">
      <alignment horizontal="center" vertical="center" wrapText="1"/>
    </xf>
    <xf numFmtId="1" fontId="1" fillId="0" borderId="0" xfId="2" applyNumberFormat="1" applyFont="1" applyBorder="1" applyAlignment="1">
      <alignment horizontal="center" wrapText="1"/>
    </xf>
    <xf numFmtId="1" fontId="1" fillId="0" borderId="8" xfId="2" applyNumberFormat="1" applyFont="1" applyBorder="1" applyAlignment="1">
      <alignment horizontal="center" wrapText="1"/>
    </xf>
    <xf numFmtId="0" fontId="4" fillId="0" borderId="4" xfId="4" applyFont="1" applyBorder="1" applyAlignment="1">
      <alignment horizontal="center"/>
    </xf>
    <xf numFmtId="166" fontId="0" fillId="0" borderId="12" xfId="1" applyNumberFormat="1" applyFont="1" applyBorder="1" applyAlignment="1">
      <alignment horizontal="center" wrapText="1"/>
    </xf>
    <xf numFmtId="0" fontId="0" fillId="0" borderId="0" xfId="2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8" xfId="0" applyFont="1" applyBorder="1" applyAlignment="1">
      <alignment horizontal="center"/>
    </xf>
    <xf numFmtId="0" fontId="0" fillId="0" borderId="0" xfId="0" applyFont="1" applyAlignment="1">
      <alignment horizontal="center" vertical="center" wrapText="1"/>
    </xf>
    <xf numFmtId="0" fontId="1" fillId="0" borderId="0" xfId="4" applyFont="1" applyFill="1" applyBorder="1"/>
    <xf numFmtId="0" fontId="4" fillId="0" borderId="0" xfId="4" applyFont="1"/>
    <xf numFmtId="167" fontId="1" fillId="0" borderId="3" xfId="4" applyNumberFormat="1" applyFont="1" applyFill="1" applyBorder="1" applyAlignment="1">
      <alignment horizontal="center" vertical="center" wrapText="1"/>
    </xf>
    <xf numFmtId="167" fontId="1" fillId="0" borderId="4" xfId="4" applyNumberFormat="1" applyFont="1" applyFill="1" applyBorder="1" applyAlignment="1">
      <alignment horizontal="center" vertical="center" wrapText="1"/>
    </xf>
    <xf numFmtId="167" fontId="4" fillId="0" borderId="4" xfId="6" applyNumberFormat="1" applyFont="1" applyFill="1" applyBorder="1" applyAlignment="1">
      <alignment horizontal="center"/>
    </xf>
    <xf numFmtId="167" fontId="4" fillId="0" borderId="14" xfId="6" applyNumberFormat="1" applyFont="1" applyFill="1" applyBorder="1" applyAlignment="1">
      <alignment horizontal="center"/>
    </xf>
    <xf numFmtId="167" fontId="4" fillId="0" borderId="8" xfId="6" applyNumberFormat="1" applyFont="1" applyFill="1" applyBorder="1" applyAlignment="1">
      <alignment horizontal="center"/>
    </xf>
    <xf numFmtId="167" fontId="4" fillId="3" borderId="8" xfId="6" applyNumberFormat="1" applyFont="1" applyFill="1" applyBorder="1" applyAlignment="1">
      <alignment horizontal="center"/>
    </xf>
    <xf numFmtId="167" fontId="24" fillId="0" borderId="8" xfId="6" applyNumberFormat="1" applyFont="1" applyFill="1" applyBorder="1" applyAlignment="1">
      <alignment horizontal="center"/>
    </xf>
    <xf numFmtId="167" fontId="4" fillId="0" borderId="7" xfId="6" applyNumberFormat="1" applyFont="1" applyFill="1" applyBorder="1" applyAlignment="1">
      <alignment horizontal="center"/>
    </xf>
    <xf numFmtId="167" fontId="24" fillId="0" borderId="8" xfId="6" applyNumberFormat="1" applyFont="1" applyFill="1" applyBorder="1" applyAlignment="1">
      <alignment horizontal="center" vertical="center"/>
    </xf>
    <xf numFmtId="0" fontId="4" fillId="0" borderId="11" xfId="4" applyFont="1" applyFill="1" applyBorder="1" applyAlignment="1">
      <alignment horizontal="center"/>
    </xf>
    <xf numFmtId="0" fontId="4" fillId="0" borderId="9" xfId="4" applyFont="1" applyFill="1" applyBorder="1" applyAlignment="1">
      <alignment horizontal="center"/>
    </xf>
    <xf numFmtId="167" fontId="1" fillId="5" borderId="15" xfId="2" applyNumberFormat="1" applyFont="1" applyFill="1" applyBorder="1" applyAlignment="1">
      <alignment horizontal="center" vertical="center"/>
    </xf>
    <xf numFmtId="0" fontId="4" fillId="0" borderId="13" xfId="4" applyFont="1" applyFill="1" applyBorder="1" applyAlignment="1">
      <alignment horizontal="center"/>
    </xf>
    <xf numFmtId="0" fontId="1" fillId="7" borderId="14" xfId="2" applyFont="1" applyFill="1" applyBorder="1" applyAlignment="1">
      <alignment horizontal="center" vertical="center"/>
    </xf>
    <xf numFmtId="0" fontId="1" fillId="7" borderId="8" xfId="2" applyFont="1" applyFill="1" applyBorder="1" applyAlignment="1">
      <alignment horizontal="center" vertical="center"/>
    </xf>
    <xf numFmtId="0" fontId="1" fillId="7" borderId="7" xfId="2" applyFont="1" applyFill="1" applyBorder="1" applyAlignment="1">
      <alignment horizontal="center" vertical="center"/>
    </xf>
    <xf numFmtId="0" fontId="0" fillId="0" borderId="12" xfId="2" applyFont="1" applyBorder="1" applyAlignment="1">
      <alignment horizontal="center" wrapText="1"/>
    </xf>
    <xf numFmtId="0" fontId="1" fillId="0" borderId="0" xfId="2" applyFont="1" applyBorder="1" applyAlignment="1">
      <alignment wrapText="1"/>
    </xf>
    <xf numFmtId="0" fontId="1" fillId="0" borderId="12" xfId="2" applyFont="1" applyBorder="1" applyAlignment="1">
      <alignment horizontal="center" wrapText="1"/>
    </xf>
    <xf numFmtId="0" fontId="0" fillId="0" borderId="0" xfId="0" applyFont="1" applyAlignment="1"/>
    <xf numFmtId="0" fontId="1" fillId="0" borderId="0" xfId="2" applyFont="1" applyBorder="1" applyAlignment="1"/>
    <xf numFmtId="0" fontId="0" fillId="0" borderId="0" xfId="2" applyFont="1" applyBorder="1" applyAlignment="1">
      <alignment wrapText="1"/>
    </xf>
    <xf numFmtId="0" fontId="0" fillId="0" borderId="8" xfId="2" applyFont="1" applyBorder="1" applyAlignment="1">
      <alignment horizontal="center" wrapText="1"/>
    </xf>
  </cellXfs>
  <cellStyles count="19">
    <cellStyle name="Comma" xfId="1" builtinId="3"/>
    <cellStyle name="Comma 2" xfId="7"/>
    <cellStyle name="Heading" xfId="8"/>
    <cellStyle name="Hyperlink 2" xfId="9"/>
    <cellStyle name="Input 2" xfId="5"/>
    <cellStyle name="Normal" xfId="0" builtinId="0"/>
    <cellStyle name="Normal 2" xfId="4"/>
    <cellStyle name="Normal 3" xfId="2"/>
    <cellStyle name="Normal 3 2" xfId="3"/>
    <cellStyle name="Normal 4" xfId="10"/>
    <cellStyle name="Normal 5" xfId="11"/>
    <cellStyle name="Normal 6" xfId="12"/>
    <cellStyle name="Percent" xfId="18" builtinId="5"/>
    <cellStyle name="Percent 2" xfId="6"/>
    <cellStyle name="Percent 2 2" xfId="13"/>
    <cellStyle name="Percent 3" xfId="14"/>
    <cellStyle name="Publication_style" xfId="15"/>
    <cellStyle name="Refdb standard" xfId="16"/>
    <cellStyle name="Source" xfId="17"/>
  </cellStyles>
  <dxfs count="0"/>
  <tableStyles count="0" defaultTableStyle="TableStyleMedium2" defaultPivotStyle="PivotStyleLight16"/>
  <colors>
    <mruColors>
      <color rgb="FFFFFF99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Radio" checked="Checked" firstButton="1" fmlaLink="GBDUS!$J$4" lockText="1" noThreeD="1"/>
</file>

<file path=xl/ctrlProps/ctrlProp2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6</xdr:row>
          <xdr:rowOff>133350</xdr:rowOff>
        </xdr:from>
        <xdr:to>
          <xdr:col>4</xdr:col>
          <xdr:colOff>571500</xdr:colOff>
          <xdr:row>8</xdr:row>
          <xdr:rowOff>28575</xdr:rowOff>
        </xdr:to>
        <xdr:sp macro="" textlink="">
          <xdr:nvSpPr>
            <xdr:cNvPr id="27655" name="Option Button 7" hidden="1">
              <a:extLst>
                <a:ext uri="{63B3BB69-23CF-44E3-9099-C40C66FF867C}">
                  <a14:compatExt spid="_x0000_s276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Entire Region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180975</xdr:colOff>
          <xdr:row>7</xdr:row>
          <xdr:rowOff>142875</xdr:rowOff>
        </xdr:from>
        <xdr:to>
          <xdr:col>3</xdr:col>
          <xdr:colOff>257175</xdr:colOff>
          <xdr:row>9</xdr:row>
          <xdr:rowOff>38100</xdr:rowOff>
        </xdr:to>
        <xdr:sp macro="" textlink="">
          <xdr:nvSpPr>
            <xdr:cNvPr id="27656" name="Option Button 8" hidden="1">
              <a:extLst>
                <a:ext uri="{63B3BB69-23CF-44E3-9099-C40C66FF867C}">
                  <a14:compatExt spid="_x0000_s276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Subarea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www.dft.gov.uk/TSGB00/8-01-98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995"/>
      <sheetName val="Button"/>
      <sheetName val="1997"/>
      <sheetName val="1998"/>
      <sheetName val="1999"/>
      <sheetName val="2000"/>
      <sheetName val="2001"/>
      <sheetName val="2002"/>
      <sheetName val="2003"/>
      <sheetName val="2004"/>
      <sheetName val="2005"/>
      <sheetName val="2006"/>
      <sheetName val="2007"/>
      <sheetName val="2008"/>
      <sheetName val="2009"/>
      <sheetName val="2010"/>
      <sheetName val="TIS-INDEX"/>
      <sheetName val="Admin"/>
      <sheetName val="Replacer"/>
      <sheetName val="8-01-98"/>
    </sheetNames>
    <sheetDataSet>
      <sheetData sheetId="0"/>
      <sheetData sheetId="1"/>
      <sheetData sheetId="2">
        <row r="10">
          <cell r="M10" t="str">
            <v>At purchasing power parity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 refreshError="1"/>
      <sheetData sheetId="1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Q79"/>
  <sheetViews>
    <sheetView showGridLines="0" tabSelected="1" workbookViewId="0"/>
  </sheetViews>
  <sheetFormatPr defaultRowHeight="12.75" x14ac:dyDescent="0.2"/>
  <cols>
    <col min="1" max="1" width="4" style="4" customWidth="1"/>
    <col min="2" max="2" width="4.7109375" style="4" customWidth="1"/>
    <col min="3" max="16384" width="9.140625" style="4"/>
  </cols>
  <sheetData>
    <row r="2" spans="2:12" ht="18" x14ac:dyDescent="0.25">
      <c r="B2" s="371" t="s">
        <v>199</v>
      </c>
    </row>
    <row r="3" spans="2:12" x14ac:dyDescent="0.2">
      <c r="B3" s="369" t="s">
        <v>200</v>
      </c>
    </row>
    <row r="4" spans="2:12" x14ac:dyDescent="0.2">
      <c r="B4" s="369" t="s">
        <v>210</v>
      </c>
    </row>
    <row r="5" spans="2:12" x14ac:dyDescent="0.2">
      <c r="B5" s="368" t="s">
        <v>211</v>
      </c>
      <c r="C5" s="367"/>
      <c r="D5" s="367"/>
      <c r="E5" s="367"/>
    </row>
    <row r="6" spans="2:12" x14ac:dyDescent="0.2">
      <c r="B6" s="368"/>
      <c r="C6" s="367"/>
      <c r="D6" s="367"/>
      <c r="E6" s="367"/>
    </row>
    <row r="7" spans="2:12" x14ac:dyDescent="0.2">
      <c r="B7" s="368" t="s">
        <v>201</v>
      </c>
      <c r="C7" s="368"/>
      <c r="D7" s="368"/>
      <c r="E7" s="368"/>
      <c r="F7" s="369"/>
      <c r="G7" s="369"/>
      <c r="H7" s="369"/>
      <c r="I7" s="369"/>
      <c r="J7" s="369"/>
      <c r="K7" s="369"/>
      <c r="L7" s="369"/>
    </row>
    <row r="8" spans="2:12" x14ac:dyDescent="0.2">
      <c r="B8" s="369" t="s">
        <v>220</v>
      </c>
      <c r="C8" s="369"/>
      <c r="D8" s="369"/>
      <c r="E8" s="369"/>
      <c r="F8" s="369"/>
      <c r="G8" s="369"/>
      <c r="H8" s="369"/>
      <c r="I8" s="369"/>
      <c r="J8" s="369"/>
      <c r="K8" s="369"/>
      <c r="L8" s="369"/>
    </row>
    <row r="9" spans="2:12" x14ac:dyDescent="0.2">
      <c r="B9" s="369"/>
      <c r="C9" s="369"/>
      <c r="D9" s="369"/>
      <c r="E9" s="369"/>
      <c r="F9" s="369"/>
      <c r="G9" s="369"/>
      <c r="H9" s="369"/>
      <c r="I9" s="369"/>
      <c r="J9" s="369"/>
      <c r="K9" s="369"/>
      <c r="L9" s="369"/>
    </row>
    <row r="10" spans="2:12" x14ac:dyDescent="0.2">
      <c r="B10" s="369" t="s">
        <v>190</v>
      </c>
      <c r="C10" s="369"/>
      <c r="D10" s="369"/>
      <c r="E10" s="369"/>
      <c r="F10" s="369"/>
      <c r="G10" s="369"/>
      <c r="H10" s="369"/>
      <c r="I10" s="369"/>
      <c r="J10" s="369"/>
      <c r="K10" s="369"/>
      <c r="L10" s="369"/>
    </row>
    <row r="11" spans="2:12" x14ac:dyDescent="0.2">
      <c r="B11" s="369" t="s">
        <v>191</v>
      </c>
      <c r="C11" s="369"/>
      <c r="D11" s="369"/>
      <c r="E11" s="369"/>
      <c r="F11" s="369"/>
      <c r="G11" s="369"/>
      <c r="H11" s="369"/>
      <c r="I11" s="369"/>
      <c r="J11" s="369"/>
      <c r="K11" s="369"/>
      <c r="L11" s="369"/>
    </row>
    <row r="12" spans="2:12" x14ac:dyDescent="0.2">
      <c r="B12" s="369" t="s">
        <v>192</v>
      </c>
      <c r="C12" s="369"/>
      <c r="D12" s="369"/>
      <c r="E12" s="369"/>
      <c r="F12" s="369"/>
      <c r="G12" s="369"/>
      <c r="H12" s="369"/>
      <c r="I12" s="369"/>
      <c r="J12" s="369"/>
      <c r="K12" s="369"/>
      <c r="L12" s="369"/>
    </row>
    <row r="13" spans="2:12" x14ac:dyDescent="0.2">
      <c r="B13" s="369" t="s">
        <v>193</v>
      </c>
      <c r="C13" s="369"/>
      <c r="D13" s="369"/>
      <c r="E13" s="369"/>
      <c r="F13" s="369"/>
      <c r="G13" s="369"/>
      <c r="H13" s="369"/>
      <c r="I13" s="369"/>
      <c r="J13" s="369"/>
      <c r="K13" s="369"/>
      <c r="L13" s="369"/>
    </row>
    <row r="14" spans="2:12" x14ac:dyDescent="0.2">
      <c r="B14" s="369"/>
      <c r="C14" s="369"/>
      <c r="D14" s="369"/>
      <c r="E14" s="369"/>
      <c r="F14" s="369"/>
      <c r="G14" s="369"/>
      <c r="H14" s="369"/>
      <c r="I14" s="369"/>
      <c r="J14" s="369"/>
      <c r="K14" s="369"/>
      <c r="L14" s="369"/>
    </row>
    <row r="15" spans="2:12" x14ac:dyDescent="0.2">
      <c r="B15" s="369" t="s">
        <v>189</v>
      </c>
      <c r="C15" s="369"/>
      <c r="D15" s="369"/>
      <c r="E15" s="369"/>
      <c r="F15" s="369"/>
      <c r="G15" s="369"/>
      <c r="H15" s="369"/>
      <c r="I15" s="369"/>
      <c r="J15" s="369"/>
      <c r="K15" s="369"/>
      <c r="L15" s="369"/>
    </row>
    <row r="16" spans="2:12" x14ac:dyDescent="0.2">
      <c r="B16" s="369" t="s">
        <v>194</v>
      </c>
      <c r="C16" s="369"/>
      <c r="D16" s="369"/>
      <c r="E16" s="369"/>
      <c r="F16" s="369"/>
      <c r="G16" s="369"/>
      <c r="H16" s="369"/>
      <c r="I16" s="369"/>
      <c r="J16" s="369"/>
      <c r="K16" s="369"/>
      <c r="L16" s="369"/>
    </row>
    <row r="17" spans="2:12" x14ac:dyDescent="0.2">
      <c r="B17" s="369" t="s">
        <v>195</v>
      </c>
      <c r="C17" s="369"/>
      <c r="D17" s="369"/>
      <c r="E17" s="369"/>
      <c r="F17" s="369"/>
      <c r="G17" s="369"/>
      <c r="H17" s="369"/>
      <c r="I17" s="369"/>
      <c r="J17" s="369"/>
      <c r="K17" s="369"/>
      <c r="L17" s="369"/>
    </row>
    <row r="18" spans="2:12" x14ac:dyDescent="0.2">
      <c r="B18" s="369" t="s">
        <v>196</v>
      </c>
      <c r="C18" s="369"/>
      <c r="D18" s="369"/>
      <c r="E18" s="369"/>
      <c r="F18" s="369"/>
      <c r="G18" s="369"/>
      <c r="H18" s="369"/>
      <c r="I18" s="369"/>
      <c r="J18" s="369"/>
      <c r="K18" s="369"/>
      <c r="L18" s="369"/>
    </row>
    <row r="19" spans="2:12" x14ac:dyDescent="0.2">
      <c r="B19" s="369" t="s">
        <v>197</v>
      </c>
      <c r="C19" s="369"/>
      <c r="D19" s="369"/>
      <c r="E19" s="369"/>
      <c r="F19" s="369"/>
      <c r="G19" s="369"/>
      <c r="H19" s="369"/>
      <c r="I19" s="369"/>
      <c r="J19" s="369"/>
      <c r="K19" s="369"/>
      <c r="L19" s="369"/>
    </row>
    <row r="20" spans="2:12" x14ac:dyDescent="0.2">
      <c r="B20" s="369"/>
      <c r="C20" s="369"/>
      <c r="D20" s="369"/>
      <c r="E20" s="369"/>
      <c r="F20" s="369"/>
      <c r="G20" s="369"/>
      <c r="H20" s="369"/>
      <c r="I20" s="369"/>
      <c r="J20" s="369"/>
      <c r="K20" s="369"/>
      <c r="L20" s="369"/>
    </row>
    <row r="21" spans="2:12" x14ac:dyDescent="0.2">
      <c r="B21" s="369" t="s">
        <v>198</v>
      </c>
      <c r="C21" s="369"/>
      <c r="D21" s="369"/>
      <c r="E21" s="369"/>
      <c r="F21" s="369"/>
      <c r="G21" s="369"/>
      <c r="H21" s="369"/>
      <c r="I21" s="369"/>
      <c r="J21" s="369"/>
      <c r="K21" s="369"/>
      <c r="L21" s="369"/>
    </row>
    <row r="22" spans="2:12" x14ac:dyDescent="0.2">
      <c r="B22" s="369" t="s">
        <v>248</v>
      </c>
      <c r="C22" s="369"/>
      <c r="D22" s="369"/>
      <c r="E22" s="369"/>
      <c r="F22" s="369"/>
      <c r="G22" s="369"/>
      <c r="H22" s="369"/>
      <c r="I22" s="369"/>
      <c r="J22" s="369"/>
      <c r="K22" s="369"/>
      <c r="L22" s="369"/>
    </row>
    <row r="24" spans="2:12" x14ac:dyDescent="0.2">
      <c r="B24" s="377" t="s">
        <v>187</v>
      </c>
    </row>
    <row r="25" spans="2:12" x14ac:dyDescent="0.2">
      <c r="B25" s="4" t="s">
        <v>207</v>
      </c>
    </row>
    <row r="26" spans="2:12" x14ac:dyDescent="0.2">
      <c r="B26" s="4" t="s">
        <v>255</v>
      </c>
    </row>
    <row r="28" spans="2:12" x14ac:dyDescent="0.2">
      <c r="B28" s="4" t="s">
        <v>208</v>
      </c>
    </row>
    <row r="29" spans="2:12" x14ac:dyDescent="0.2">
      <c r="B29" s="4" t="s">
        <v>249</v>
      </c>
    </row>
    <row r="30" spans="2:12" x14ac:dyDescent="0.2">
      <c r="B30" s="4" t="s">
        <v>251</v>
      </c>
    </row>
    <row r="32" spans="2:12" x14ac:dyDescent="0.2">
      <c r="B32" s="56" t="s">
        <v>252</v>
      </c>
    </row>
    <row r="33" spans="2:3" x14ac:dyDescent="0.2">
      <c r="C33" t="s">
        <v>281</v>
      </c>
    </row>
    <row r="34" spans="2:3" x14ac:dyDescent="0.2">
      <c r="C34" t="s">
        <v>282</v>
      </c>
    </row>
    <row r="35" spans="2:3" x14ac:dyDescent="0.2">
      <c r="C35" s="4" t="s">
        <v>250</v>
      </c>
    </row>
    <row r="37" spans="2:3" x14ac:dyDescent="0.2">
      <c r="B37" s="56" t="s">
        <v>253</v>
      </c>
    </row>
    <row r="38" spans="2:3" x14ac:dyDescent="0.2">
      <c r="C38" t="s">
        <v>283</v>
      </c>
    </row>
    <row r="39" spans="2:3" x14ac:dyDescent="0.2">
      <c r="C39" s="4" t="s">
        <v>256</v>
      </c>
    </row>
    <row r="40" spans="2:3" ht="12.75" customHeight="1" x14ac:dyDescent="0.2">
      <c r="C40" s="4" t="s">
        <v>257</v>
      </c>
    </row>
    <row r="41" spans="2:3" ht="12.75" customHeight="1" x14ac:dyDescent="0.2"/>
    <row r="42" spans="2:3" ht="12.75" customHeight="1" x14ac:dyDescent="0.2">
      <c r="B42" s="56" t="s">
        <v>254</v>
      </c>
    </row>
    <row r="43" spans="2:3" ht="12.75" customHeight="1" x14ac:dyDescent="0.2">
      <c r="C43" t="s">
        <v>284</v>
      </c>
    </row>
    <row r="44" spans="2:3" ht="12.75" customHeight="1" x14ac:dyDescent="0.2"/>
    <row r="45" spans="2:3" ht="12.75" customHeight="1" x14ac:dyDescent="0.2">
      <c r="B45" s="56" t="s">
        <v>258</v>
      </c>
    </row>
    <row r="46" spans="2:3" ht="12.75" customHeight="1" x14ac:dyDescent="0.2">
      <c r="C46" s="4" t="s">
        <v>259</v>
      </c>
    </row>
    <row r="47" spans="2:3" ht="12.75" customHeight="1" x14ac:dyDescent="0.2">
      <c r="C47" s="4" t="s">
        <v>209</v>
      </c>
    </row>
    <row r="48" spans="2:3" ht="12.75" customHeight="1" x14ac:dyDescent="0.2"/>
    <row r="49" spans="2:3" ht="12.75" customHeight="1" x14ac:dyDescent="0.2">
      <c r="B49" s="4" t="s">
        <v>213</v>
      </c>
    </row>
    <row r="50" spans="2:3" ht="12.75" customHeight="1" x14ac:dyDescent="0.2">
      <c r="B50" s="4" t="s">
        <v>214</v>
      </c>
    </row>
    <row r="51" spans="2:3" ht="12.75" customHeight="1" x14ac:dyDescent="0.2">
      <c r="B51" s="4" t="s">
        <v>219</v>
      </c>
    </row>
    <row r="52" spans="2:3" ht="12.75" customHeight="1" x14ac:dyDescent="0.2"/>
    <row r="53" spans="2:3" ht="12.75" customHeight="1" x14ac:dyDescent="0.2"/>
    <row r="54" spans="2:3" x14ac:dyDescent="0.2">
      <c r="B54" s="377" t="s">
        <v>188</v>
      </c>
    </row>
    <row r="55" spans="2:3" x14ac:dyDescent="0.2">
      <c r="B55" s="372"/>
      <c r="C55" t="s">
        <v>291</v>
      </c>
    </row>
    <row r="56" spans="2:3" x14ac:dyDescent="0.2">
      <c r="B56" s="17"/>
      <c r="C56" t="s">
        <v>279</v>
      </c>
    </row>
    <row r="57" spans="2:3" x14ac:dyDescent="0.2">
      <c r="B57" s="14"/>
      <c r="C57" s="4" t="s">
        <v>216</v>
      </c>
    </row>
    <row r="58" spans="2:3" x14ac:dyDescent="0.2">
      <c r="C58" s="4" t="s">
        <v>215</v>
      </c>
    </row>
    <row r="59" spans="2:3" x14ac:dyDescent="0.2">
      <c r="B59" s="378"/>
      <c r="C59" s="4" t="s">
        <v>217</v>
      </c>
    </row>
    <row r="60" spans="2:3" x14ac:dyDescent="0.2">
      <c r="B60" s="8"/>
    </row>
    <row r="62" spans="2:3" x14ac:dyDescent="0.2">
      <c r="B62" s="377" t="s">
        <v>186</v>
      </c>
    </row>
    <row r="63" spans="2:3" x14ac:dyDescent="0.2">
      <c r="B63" s="372"/>
      <c r="C63" s="4" t="s">
        <v>202</v>
      </c>
    </row>
    <row r="64" spans="2:3" x14ac:dyDescent="0.2">
      <c r="B64" s="373"/>
      <c r="C64" s="4" t="s">
        <v>203</v>
      </c>
    </row>
    <row r="65" spans="2:17" x14ac:dyDescent="0.2">
      <c r="B65" s="374"/>
      <c r="C65" s="4" t="s">
        <v>204</v>
      </c>
    </row>
    <row r="66" spans="2:17" x14ac:dyDescent="0.2">
      <c r="B66" s="375"/>
      <c r="C66" s="4" t="s">
        <v>205</v>
      </c>
    </row>
    <row r="67" spans="2:17" x14ac:dyDescent="0.2">
      <c r="B67" s="376"/>
      <c r="C67" s="4" t="s">
        <v>206</v>
      </c>
    </row>
    <row r="68" spans="2:17" x14ac:dyDescent="0.2">
      <c r="B68" s="8"/>
    </row>
    <row r="70" spans="2:17" x14ac:dyDescent="0.2">
      <c r="B70" s="377" t="s">
        <v>159</v>
      </c>
    </row>
    <row r="71" spans="2:17" x14ac:dyDescent="0.2">
      <c r="B71" s="586" t="s">
        <v>160</v>
      </c>
      <c r="C71" s="586"/>
      <c r="D71" s="586"/>
      <c r="E71" s="586"/>
      <c r="F71" s="586"/>
      <c r="G71" s="586"/>
      <c r="H71" s="586"/>
      <c r="I71" s="586"/>
      <c r="J71" s="586"/>
      <c r="K71" s="586"/>
      <c r="L71" s="586"/>
      <c r="M71" s="586"/>
      <c r="N71" s="586"/>
      <c r="O71" s="586"/>
      <c r="P71" s="586"/>
      <c r="Q71" s="586"/>
    </row>
    <row r="72" spans="2:17" x14ac:dyDescent="0.2">
      <c r="B72" s="586"/>
      <c r="C72" s="586"/>
      <c r="D72" s="586"/>
      <c r="E72" s="586"/>
      <c r="F72" s="586"/>
      <c r="G72" s="586"/>
      <c r="H72" s="586"/>
      <c r="I72" s="586"/>
      <c r="J72" s="586"/>
      <c r="K72" s="586"/>
      <c r="L72" s="586"/>
      <c r="M72" s="586"/>
      <c r="N72" s="586"/>
      <c r="O72" s="586"/>
      <c r="P72" s="586"/>
      <c r="Q72" s="586"/>
    </row>
    <row r="73" spans="2:17" x14ac:dyDescent="0.2">
      <c r="B73" s="586"/>
      <c r="C73" s="586"/>
      <c r="D73" s="586"/>
      <c r="E73" s="586"/>
      <c r="F73" s="586"/>
      <c r="G73" s="586"/>
      <c r="H73" s="586"/>
      <c r="I73" s="586"/>
      <c r="J73" s="586"/>
      <c r="K73" s="586"/>
      <c r="L73" s="586"/>
      <c r="M73" s="586"/>
      <c r="N73" s="586"/>
      <c r="O73" s="586"/>
      <c r="P73" s="586"/>
      <c r="Q73" s="586"/>
    </row>
    <row r="74" spans="2:17" x14ac:dyDescent="0.2">
      <c r="C74" s="370"/>
      <c r="D74" s="370"/>
      <c r="E74" s="370"/>
      <c r="F74" s="370"/>
      <c r="G74" s="370"/>
      <c r="H74" s="370"/>
      <c r="I74" s="370"/>
      <c r="J74" s="370"/>
    </row>
    <row r="75" spans="2:17" x14ac:dyDescent="0.2">
      <c r="B75" s="587" t="s">
        <v>212</v>
      </c>
      <c r="C75" s="587"/>
      <c r="D75" s="587"/>
      <c r="E75" s="587"/>
      <c r="F75" s="587"/>
      <c r="G75" s="587"/>
      <c r="H75" s="587"/>
      <c r="I75" s="587"/>
      <c r="J75" s="587"/>
      <c r="K75" s="587"/>
      <c r="L75" s="587"/>
      <c r="M75" s="587"/>
      <c r="N75" s="587"/>
      <c r="O75" s="587"/>
      <c r="P75" s="587"/>
      <c r="Q75" s="587"/>
    </row>
    <row r="76" spans="2:17" x14ac:dyDescent="0.2">
      <c r="B76" s="587"/>
      <c r="C76" s="587"/>
      <c r="D76" s="587"/>
      <c r="E76" s="587"/>
      <c r="F76" s="587"/>
      <c r="G76" s="587"/>
      <c r="H76" s="587"/>
      <c r="I76" s="587"/>
      <c r="J76" s="587"/>
      <c r="K76" s="587"/>
      <c r="L76" s="587"/>
      <c r="M76" s="587"/>
      <c r="N76" s="587"/>
      <c r="O76" s="587"/>
      <c r="P76" s="587"/>
      <c r="Q76" s="587"/>
    </row>
    <row r="77" spans="2:17" x14ac:dyDescent="0.2">
      <c r="B77" s="587"/>
      <c r="C77" s="587"/>
      <c r="D77" s="587"/>
      <c r="E77" s="587"/>
      <c r="F77" s="587"/>
      <c r="G77" s="587"/>
      <c r="H77" s="587"/>
      <c r="I77" s="587"/>
      <c r="J77" s="587"/>
      <c r="K77" s="587"/>
      <c r="L77" s="587"/>
      <c r="M77" s="587"/>
      <c r="N77" s="587"/>
      <c r="O77" s="587"/>
      <c r="P77" s="587"/>
      <c r="Q77" s="587"/>
    </row>
    <row r="78" spans="2:17" x14ac:dyDescent="0.2">
      <c r="C78" s="370"/>
      <c r="D78" s="370"/>
      <c r="E78" s="370"/>
      <c r="F78" s="370"/>
      <c r="G78" s="370"/>
      <c r="H78" s="370"/>
      <c r="I78" s="370"/>
      <c r="J78" s="370"/>
    </row>
    <row r="79" spans="2:17" x14ac:dyDescent="0.2">
      <c r="C79" s="370"/>
      <c r="D79" s="370"/>
      <c r="E79" s="370"/>
      <c r="F79" s="370"/>
      <c r="G79" s="370"/>
      <c r="H79" s="370"/>
      <c r="I79" s="370"/>
      <c r="J79" s="370"/>
    </row>
  </sheetData>
  <mergeCells count="2">
    <mergeCell ref="B71:Q73"/>
    <mergeCell ref="B75:Q77"/>
  </mergeCells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FF00"/>
  </sheetPr>
  <dimension ref="A2:K134"/>
  <sheetViews>
    <sheetView workbookViewId="0"/>
  </sheetViews>
  <sheetFormatPr defaultRowHeight="12.75" x14ac:dyDescent="0.2"/>
  <cols>
    <col min="1" max="1" width="5.140625" style="463" customWidth="1"/>
    <col min="2" max="2" width="3.140625" style="463" customWidth="1"/>
    <col min="3" max="3" width="11.5703125" style="463" customWidth="1"/>
    <col min="4" max="4" width="6.140625" style="463" bestFit="1" customWidth="1"/>
    <col min="5" max="6" width="15.140625" style="465" customWidth="1"/>
    <col min="7" max="7" width="11.42578125" style="465" bestFit="1" customWidth="1"/>
    <col min="8" max="8" width="6.140625" style="465" bestFit="1" customWidth="1"/>
    <col min="9" max="9" width="15.140625" style="465" customWidth="1"/>
    <col min="10" max="10" width="14.5703125" style="465" customWidth="1"/>
    <col min="11" max="11" width="12.28515625" style="465" customWidth="1"/>
    <col min="12" max="16384" width="9.140625" style="463"/>
  </cols>
  <sheetData>
    <row r="2" spans="1:11" x14ac:dyDescent="0.2">
      <c r="A2" s="464"/>
      <c r="B2" s="464" t="s">
        <v>269</v>
      </c>
      <c r="C2" s="464"/>
    </row>
    <row r="3" spans="1:11" x14ac:dyDescent="0.2">
      <c r="C3" s="477"/>
      <c r="D3" s="478"/>
      <c r="E3" s="478" t="s">
        <v>267</v>
      </c>
      <c r="F3" s="466"/>
      <c r="G3" s="466"/>
      <c r="H3" s="466"/>
    </row>
    <row r="4" spans="1:11" x14ac:dyDescent="0.2">
      <c r="C4" s="474" t="s">
        <v>265</v>
      </c>
      <c r="D4" s="479"/>
      <c r="E4" s="516" t="s">
        <v>4</v>
      </c>
      <c r="F4" s="466"/>
      <c r="G4" s="466"/>
      <c r="H4" s="466"/>
    </row>
    <row r="5" spans="1:11" x14ac:dyDescent="0.2">
      <c r="C5" s="475" t="s">
        <v>266</v>
      </c>
      <c r="D5" s="480"/>
      <c r="E5" s="517" t="s">
        <v>268</v>
      </c>
      <c r="F5" s="466"/>
      <c r="G5" s="466"/>
      <c r="H5" s="466"/>
    </row>
    <row r="7" spans="1:11" x14ac:dyDescent="0.2">
      <c r="C7" s="463" t="s">
        <v>270</v>
      </c>
    </row>
    <row r="8" spans="1:11" x14ac:dyDescent="0.2">
      <c r="C8" s="86"/>
      <c r="D8" s="86"/>
    </row>
    <row r="9" spans="1:11" x14ac:dyDescent="0.2">
      <c r="C9" s="86"/>
      <c r="D9" s="86"/>
    </row>
    <row r="12" spans="1:11" x14ac:dyDescent="0.2">
      <c r="B12" s="464" t="s">
        <v>262</v>
      </c>
      <c r="C12" s="464"/>
    </row>
    <row r="13" spans="1:11" x14ac:dyDescent="0.2">
      <c r="C13" s="485"/>
      <c r="D13" s="473"/>
      <c r="E13" s="596" t="s">
        <v>272</v>
      </c>
      <c r="F13" s="597"/>
      <c r="G13" s="592" t="s">
        <v>274</v>
      </c>
      <c r="H13" s="593"/>
      <c r="I13" s="593"/>
      <c r="J13" s="593"/>
      <c r="K13" s="594"/>
    </row>
    <row r="14" spans="1:11" x14ac:dyDescent="0.2">
      <c r="C14" s="486" t="s">
        <v>36</v>
      </c>
      <c r="D14" s="487"/>
      <c r="E14" s="588" t="s">
        <v>260</v>
      </c>
      <c r="F14" s="595"/>
      <c r="G14" s="486" t="s">
        <v>36</v>
      </c>
      <c r="H14" s="483"/>
      <c r="I14" s="483"/>
      <c r="J14" s="466"/>
      <c r="K14" s="479"/>
    </row>
    <row r="15" spans="1:11" x14ac:dyDescent="0.2">
      <c r="C15" s="469" t="s">
        <v>19</v>
      </c>
      <c r="D15" s="184" t="s">
        <v>20</v>
      </c>
      <c r="E15" s="489" t="s">
        <v>263</v>
      </c>
      <c r="F15" s="491" t="s">
        <v>264</v>
      </c>
      <c r="G15" s="469" t="s">
        <v>19</v>
      </c>
      <c r="H15" s="467" t="s">
        <v>20</v>
      </c>
      <c r="I15" s="476" t="s">
        <v>278</v>
      </c>
      <c r="J15" s="490" t="s">
        <v>263</v>
      </c>
      <c r="K15" s="491" t="s">
        <v>264</v>
      </c>
    </row>
    <row r="16" spans="1:11" x14ac:dyDescent="0.2">
      <c r="C16" s="470">
        <v>2</v>
      </c>
      <c r="D16" s="183" t="s">
        <v>6</v>
      </c>
      <c r="E16" s="506">
        <v>38504</v>
      </c>
      <c r="F16" s="507">
        <v>2038</v>
      </c>
      <c r="G16" s="470">
        <v>2</v>
      </c>
      <c r="H16" s="183" t="s">
        <v>6</v>
      </c>
      <c r="I16" s="471" t="s">
        <v>5</v>
      </c>
      <c r="J16" s="511">
        <v>0</v>
      </c>
      <c r="K16" s="408">
        <v>0</v>
      </c>
    </row>
    <row r="17" spans="3:11" x14ac:dyDescent="0.2">
      <c r="C17" s="470">
        <v>2</v>
      </c>
      <c r="D17" s="183" t="s">
        <v>7</v>
      </c>
      <c r="E17" s="506">
        <v>73835</v>
      </c>
      <c r="F17" s="507">
        <v>4837</v>
      </c>
      <c r="G17" s="470">
        <v>2</v>
      </c>
      <c r="H17" s="183" t="s">
        <v>7</v>
      </c>
      <c r="I17" s="471" t="s">
        <v>5</v>
      </c>
      <c r="J17" s="512">
        <v>0</v>
      </c>
      <c r="K17" s="408">
        <v>0</v>
      </c>
    </row>
    <row r="18" spans="3:11" x14ac:dyDescent="0.2">
      <c r="C18" s="470">
        <v>2</v>
      </c>
      <c r="D18" s="183" t="s">
        <v>8</v>
      </c>
      <c r="E18" s="506">
        <v>110381</v>
      </c>
      <c r="F18" s="507">
        <v>5555</v>
      </c>
      <c r="G18" s="470">
        <v>2</v>
      </c>
      <c r="H18" s="183" t="s">
        <v>8</v>
      </c>
      <c r="I18" s="471" t="s">
        <v>5</v>
      </c>
      <c r="J18" s="512">
        <v>0</v>
      </c>
      <c r="K18" s="408">
        <v>0</v>
      </c>
    </row>
    <row r="19" spans="3:11" x14ac:dyDescent="0.2">
      <c r="C19" s="470">
        <v>2</v>
      </c>
      <c r="D19" s="183" t="s">
        <v>9</v>
      </c>
      <c r="E19" s="506">
        <v>87117</v>
      </c>
      <c r="F19" s="507">
        <v>4386</v>
      </c>
      <c r="G19" s="470">
        <v>2</v>
      </c>
      <c r="H19" s="183" t="s">
        <v>9</v>
      </c>
      <c r="I19" s="471" t="s">
        <v>5</v>
      </c>
      <c r="J19" s="512">
        <v>0</v>
      </c>
      <c r="K19" s="408">
        <v>0</v>
      </c>
    </row>
    <row r="20" spans="3:11" x14ac:dyDescent="0.2">
      <c r="C20" s="470">
        <v>2</v>
      </c>
      <c r="D20" s="183" t="s">
        <v>10</v>
      </c>
      <c r="E20" s="506">
        <v>82694</v>
      </c>
      <c r="F20" s="507">
        <v>3180</v>
      </c>
      <c r="G20" s="470">
        <v>2</v>
      </c>
      <c r="H20" s="183" t="s">
        <v>10</v>
      </c>
      <c r="I20" s="471" t="s">
        <v>5</v>
      </c>
      <c r="J20" s="512">
        <v>0</v>
      </c>
      <c r="K20" s="408">
        <v>0</v>
      </c>
    </row>
    <row r="21" spans="3:11" x14ac:dyDescent="0.2">
      <c r="C21" s="470">
        <v>2</v>
      </c>
      <c r="D21" s="183" t="s">
        <v>11</v>
      </c>
      <c r="E21" s="506">
        <v>35399</v>
      </c>
      <c r="F21" s="507">
        <v>1259</v>
      </c>
      <c r="G21" s="470">
        <v>2</v>
      </c>
      <c r="H21" s="183" t="s">
        <v>11</v>
      </c>
      <c r="I21" s="471" t="s">
        <v>5</v>
      </c>
      <c r="J21" s="512">
        <v>0</v>
      </c>
      <c r="K21" s="408">
        <v>0</v>
      </c>
    </row>
    <row r="22" spans="3:11" x14ac:dyDescent="0.2">
      <c r="C22" s="470">
        <v>2</v>
      </c>
      <c r="D22" s="183" t="s">
        <v>12</v>
      </c>
      <c r="E22" s="506">
        <v>20855</v>
      </c>
      <c r="F22" s="507">
        <v>1012</v>
      </c>
      <c r="G22" s="470">
        <v>2</v>
      </c>
      <c r="H22" s="183" t="s">
        <v>12</v>
      </c>
      <c r="I22" s="471" t="s">
        <v>5</v>
      </c>
      <c r="J22" s="512">
        <v>0</v>
      </c>
      <c r="K22" s="408">
        <v>0</v>
      </c>
    </row>
    <row r="23" spans="3:11" x14ac:dyDescent="0.2">
      <c r="C23" s="470">
        <v>2</v>
      </c>
      <c r="D23" s="183" t="s">
        <v>13</v>
      </c>
      <c r="E23" s="506">
        <v>16854</v>
      </c>
      <c r="F23" s="507">
        <v>417</v>
      </c>
      <c r="G23" s="470">
        <v>2</v>
      </c>
      <c r="H23" s="183" t="s">
        <v>13</v>
      </c>
      <c r="I23" s="471" t="s">
        <v>5</v>
      </c>
      <c r="J23" s="512">
        <v>0</v>
      </c>
      <c r="K23" s="408">
        <v>0</v>
      </c>
    </row>
    <row r="24" spans="3:11" x14ac:dyDescent="0.2">
      <c r="C24" s="470">
        <v>1</v>
      </c>
      <c r="D24" s="183" t="s">
        <v>6</v>
      </c>
      <c r="E24" s="506">
        <v>40476</v>
      </c>
      <c r="F24" s="508">
        <v>1962</v>
      </c>
      <c r="G24" s="470">
        <v>1</v>
      </c>
      <c r="H24" s="183" t="s">
        <v>6</v>
      </c>
      <c r="I24" s="471" t="s">
        <v>5</v>
      </c>
      <c r="J24" s="512">
        <v>0</v>
      </c>
      <c r="K24" s="408">
        <v>0</v>
      </c>
    </row>
    <row r="25" spans="3:11" x14ac:dyDescent="0.2">
      <c r="C25" s="470">
        <v>1</v>
      </c>
      <c r="D25" s="183" t="s">
        <v>7</v>
      </c>
      <c r="E25" s="506">
        <v>76614</v>
      </c>
      <c r="F25" s="508">
        <v>4589</v>
      </c>
      <c r="G25" s="470">
        <v>1</v>
      </c>
      <c r="H25" s="183" t="s">
        <v>7</v>
      </c>
      <c r="I25" s="471" t="s">
        <v>5</v>
      </c>
      <c r="J25" s="512">
        <v>0</v>
      </c>
      <c r="K25" s="408">
        <v>0</v>
      </c>
    </row>
    <row r="26" spans="3:11" x14ac:dyDescent="0.2">
      <c r="C26" s="470">
        <v>1</v>
      </c>
      <c r="D26" s="183" t="s">
        <v>8</v>
      </c>
      <c r="E26" s="506">
        <v>116710</v>
      </c>
      <c r="F26" s="508">
        <v>4767</v>
      </c>
      <c r="G26" s="470">
        <v>1</v>
      </c>
      <c r="H26" s="183" t="s">
        <v>8</v>
      </c>
      <c r="I26" s="471" t="s">
        <v>5</v>
      </c>
      <c r="J26" s="512">
        <v>0</v>
      </c>
      <c r="K26" s="408">
        <v>0</v>
      </c>
    </row>
    <row r="27" spans="3:11" x14ac:dyDescent="0.2">
      <c r="C27" s="470">
        <v>1</v>
      </c>
      <c r="D27" s="183" t="s">
        <v>9</v>
      </c>
      <c r="E27" s="506">
        <v>89486</v>
      </c>
      <c r="F27" s="508">
        <v>4198</v>
      </c>
      <c r="G27" s="470">
        <v>1</v>
      </c>
      <c r="H27" s="183" t="s">
        <v>9</v>
      </c>
      <c r="I27" s="471" t="s">
        <v>5</v>
      </c>
      <c r="J27" s="512">
        <v>3</v>
      </c>
      <c r="K27" s="408">
        <v>1</v>
      </c>
    </row>
    <row r="28" spans="3:11" x14ac:dyDescent="0.2">
      <c r="C28" s="470">
        <v>1</v>
      </c>
      <c r="D28" s="183" t="s">
        <v>10</v>
      </c>
      <c r="E28" s="506">
        <v>81265</v>
      </c>
      <c r="F28" s="508">
        <v>2957</v>
      </c>
      <c r="G28" s="470">
        <v>1</v>
      </c>
      <c r="H28" s="183" t="s">
        <v>10</v>
      </c>
      <c r="I28" s="471" t="s">
        <v>5</v>
      </c>
      <c r="J28" s="512">
        <v>21</v>
      </c>
      <c r="K28" s="408">
        <v>1</v>
      </c>
    </row>
    <row r="29" spans="3:11" x14ac:dyDescent="0.2">
      <c r="C29" s="470">
        <v>1</v>
      </c>
      <c r="D29" s="183" t="s">
        <v>11</v>
      </c>
      <c r="E29" s="506">
        <v>33077</v>
      </c>
      <c r="F29" s="508">
        <v>1391</v>
      </c>
      <c r="G29" s="470">
        <v>1</v>
      </c>
      <c r="H29" s="183" t="s">
        <v>11</v>
      </c>
      <c r="I29" s="471" t="s">
        <v>5</v>
      </c>
      <c r="J29" s="512">
        <v>18</v>
      </c>
      <c r="K29" s="408">
        <v>0</v>
      </c>
    </row>
    <row r="30" spans="3:11" x14ac:dyDescent="0.2">
      <c r="C30" s="470">
        <v>1</v>
      </c>
      <c r="D30" s="183" t="s">
        <v>12</v>
      </c>
      <c r="E30" s="506">
        <v>16815</v>
      </c>
      <c r="F30" s="508">
        <v>1164</v>
      </c>
      <c r="G30" s="470">
        <v>1</v>
      </c>
      <c r="H30" s="183" t="s">
        <v>12</v>
      </c>
      <c r="I30" s="471" t="s">
        <v>5</v>
      </c>
      <c r="J30" s="512">
        <v>11</v>
      </c>
      <c r="K30" s="408">
        <v>1</v>
      </c>
    </row>
    <row r="31" spans="3:11" x14ac:dyDescent="0.2">
      <c r="C31" s="469">
        <v>1</v>
      </c>
      <c r="D31" s="467" t="s">
        <v>13</v>
      </c>
      <c r="E31" s="509">
        <v>10368</v>
      </c>
      <c r="F31" s="510">
        <v>674</v>
      </c>
      <c r="G31" s="470">
        <v>1</v>
      </c>
      <c r="H31" s="183" t="s">
        <v>13</v>
      </c>
      <c r="I31" s="471" t="s">
        <v>5</v>
      </c>
      <c r="J31" s="512">
        <v>26</v>
      </c>
      <c r="K31" s="408">
        <v>2</v>
      </c>
    </row>
    <row r="32" spans="3:11" x14ac:dyDescent="0.2">
      <c r="C32" s="589" t="s">
        <v>273</v>
      </c>
      <c r="D32" s="595"/>
      <c r="E32" s="539">
        <f>SUM(E16:E31)</f>
        <v>930450</v>
      </c>
      <c r="F32" s="540">
        <f>SUM(F16:F31)</f>
        <v>44386</v>
      </c>
      <c r="G32" s="588" t="s">
        <v>273</v>
      </c>
      <c r="H32" s="589"/>
      <c r="I32" s="471" t="s">
        <v>14</v>
      </c>
      <c r="J32" s="513">
        <f>SUM(J16:J31)</f>
        <v>79</v>
      </c>
      <c r="K32" s="408">
        <f>SUM(K16:K31)</f>
        <v>5</v>
      </c>
    </row>
    <row r="33" spans="5:11" x14ac:dyDescent="0.2">
      <c r="E33" s="537">
        <f>E16</f>
        <v>38504</v>
      </c>
      <c r="F33" s="541">
        <f>F16</f>
        <v>2038</v>
      </c>
      <c r="G33" s="470">
        <v>2</v>
      </c>
      <c r="H33" s="183" t="s">
        <v>6</v>
      </c>
      <c r="I33" s="471" t="s">
        <v>15</v>
      </c>
      <c r="J33" s="512">
        <v>0</v>
      </c>
      <c r="K33" s="408">
        <v>0</v>
      </c>
    </row>
    <row r="34" spans="5:11" x14ac:dyDescent="0.2">
      <c r="E34" s="537">
        <f t="shared" ref="E34:E97" si="0">E17</f>
        <v>73835</v>
      </c>
      <c r="F34" s="541">
        <f t="shared" ref="F34:F97" si="1">F17</f>
        <v>4837</v>
      </c>
      <c r="G34" s="470">
        <v>2</v>
      </c>
      <c r="H34" s="183" t="s">
        <v>7</v>
      </c>
      <c r="I34" s="471" t="s">
        <v>15</v>
      </c>
      <c r="J34" s="512">
        <v>0</v>
      </c>
      <c r="K34" s="408">
        <v>0</v>
      </c>
    </row>
    <row r="35" spans="5:11" x14ac:dyDescent="0.2">
      <c r="E35" s="537">
        <f t="shared" si="0"/>
        <v>110381</v>
      </c>
      <c r="F35" s="541">
        <f t="shared" si="1"/>
        <v>5555</v>
      </c>
      <c r="G35" s="470">
        <v>2</v>
      </c>
      <c r="H35" s="183" t="s">
        <v>8</v>
      </c>
      <c r="I35" s="471" t="s">
        <v>15</v>
      </c>
      <c r="J35" s="512">
        <v>1</v>
      </c>
      <c r="K35" s="408">
        <v>0</v>
      </c>
    </row>
    <row r="36" spans="5:11" x14ac:dyDescent="0.2">
      <c r="E36" s="537">
        <f t="shared" si="0"/>
        <v>87117</v>
      </c>
      <c r="F36" s="541">
        <f t="shared" si="1"/>
        <v>4386</v>
      </c>
      <c r="G36" s="470">
        <v>2</v>
      </c>
      <c r="H36" s="183" t="s">
        <v>9</v>
      </c>
      <c r="I36" s="471" t="s">
        <v>15</v>
      </c>
      <c r="J36" s="512">
        <v>0</v>
      </c>
      <c r="K36" s="408">
        <v>0</v>
      </c>
    </row>
    <row r="37" spans="5:11" x14ac:dyDescent="0.2">
      <c r="E37" s="537">
        <f t="shared" si="0"/>
        <v>82694</v>
      </c>
      <c r="F37" s="541">
        <f t="shared" si="1"/>
        <v>3180</v>
      </c>
      <c r="G37" s="470">
        <v>2</v>
      </c>
      <c r="H37" s="183" t="s">
        <v>10</v>
      </c>
      <c r="I37" s="471" t="s">
        <v>15</v>
      </c>
      <c r="J37" s="512">
        <v>21</v>
      </c>
      <c r="K37" s="408">
        <v>2</v>
      </c>
    </row>
    <row r="38" spans="5:11" x14ac:dyDescent="0.2">
      <c r="E38" s="537">
        <f t="shared" si="0"/>
        <v>35399</v>
      </c>
      <c r="F38" s="541">
        <f t="shared" si="1"/>
        <v>1259</v>
      </c>
      <c r="G38" s="470">
        <v>2</v>
      </c>
      <c r="H38" s="183" t="s">
        <v>11</v>
      </c>
      <c r="I38" s="471" t="s">
        <v>15</v>
      </c>
      <c r="J38" s="512">
        <v>11</v>
      </c>
      <c r="K38" s="408">
        <v>3</v>
      </c>
    </row>
    <row r="39" spans="5:11" x14ac:dyDescent="0.2">
      <c r="E39" s="537">
        <f t="shared" si="0"/>
        <v>20855</v>
      </c>
      <c r="F39" s="541">
        <f t="shared" si="1"/>
        <v>1012</v>
      </c>
      <c r="G39" s="470">
        <v>2</v>
      </c>
      <c r="H39" s="183" t="s">
        <v>12</v>
      </c>
      <c r="I39" s="471" t="s">
        <v>15</v>
      </c>
      <c r="J39" s="512">
        <v>21</v>
      </c>
      <c r="K39" s="408">
        <v>1</v>
      </c>
    </row>
    <row r="40" spans="5:11" x14ac:dyDescent="0.2">
      <c r="E40" s="537">
        <f t="shared" si="0"/>
        <v>16854</v>
      </c>
      <c r="F40" s="541">
        <f t="shared" si="1"/>
        <v>417</v>
      </c>
      <c r="G40" s="470">
        <v>2</v>
      </c>
      <c r="H40" s="183" t="s">
        <v>13</v>
      </c>
      <c r="I40" s="471" t="s">
        <v>15</v>
      </c>
      <c r="J40" s="512">
        <v>16</v>
      </c>
      <c r="K40" s="408">
        <v>1</v>
      </c>
    </row>
    <row r="41" spans="5:11" x14ac:dyDescent="0.2">
      <c r="E41" s="537">
        <f t="shared" si="0"/>
        <v>40476</v>
      </c>
      <c r="F41" s="541">
        <f t="shared" si="1"/>
        <v>1962</v>
      </c>
      <c r="G41" s="470">
        <v>1</v>
      </c>
      <c r="H41" s="183" t="s">
        <v>6</v>
      </c>
      <c r="I41" s="471" t="s">
        <v>15</v>
      </c>
      <c r="J41" s="512">
        <v>0</v>
      </c>
      <c r="K41" s="408">
        <v>0</v>
      </c>
    </row>
    <row r="42" spans="5:11" x14ac:dyDescent="0.2">
      <c r="E42" s="537">
        <f t="shared" si="0"/>
        <v>76614</v>
      </c>
      <c r="F42" s="541">
        <f t="shared" si="1"/>
        <v>4589</v>
      </c>
      <c r="G42" s="470">
        <v>1</v>
      </c>
      <c r="H42" s="183" t="s">
        <v>7</v>
      </c>
      <c r="I42" s="471" t="s">
        <v>15</v>
      </c>
      <c r="J42" s="512">
        <v>0</v>
      </c>
      <c r="K42" s="408">
        <v>0</v>
      </c>
    </row>
    <row r="43" spans="5:11" x14ac:dyDescent="0.2">
      <c r="E43" s="537">
        <f t="shared" si="0"/>
        <v>116710</v>
      </c>
      <c r="F43" s="541">
        <f t="shared" si="1"/>
        <v>4767</v>
      </c>
      <c r="G43" s="470">
        <v>1</v>
      </c>
      <c r="H43" s="183" t="s">
        <v>8</v>
      </c>
      <c r="I43" s="471" t="s">
        <v>15</v>
      </c>
      <c r="J43" s="512">
        <v>0</v>
      </c>
      <c r="K43" s="408">
        <v>0</v>
      </c>
    </row>
    <row r="44" spans="5:11" x14ac:dyDescent="0.2">
      <c r="E44" s="537">
        <f t="shared" si="0"/>
        <v>89486</v>
      </c>
      <c r="F44" s="541">
        <f t="shared" si="1"/>
        <v>4198</v>
      </c>
      <c r="G44" s="470">
        <v>1</v>
      </c>
      <c r="H44" s="183" t="s">
        <v>9</v>
      </c>
      <c r="I44" s="471" t="s">
        <v>15</v>
      </c>
      <c r="J44" s="512">
        <v>2</v>
      </c>
      <c r="K44" s="408">
        <v>1</v>
      </c>
    </row>
    <row r="45" spans="5:11" x14ac:dyDescent="0.2">
      <c r="E45" s="537">
        <f t="shared" si="0"/>
        <v>81265</v>
      </c>
      <c r="F45" s="541">
        <f t="shared" si="1"/>
        <v>2957</v>
      </c>
      <c r="G45" s="470">
        <v>1</v>
      </c>
      <c r="H45" s="183" t="s">
        <v>10</v>
      </c>
      <c r="I45" s="471" t="s">
        <v>15</v>
      </c>
      <c r="J45" s="512">
        <v>9</v>
      </c>
      <c r="K45" s="408">
        <v>0</v>
      </c>
    </row>
    <row r="46" spans="5:11" x14ac:dyDescent="0.2">
      <c r="E46" s="537">
        <f t="shared" si="0"/>
        <v>33077</v>
      </c>
      <c r="F46" s="541">
        <f t="shared" si="1"/>
        <v>1391</v>
      </c>
      <c r="G46" s="470">
        <v>1</v>
      </c>
      <c r="H46" s="183" t="s">
        <v>11</v>
      </c>
      <c r="I46" s="471" t="s">
        <v>15</v>
      </c>
      <c r="J46" s="512">
        <v>6</v>
      </c>
      <c r="K46" s="408">
        <v>1</v>
      </c>
    </row>
    <row r="47" spans="5:11" x14ac:dyDescent="0.2">
      <c r="E47" s="537">
        <f t="shared" si="0"/>
        <v>16815</v>
      </c>
      <c r="F47" s="541">
        <f t="shared" si="1"/>
        <v>1164</v>
      </c>
      <c r="G47" s="470">
        <v>1</v>
      </c>
      <c r="H47" s="183" t="s">
        <v>12</v>
      </c>
      <c r="I47" s="471" t="s">
        <v>15</v>
      </c>
      <c r="J47" s="512">
        <v>9</v>
      </c>
      <c r="K47" s="408">
        <v>1</v>
      </c>
    </row>
    <row r="48" spans="5:11" x14ac:dyDescent="0.2">
      <c r="E48" s="537">
        <f t="shared" si="0"/>
        <v>10368</v>
      </c>
      <c r="F48" s="541">
        <f t="shared" si="1"/>
        <v>674</v>
      </c>
      <c r="G48" s="470">
        <v>1</v>
      </c>
      <c r="H48" s="183" t="s">
        <v>13</v>
      </c>
      <c r="I48" s="471" t="s">
        <v>15</v>
      </c>
      <c r="J48" s="512">
        <v>15</v>
      </c>
      <c r="K48" s="408">
        <v>1</v>
      </c>
    </row>
    <row r="49" spans="5:11" x14ac:dyDescent="0.2">
      <c r="E49" s="537">
        <f t="shared" si="0"/>
        <v>930450</v>
      </c>
      <c r="F49" s="541">
        <f t="shared" si="1"/>
        <v>44386</v>
      </c>
      <c r="G49" s="588" t="s">
        <v>273</v>
      </c>
      <c r="H49" s="589"/>
      <c r="I49" s="471" t="s">
        <v>16</v>
      </c>
      <c r="J49" s="513">
        <f>SUM(J33:J48)</f>
        <v>111</v>
      </c>
      <c r="K49" s="408">
        <f>SUM(K33:K48)</f>
        <v>11</v>
      </c>
    </row>
    <row r="50" spans="5:11" x14ac:dyDescent="0.2">
      <c r="E50" s="537">
        <f t="shared" si="0"/>
        <v>38504</v>
      </c>
      <c r="F50" s="541">
        <f t="shared" si="1"/>
        <v>2038</v>
      </c>
      <c r="G50" s="470">
        <v>2</v>
      </c>
      <c r="H50" s="183" t="s">
        <v>6</v>
      </c>
      <c r="I50" s="471" t="s">
        <v>17</v>
      </c>
      <c r="J50" s="512">
        <v>0</v>
      </c>
      <c r="K50" s="408">
        <v>0</v>
      </c>
    </row>
    <row r="51" spans="5:11" x14ac:dyDescent="0.2">
      <c r="E51" s="537">
        <f t="shared" si="0"/>
        <v>73835</v>
      </c>
      <c r="F51" s="541">
        <f t="shared" si="1"/>
        <v>4837</v>
      </c>
      <c r="G51" s="470">
        <v>2</v>
      </c>
      <c r="H51" s="183" t="s">
        <v>7</v>
      </c>
      <c r="I51" s="471" t="s">
        <v>17</v>
      </c>
      <c r="J51" s="512">
        <v>0</v>
      </c>
      <c r="K51" s="408">
        <v>0</v>
      </c>
    </row>
    <row r="52" spans="5:11" x14ac:dyDescent="0.2">
      <c r="E52" s="537">
        <f t="shared" si="0"/>
        <v>110381</v>
      </c>
      <c r="F52" s="541">
        <f t="shared" si="1"/>
        <v>5555</v>
      </c>
      <c r="G52" s="470">
        <v>2</v>
      </c>
      <c r="H52" s="183" t="s">
        <v>8</v>
      </c>
      <c r="I52" s="471" t="s">
        <v>17</v>
      </c>
      <c r="J52" s="512">
        <v>0</v>
      </c>
      <c r="K52" s="408">
        <v>0</v>
      </c>
    </row>
    <row r="53" spans="5:11" x14ac:dyDescent="0.2">
      <c r="E53" s="537">
        <f t="shared" si="0"/>
        <v>87117</v>
      </c>
      <c r="F53" s="541">
        <f t="shared" si="1"/>
        <v>4386</v>
      </c>
      <c r="G53" s="470">
        <v>2</v>
      </c>
      <c r="H53" s="183" t="s">
        <v>9</v>
      </c>
      <c r="I53" s="471" t="s">
        <v>17</v>
      </c>
      <c r="J53" s="512">
        <v>10</v>
      </c>
      <c r="K53" s="408">
        <v>0</v>
      </c>
    </row>
    <row r="54" spans="5:11" x14ac:dyDescent="0.2">
      <c r="E54" s="537">
        <f t="shared" si="0"/>
        <v>82694</v>
      </c>
      <c r="F54" s="541">
        <f t="shared" si="1"/>
        <v>3180</v>
      </c>
      <c r="G54" s="470">
        <v>2</v>
      </c>
      <c r="H54" s="183" t="s">
        <v>10</v>
      </c>
      <c r="I54" s="471" t="s">
        <v>17</v>
      </c>
      <c r="J54" s="512">
        <v>88</v>
      </c>
      <c r="K54" s="408">
        <v>8</v>
      </c>
    </row>
    <row r="55" spans="5:11" x14ac:dyDescent="0.2">
      <c r="E55" s="537">
        <f t="shared" si="0"/>
        <v>35399</v>
      </c>
      <c r="F55" s="541">
        <f t="shared" si="1"/>
        <v>1259</v>
      </c>
      <c r="G55" s="470">
        <v>2</v>
      </c>
      <c r="H55" s="183" t="s">
        <v>11</v>
      </c>
      <c r="I55" s="471" t="s">
        <v>17</v>
      </c>
      <c r="J55" s="512">
        <v>98</v>
      </c>
      <c r="K55" s="408">
        <v>5</v>
      </c>
    </row>
    <row r="56" spans="5:11" x14ac:dyDescent="0.2">
      <c r="E56" s="537">
        <f t="shared" si="0"/>
        <v>20855</v>
      </c>
      <c r="F56" s="541">
        <f t="shared" si="1"/>
        <v>1012</v>
      </c>
      <c r="G56" s="470">
        <v>2</v>
      </c>
      <c r="H56" s="183" t="s">
        <v>12</v>
      </c>
      <c r="I56" s="471" t="s">
        <v>17</v>
      </c>
      <c r="J56" s="512">
        <v>117</v>
      </c>
      <c r="K56" s="408">
        <v>11</v>
      </c>
    </row>
    <row r="57" spans="5:11" x14ac:dyDescent="0.2">
      <c r="E57" s="537">
        <f t="shared" si="0"/>
        <v>16854</v>
      </c>
      <c r="F57" s="541">
        <f t="shared" si="1"/>
        <v>417</v>
      </c>
      <c r="G57" s="470">
        <v>2</v>
      </c>
      <c r="H57" s="183" t="s">
        <v>13</v>
      </c>
      <c r="I57" s="471" t="s">
        <v>17</v>
      </c>
      <c r="J57" s="512">
        <v>244</v>
      </c>
      <c r="K57" s="408">
        <v>10</v>
      </c>
    </row>
    <row r="58" spans="5:11" x14ac:dyDescent="0.2">
      <c r="E58" s="537">
        <f t="shared" si="0"/>
        <v>40476</v>
      </c>
      <c r="F58" s="541">
        <f t="shared" si="1"/>
        <v>1962</v>
      </c>
      <c r="G58" s="470">
        <v>1</v>
      </c>
      <c r="H58" s="183" t="s">
        <v>6</v>
      </c>
      <c r="I58" s="471" t="s">
        <v>17</v>
      </c>
      <c r="J58" s="512">
        <v>0</v>
      </c>
      <c r="K58" s="408">
        <v>0</v>
      </c>
    </row>
    <row r="59" spans="5:11" x14ac:dyDescent="0.2">
      <c r="E59" s="537">
        <f t="shared" si="0"/>
        <v>76614</v>
      </c>
      <c r="F59" s="541">
        <f t="shared" si="1"/>
        <v>4589</v>
      </c>
      <c r="G59" s="470">
        <v>1</v>
      </c>
      <c r="H59" s="183" t="s">
        <v>7</v>
      </c>
      <c r="I59" s="471" t="s">
        <v>17</v>
      </c>
      <c r="J59" s="512">
        <v>0</v>
      </c>
      <c r="K59" s="408">
        <v>0</v>
      </c>
    </row>
    <row r="60" spans="5:11" x14ac:dyDescent="0.2">
      <c r="E60" s="537">
        <f t="shared" si="0"/>
        <v>116710</v>
      </c>
      <c r="F60" s="541">
        <f t="shared" si="1"/>
        <v>4767</v>
      </c>
      <c r="G60" s="470">
        <v>1</v>
      </c>
      <c r="H60" s="183" t="s">
        <v>8</v>
      </c>
      <c r="I60" s="471" t="s">
        <v>17</v>
      </c>
      <c r="J60" s="512">
        <v>0</v>
      </c>
      <c r="K60" s="408">
        <v>0</v>
      </c>
    </row>
    <row r="61" spans="5:11" x14ac:dyDescent="0.2">
      <c r="E61" s="537">
        <f t="shared" si="0"/>
        <v>89486</v>
      </c>
      <c r="F61" s="541">
        <f t="shared" si="1"/>
        <v>4198</v>
      </c>
      <c r="G61" s="470">
        <v>1</v>
      </c>
      <c r="H61" s="183" t="s">
        <v>9</v>
      </c>
      <c r="I61" s="471" t="s">
        <v>17</v>
      </c>
      <c r="J61" s="512">
        <v>3</v>
      </c>
      <c r="K61" s="408">
        <v>0</v>
      </c>
    </row>
    <row r="62" spans="5:11" x14ac:dyDescent="0.2">
      <c r="E62" s="537">
        <f t="shared" si="0"/>
        <v>81265</v>
      </c>
      <c r="F62" s="541">
        <f t="shared" si="1"/>
        <v>2957</v>
      </c>
      <c r="G62" s="470">
        <v>1</v>
      </c>
      <c r="H62" s="183" t="s">
        <v>10</v>
      </c>
      <c r="I62" s="471" t="s">
        <v>17</v>
      </c>
      <c r="J62" s="512">
        <v>15</v>
      </c>
      <c r="K62" s="408">
        <v>0</v>
      </c>
    </row>
    <row r="63" spans="5:11" x14ac:dyDescent="0.2">
      <c r="E63" s="537">
        <f t="shared" si="0"/>
        <v>33077</v>
      </c>
      <c r="F63" s="541">
        <f t="shared" si="1"/>
        <v>1391</v>
      </c>
      <c r="G63" s="470">
        <v>1</v>
      </c>
      <c r="H63" s="183" t="s">
        <v>11</v>
      </c>
      <c r="I63" s="471" t="s">
        <v>17</v>
      </c>
      <c r="J63" s="512">
        <v>37</v>
      </c>
      <c r="K63" s="408">
        <v>2</v>
      </c>
    </row>
    <row r="64" spans="5:11" x14ac:dyDescent="0.2">
      <c r="E64" s="537">
        <f t="shared" si="0"/>
        <v>16815</v>
      </c>
      <c r="F64" s="541">
        <f t="shared" si="1"/>
        <v>1164</v>
      </c>
      <c r="G64" s="470">
        <v>1</v>
      </c>
      <c r="H64" s="183" t="s">
        <v>12</v>
      </c>
      <c r="I64" s="471" t="s">
        <v>17</v>
      </c>
      <c r="J64" s="512">
        <v>71</v>
      </c>
      <c r="K64" s="408">
        <v>6</v>
      </c>
    </row>
    <row r="65" spans="5:11" x14ac:dyDescent="0.2">
      <c r="E65" s="537">
        <f t="shared" si="0"/>
        <v>10368</v>
      </c>
      <c r="F65" s="541">
        <f t="shared" si="1"/>
        <v>674</v>
      </c>
      <c r="G65" s="470">
        <v>1</v>
      </c>
      <c r="H65" s="183" t="s">
        <v>13</v>
      </c>
      <c r="I65" s="471" t="s">
        <v>17</v>
      </c>
      <c r="J65" s="512">
        <v>287</v>
      </c>
      <c r="K65" s="408">
        <v>9</v>
      </c>
    </row>
    <row r="66" spans="5:11" x14ac:dyDescent="0.2">
      <c r="E66" s="537">
        <f t="shared" si="0"/>
        <v>930450</v>
      </c>
      <c r="F66" s="541">
        <f t="shared" si="1"/>
        <v>44386</v>
      </c>
      <c r="G66" s="588" t="s">
        <v>273</v>
      </c>
      <c r="H66" s="589"/>
      <c r="I66" s="471" t="s">
        <v>14</v>
      </c>
      <c r="J66" s="513">
        <f>SUM(J50:J65)</f>
        <v>970</v>
      </c>
      <c r="K66" s="408">
        <f>SUM(K50:K65)</f>
        <v>51</v>
      </c>
    </row>
    <row r="67" spans="5:11" x14ac:dyDescent="0.2">
      <c r="E67" s="537">
        <f t="shared" si="0"/>
        <v>38504</v>
      </c>
      <c r="F67" s="541">
        <f t="shared" si="1"/>
        <v>2038</v>
      </c>
      <c r="G67" s="470">
        <v>2</v>
      </c>
      <c r="H67" s="183" t="s">
        <v>6</v>
      </c>
      <c r="I67" s="471" t="s">
        <v>18</v>
      </c>
      <c r="J67" s="512">
        <v>0</v>
      </c>
      <c r="K67" s="408">
        <v>0</v>
      </c>
    </row>
    <row r="68" spans="5:11" x14ac:dyDescent="0.2">
      <c r="E68" s="537">
        <f t="shared" si="0"/>
        <v>73835</v>
      </c>
      <c r="F68" s="541">
        <f t="shared" si="1"/>
        <v>4837</v>
      </c>
      <c r="G68" s="470">
        <v>2</v>
      </c>
      <c r="H68" s="183" t="s">
        <v>7</v>
      </c>
      <c r="I68" s="471" t="s">
        <v>18</v>
      </c>
      <c r="J68" s="512">
        <v>0</v>
      </c>
      <c r="K68" s="408">
        <v>0</v>
      </c>
    </row>
    <row r="69" spans="5:11" x14ac:dyDescent="0.2">
      <c r="E69" s="537">
        <f t="shared" si="0"/>
        <v>110381</v>
      </c>
      <c r="F69" s="541">
        <f t="shared" si="1"/>
        <v>5555</v>
      </c>
      <c r="G69" s="470">
        <v>2</v>
      </c>
      <c r="H69" s="183" t="s">
        <v>8</v>
      </c>
      <c r="I69" s="471" t="s">
        <v>18</v>
      </c>
      <c r="J69" s="512">
        <v>0</v>
      </c>
      <c r="K69" s="408">
        <v>0</v>
      </c>
    </row>
    <row r="70" spans="5:11" x14ac:dyDescent="0.2">
      <c r="E70" s="537">
        <f t="shared" si="0"/>
        <v>87117</v>
      </c>
      <c r="F70" s="541">
        <f t="shared" si="1"/>
        <v>4386</v>
      </c>
      <c r="G70" s="470">
        <v>2</v>
      </c>
      <c r="H70" s="183" t="s">
        <v>9</v>
      </c>
      <c r="I70" s="471" t="s">
        <v>18</v>
      </c>
      <c r="J70" s="512">
        <v>0</v>
      </c>
      <c r="K70" s="408">
        <v>0</v>
      </c>
    </row>
    <row r="71" spans="5:11" x14ac:dyDescent="0.2">
      <c r="E71" s="537">
        <f t="shared" si="0"/>
        <v>82694</v>
      </c>
      <c r="F71" s="541">
        <f t="shared" si="1"/>
        <v>3180</v>
      </c>
      <c r="G71" s="470">
        <v>2</v>
      </c>
      <c r="H71" s="183" t="s">
        <v>10</v>
      </c>
      <c r="I71" s="471" t="s">
        <v>18</v>
      </c>
      <c r="J71" s="512">
        <v>0</v>
      </c>
      <c r="K71" s="408">
        <v>0</v>
      </c>
    </row>
    <row r="72" spans="5:11" x14ac:dyDescent="0.2">
      <c r="E72" s="537">
        <f t="shared" si="0"/>
        <v>35399</v>
      </c>
      <c r="F72" s="541">
        <f t="shared" si="1"/>
        <v>1259</v>
      </c>
      <c r="G72" s="470">
        <v>2</v>
      </c>
      <c r="H72" s="183" t="s">
        <v>11</v>
      </c>
      <c r="I72" s="471" t="s">
        <v>18</v>
      </c>
      <c r="J72" s="512">
        <v>4</v>
      </c>
      <c r="K72" s="408">
        <v>0</v>
      </c>
    </row>
    <row r="73" spans="5:11" x14ac:dyDescent="0.2">
      <c r="E73" s="537">
        <f t="shared" si="0"/>
        <v>20855</v>
      </c>
      <c r="F73" s="541">
        <f t="shared" si="1"/>
        <v>1012</v>
      </c>
      <c r="G73" s="470">
        <v>2</v>
      </c>
      <c r="H73" s="183" t="s">
        <v>12</v>
      </c>
      <c r="I73" s="471" t="s">
        <v>18</v>
      </c>
      <c r="J73" s="512">
        <v>30</v>
      </c>
      <c r="K73" s="408">
        <v>0</v>
      </c>
    </row>
    <row r="74" spans="5:11" x14ac:dyDescent="0.2">
      <c r="E74" s="537">
        <f t="shared" si="0"/>
        <v>16854</v>
      </c>
      <c r="F74" s="541">
        <f t="shared" si="1"/>
        <v>417</v>
      </c>
      <c r="G74" s="470">
        <v>2</v>
      </c>
      <c r="H74" s="183" t="s">
        <v>13</v>
      </c>
      <c r="I74" s="471" t="s">
        <v>18</v>
      </c>
      <c r="J74" s="512">
        <v>231</v>
      </c>
      <c r="K74" s="408">
        <v>1</v>
      </c>
    </row>
    <row r="75" spans="5:11" x14ac:dyDescent="0.2">
      <c r="E75" s="537">
        <f t="shared" si="0"/>
        <v>40476</v>
      </c>
      <c r="F75" s="541">
        <f t="shared" si="1"/>
        <v>1962</v>
      </c>
      <c r="G75" s="470">
        <v>1</v>
      </c>
      <c r="H75" s="183" t="s">
        <v>6</v>
      </c>
      <c r="I75" s="471" t="s">
        <v>18</v>
      </c>
      <c r="J75" s="512">
        <v>0</v>
      </c>
      <c r="K75" s="408">
        <v>0</v>
      </c>
    </row>
    <row r="76" spans="5:11" x14ac:dyDescent="0.2">
      <c r="E76" s="537">
        <f t="shared" si="0"/>
        <v>76614</v>
      </c>
      <c r="F76" s="541">
        <f t="shared" si="1"/>
        <v>4589</v>
      </c>
      <c r="G76" s="470">
        <v>1</v>
      </c>
      <c r="H76" s="183" t="s">
        <v>7</v>
      </c>
      <c r="I76" s="471" t="s">
        <v>18</v>
      </c>
      <c r="J76" s="512">
        <v>0</v>
      </c>
      <c r="K76" s="408">
        <v>0</v>
      </c>
    </row>
    <row r="77" spans="5:11" x14ac:dyDescent="0.2">
      <c r="E77" s="537">
        <f t="shared" si="0"/>
        <v>116710</v>
      </c>
      <c r="F77" s="541">
        <f t="shared" si="1"/>
        <v>4767</v>
      </c>
      <c r="G77" s="470">
        <v>1</v>
      </c>
      <c r="H77" s="183" t="s">
        <v>8</v>
      </c>
      <c r="I77" s="471" t="s">
        <v>18</v>
      </c>
      <c r="J77" s="512">
        <v>0</v>
      </c>
      <c r="K77" s="408">
        <v>0</v>
      </c>
    </row>
    <row r="78" spans="5:11" x14ac:dyDescent="0.2">
      <c r="E78" s="537">
        <f t="shared" si="0"/>
        <v>89486</v>
      </c>
      <c r="F78" s="541">
        <f t="shared" si="1"/>
        <v>4198</v>
      </c>
      <c r="G78" s="470">
        <v>1</v>
      </c>
      <c r="H78" s="183" t="s">
        <v>9</v>
      </c>
      <c r="I78" s="471" t="s">
        <v>18</v>
      </c>
      <c r="J78" s="512">
        <v>0</v>
      </c>
      <c r="K78" s="408">
        <v>0</v>
      </c>
    </row>
    <row r="79" spans="5:11" x14ac:dyDescent="0.2">
      <c r="E79" s="537">
        <f t="shared" si="0"/>
        <v>81265</v>
      </c>
      <c r="F79" s="541">
        <f t="shared" si="1"/>
        <v>2957</v>
      </c>
      <c r="G79" s="470">
        <v>1</v>
      </c>
      <c r="H79" s="183" t="s">
        <v>10</v>
      </c>
      <c r="I79" s="471" t="s">
        <v>18</v>
      </c>
      <c r="J79" s="512">
        <v>0</v>
      </c>
      <c r="K79" s="408">
        <v>0</v>
      </c>
    </row>
    <row r="80" spans="5:11" x14ac:dyDescent="0.2">
      <c r="E80" s="537">
        <f t="shared" si="0"/>
        <v>33077</v>
      </c>
      <c r="F80" s="541">
        <f t="shared" si="1"/>
        <v>1391</v>
      </c>
      <c r="G80" s="470">
        <v>1</v>
      </c>
      <c r="H80" s="183" t="s">
        <v>11</v>
      </c>
      <c r="I80" s="471" t="s">
        <v>18</v>
      </c>
      <c r="J80" s="512">
        <v>5</v>
      </c>
      <c r="K80" s="408">
        <v>1</v>
      </c>
    </row>
    <row r="81" spans="5:11" x14ac:dyDescent="0.2">
      <c r="E81" s="537">
        <f t="shared" si="0"/>
        <v>16815</v>
      </c>
      <c r="F81" s="541">
        <f t="shared" si="1"/>
        <v>1164</v>
      </c>
      <c r="G81" s="470">
        <v>1</v>
      </c>
      <c r="H81" s="183" t="s">
        <v>12</v>
      </c>
      <c r="I81" s="471" t="s">
        <v>18</v>
      </c>
      <c r="J81" s="512">
        <v>25</v>
      </c>
      <c r="K81" s="408">
        <v>1</v>
      </c>
    </row>
    <row r="82" spans="5:11" x14ac:dyDescent="0.2">
      <c r="E82" s="537">
        <f t="shared" si="0"/>
        <v>10368</v>
      </c>
      <c r="F82" s="541">
        <f t="shared" si="1"/>
        <v>674</v>
      </c>
      <c r="G82" s="470">
        <v>1</v>
      </c>
      <c r="H82" s="183" t="s">
        <v>13</v>
      </c>
      <c r="I82" s="471" t="s">
        <v>18</v>
      </c>
      <c r="J82" s="512">
        <v>110</v>
      </c>
      <c r="K82" s="408">
        <v>11</v>
      </c>
    </row>
    <row r="83" spans="5:11" x14ac:dyDescent="0.2">
      <c r="E83" s="537">
        <f t="shared" si="0"/>
        <v>930450</v>
      </c>
      <c r="F83" s="541">
        <f t="shared" si="1"/>
        <v>44386</v>
      </c>
      <c r="G83" s="588" t="s">
        <v>273</v>
      </c>
      <c r="H83" s="589"/>
      <c r="I83" s="471" t="s">
        <v>14</v>
      </c>
      <c r="J83" s="513">
        <f>SUM(J67:J82)</f>
        <v>405</v>
      </c>
      <c r="K83" s="408">
        <f>SUM(K67:K82)</f>
        <v>14</v>
      </c>
    </row>
    <row r="84" spans="5:11" x14ac:dyDescent="0.2">
      <c r="E84" s="537">
        <f t="shared" si="0"/>
        <v>38504</v>
      </c>
      <c r="F84" s="541">
        <f t="shared" si="1"/>
        <v>2038</v>
      </c>
      <c r="G84" s="470">
        <v>2</v>
      </c>
      <c r="H84" s="183" t="s">
        <v>6</v>
      </c>
      <c r="I84" s="472" t="s">
        <v>26</v>
      </c>
      <c r="J84" s="512">
        <v>0</v>
      </c>
      <c r="K84" s="408">
        <v>0</v>
      </c>
    </row>
    <row r="85" spans="5:11" x14ac:dyDescent="0.2">
      <c r="E85" s="537">
        <f t="shared" si="0"/>
        <v>73835</v>
      </c>
      <c r="F85" s="541">
        <f t="shared" si="1"/>
        <v>4837</v>
      </c>
      <c r="G85" s="470">
        <v>2</v>
      </c>
      <c r="H85" s="183" t="s">
        <v>7</v>
      </c>
      <c r="I85" s="472" t="s">
        <v>26</v>
      </c>
      <c r="J85" s="512">
        <v>0</v>
      </c>
      <c r="K85" s="408">
        <v>0</v>
      </c>
    </row>
    <row r="86" spans="5:11" x14ac:dyDescent="0.2">
      <c r="E86" s="537">
        <f t="shared" si="0"/>
        <v>110381</v>
      </c>
      <c r="F86" s="541">
        <f t="shared" si="1"/>
        <v>5555</v>
      </c>
      <c r="G86" s="470">
        <v>2</v>
      </c>
      <c r="H86" s="183" t="s">
        <v>8</v>
      </c>
      <c r="I86" s="472" t="s">
        <v>26</v>
      </c>
      <c r="J86" s="512">
        <v>0</v>
      </c>
      <c r="K86" s="408">
        <v>0</v>
      </c>
    </row>
    <row r="87" spans="5:11" x14ac:dyDescent="0.2">
      <c r="E87" s="537">
        <f t="shared" si="0"/>
        <v>87117</v>
      </c>
      <c r="F87" s="541">
        <f t="shared" si="1"/>
        <v>4386</v>
      </c>
      <c r="G87" s="470">
        <v>2</v>
      </c>
      <c r="H87" s="183" t="s">
        <v>9</v>
      </c>
      <c r="I87" s="472" t="s">
        <v>26</v>
      </c>
      <c r="J87" s="512">
        <v>3</v>
      </c>
      <c r="K87" s="408">
        <v>0</v>
      </c>
    </row>
    <row r="88" spans="5:11" x14ac:dyDescent="0.2">
      <c r="E88" s="537">
        <f t="shared" si="0"/>
        <v>82694</v>
      </c>
      <c r="F88" s="541">
        <f t="shared" si="1"/>
        <v>3180</v>
      </c>
      <c r="G88" s="470">
        <v>2</v>
      </c>
      <c r="H88" s="183" t="s">
        <v>10</v>
      </c>
      <c r="I88" s="472" t="s">
        <v>26</v>
      </c>
      <c r="J88" s="512">
        <v>13</v>
      </c>
      <c r="K88" s="408">
        <v>2</v>
      </c>
    </row>
    <row r="89" spans="5:11" x14ac:dyDescent="0.2">
      <c r="E89" s="537">
        <f t="shared" si="0"/>
        <v>35399</v>
      </c>
      <c r="F89" s="541">
        <f t="shared" si="1"/>
        <v>1259</v>
      </c>
      <c r="G89" s="470">
        <v>2</v>
      </c>
      <c r="H89" s="183" t="s">
        <v>11</v>
      </c>
      <c r="I89" s="472" t="s">
        <v>26</v>
      </c>
      <c r="J89" s="512">
        <v>14</v>
      </c>
      <c r="K89" s="408">
        <v>2</v>
      </c>
    </row>
    <row r="90" spans="5:11" x14ac:dyDescent="0.2">
      <c r="E90" s="537">
        <f t="shared" si="0"/>
        <v>20855</v>
      </c>
      <c r="F90" s="541">
        <f t="shared" si="1"/>
        <v>1012</v>
      </c>
      <c r="G90" s="470">
        <v>2</v>
      </c>
      <c r="H90" s="183" t="s">
        <v>12</v>
      </c>
      <c r="I90" s="472" t="s">
        <v>26</v>
      </c>
      <c r="J90" s="512">
        <v>25</v>
      </c>
      <c r="K90" s="408">
        <v>0</v>
      </c>
    </row>
    <row r="91" spans="5:11" x14ac:dyDescent="0.2">
      <c r="E91" s="537">
        <f t="shared" si="0"/>
        <v>16854</v>
      </c>
      <c r="F91" s="541">
        <f t="shared" si="1"/>
        <v>417</v>
      </c>
      <c r="G91" s="470">
        <v>2</v>
      </c>
      <c r="H91" s="183" t="s">
        <v>13</v>
      </c>
      <c r="I91" s="472" t="s">
        <v>26</v>
      </c>
      <c r="J91" s="512">
        <v>47</v>
      </c>
      <c r="K91" s="408">
        <v>0</v>
      </c>
    </row>
    <row r="92" spans="5:11" x14ac:dyDescent="0.2">
      <c r="E92" s="537">
        <f t="shared" si="0"/>
        <v>40476</v>
      </c>
      <c r="F92" s="541">
        <f t="shared" si="1"/>
        <v>1962</v>
      </c>
      <c r="G92" s="470">
        <v>1</v>
      </c>
      <c r="H92" s="183" t="s">
        <v>6</v>
      </c>
      <c r="I92" s="472" t="s">
        <v>26</v>
      </c>
      <c r="J92" s="512">
        <v>0</v>
      </c>
      <c r="K92" s="408">
        <v>0</v>
      </c>
    </row>
    <row r="93" spans="5:11" x14ac:dyDescent="0.2">
      <c r="E93" s="537">
        <f t="shared" si="0"/>
        <v>76614</v>
      </c>
      <c r="F93" s="541">
        <f t="shared" si="1"/>
        <v>4589</v>
      </c>
      <c r="G93" s="470">
        <v>1</v>
      </c>
      <c r="H93" s="183" t="s">
        <v>7</v>
      </c>
      <c r="I93" s="472" t="s">
        <v>26</v>
      </c>
      <c r="J93" s="512">
        <v>0</v>
      </c>
      <c r="K93" s="408">
        <v>0</v>
      </c>
    </row>
    <row r="94" spans="5:11" x14ac:dyDescent="0.2">
      <c r="E94" s="537">
        <f t="shared" si="0"/>
        <v>116710</v>
      </c>
      <c r="F94" s="541">
        <f t="shared" si="1"/>
        <v>4767</v>
      </c>
      <c r="G94" s="470">
        <v>1</v>
      </c>
      <c r="H94" s="183" t="s">
        <v>8</v>
      </c>
      <c r="I94" s="472" t="s">
        <v>26</v>
      </c>
      <c r="J94" s="512">
        <v>0</v>
      </c>
      <c r="K94" s="408">
        <v>0</v>
      </c>
    </row>
    <row r="95" spans="5:11" x14ac:dyDescent="0.2">
      <c r="E95" s="537">
        <f t="shared" si="0"/>
        <v>89486</v>
      </c>
      <c r="F95" s="541">
        <f t="shared" si="1"/>
        <v>4198</v>
      </c>
      <c r="G95" s="470">
        <v>1</v>
      </c>
      <c r="H95" s="183" t="s">
        <v>9</v>
      </c>
      <c r="I95" s="472" t="s">
        <v>26</v>
      </c>
      <c r="J95" s="512">
        <v>5</v>
      </c>
      <c r="K95" s="408">
        <v>1</v>
      </c>
    </row>
    <row r="96" spans="5:11" x14ac:dyDescent="0.2">
      <c r="E96" s="537">
        <f t="shared" si="0"/>
        <v>81265</v>
      </c>
      <c r="F96" s="541">
        <f t="shared" si="1"/>
        <v>2957</v>
      </c>
      <c r="G96" s="470">
        <v>1</v>
      </c>
      <c r="H96" s="183" t="s">
        <v>10</v>
      </c>
      <c r="I96" s="472" t="s">
        <v>26</v>
      </c>
      <c r="J96" s="512">
        <v>26</v>
      </c>
      <c r="K96" s="408">
        <v>0</v>
      </c>
    </row>
    <row r="97" spans="5:11" x14ac:dyDescent="0.2">
      <c r="E97" s="537">
        <f t="shared" si="0"/>
        <v>33077</v>
      </c>
      <c r="F97" s="541">
        <f t="shared" si="1"/>
        <v>1391</v>
      </c>
      <c r="G97" s="470">
        <v>1</v>
      </c>
      <c r="H97" s="183" t="s">
        <v>11</v>
      </c>
      <c r="I97" s="472" t="s">
        <v>26</v>
      </c>
      <c r="J97" s="512">
        <v>29</v>
      </c>
      <c r="K97" s="408">
        <v>3</v>
      </c>
    </row>
    <row r="98" spans="5:11" x14ac:dyDescent="0.2">
      <c r="E98" s="537">
        <f t="shared" ref="E98:E117" si="2">E81</f>
        <v>16815</v>
      </c>
      <c r="F98" s="541">
        <f t="shared" ref="F98:F117" si="3">F81</f>
        <v>1164</v>
      </c>
      <c r="G98" s="470">
        <v>1</v>
      </c>
      <c r="H98" s="183" t="s">
        <v>12</v>
      </c>
      <c r="I98" s="472" t="s">
        <v>26</v>
      </c>
      <c r="J98" s="512">
        <v>32</v>
      </c>
      <c r="K98" s="408">
        <v>4</v>
      </c>
    </row>
    <row r="99" spans="5:11" x14ac:dyDescent="0.2">
      <c r="E99" s="537">
        <f t="shared" si="2"/>
        <v>10368</v>
      </c>
      <c r="F99" s="541">
        <f t="shared" si="3"/>
        <v>674</v>
      </c>
      <c r="G99" s="470">
        <v>1</v>
      </c>
      <c r="H99" s="183" t="s">
        <v>13</v>
      </c>
      <c r="I99" s="472" t="s">
        <v>26</v>
      </c>
      <c r="J99" s="512">
        <v>28</v>
      </c>
      <c r="K99" s="408">
        <v>4</v>
      </c>
    </row>
    <row r="100" spans="5:11" x14ac:dyDescent="0.2">
      <c r="E100" s="537">
        <f t="shared" si="2"/>
        <v>930450</v>
      </c>
      <c r="F100" s="541">
        <f t="shared" si="3"/>
        <v>44386</v>
      </c>
      <c r="G100" s="588" t="s">
        <v>273</v>
      </c>
      <c r="H100" s="589"/>
      <c r="I100" s="471" t="s">
        <v>14</v>
      </c>
      <c r="J100" s="513">
        <f>SUM(J84:J99)</f>
        <v>222</v>
      </c>
      <c r="K100" s="408">
        <f>SUM(K84:K99)</f>
        <v>16</v>
      </c>
    </row>
    <row r="101" spans="5:11" x14ac:dyDescent="0.2">
      <c r="E101" s="537">
        <f t="shared" si="2"/>
        <v>38504</v>
      </c>
      <c r="F101" s="541">
        <f t="shared" si="3"/>
        <v>2038</v>
      </c>
      <c r="G101" s="470">
        <v>2</v>
      </c>
      <c r="H101" s="183" t="s">
        <v>6</v>
      </c>
      <c r="I101" s="472" t="s">
        <v>27</v>
      </c>
      <c r="J101" s="512">
        <v>0</v>
      </c>
      <c r="K101" s="408">
        <v>0</v>
      </c>
    </row>
    <row r="102" spans="5:11" x14ac:dyDescent="0.2">
      <c r="E102" s="537">
        <f t="shared" si="2"/>
        <v>73835</v>
      </c>
      <c r="F102" s="541">
        <f t="shared" si="3"/>
        <v>4837</v>
      </c>
      <c r="G102" s="470">
        <v>2</v>
      </c>
      <c r="H102" s="183" t="s">
        <v>7</v>
      </c>
      <c r="I102" s="472" t="s">
        <v>27</v>
      </c>
      <c r="J102" s="512">
        <v>0</v>
      </c>
      <c r="K102" s="408">
        <v>0</v>
      </c>
    </row>
    <row r="103" spans="5:11" x14ac:dyDescent="0.2">
      <c r="E103" s="537">
        <f t="shared" si="2"/>
        <v>110381</v>
      </c>
      <c r="F103" s="541">
        <f t="shared" si="3"/>
        <v>5555</v>
      </c>
      <c r="G103" s="470">
        <v>2</v>
      </c>
      <c r="H103" s="183" t="s">
        <v>8</v>
      </c>
      <c r="I103" s="472" t="s">
        <v>27</v>
      </c>
      <c r="J103" s="512">
        <v>0</v>
      </c>
      <c r="K103" s="408">
        <v>0</v>
      </c>
    </row>
    <row r="104" spans="5:11" x14ac:dyDescent="0.2">
      <c r="E104" s="537">
        <f t="shared" si="2"/>
        <v>87117</v>
      </c>
      <c r="F104" s="541">
        <f t="shared" si="3"/>
        <v>4386</v>
      </c>
      <c r="G104" s="470">
        <v>2</v>
      </c>
      <c r="H104" s="183" t="s">
        <v>9</v>
      </c>
      <c r="I104" s="472" t="s">
        <v>27</v>
      </c>
      <c r="J104" s="512">
        <v>0</v>
      </c>
      <c r="K104" s="408">
        <v>0</v>
      </c>
    </row>
    <row r="105" spans="5:11" x14ac:dyDescent="0.2">
      <c r="E105" s="537">
        <f t="shared" si="2"/>
        <v>82694</v>
      </c>
      <c r="F105" s="541">
        <f t="shared" si="3"/>
        <v>3180</v>
      </c>
      <c r="G105" s="470">
        <v>2</v>
      </c>
      <c r="H105" s="183" t="s">
        <v>10</v>
      </c>
      <c r="I105" s="472" t="s">
        <v>27</v>
      </c>
      <c r="J105" s="512">
        <v>0</v>
      </c>
      <c r="K105" s="408">
        <v>0</v>
      </c>
    </row>
    <row r="106" spans="5:11" x14ac:dyDescent="0.2">
      <c r="E106" s="537">
        <f t="shared" si="2"/>
        <v>35399</v>
      </c>
      <c r="F106" s="541">
        <f t="shared" si="3"/>
        <v>1259</v>
      </c>
      <c r="G106" s="470">
        <v>2</v>
      </c>
      <c r="H106" s="183" t="s">
        <v>11</v>
      </c>
      <c r="I106" s="472" t="s">
        <v>27</v>
      </c>
      <c r="J106" s="512">
        <v>0</v>
      </c>
      <c r="K106" s="408">
        <v>0</v>
      </c>
    </row>
    <row r="107" spans="5:11" x14ac:dyDescent="0.2">
      <c r="E107" s="537">
        <f t="shared" si="2"/>
        <v>20855</v>
      </c>
      <c r="F107" s="541">
        <f t="shared" si="3"/>
        <v>1012</v>
      </c>
      <c r="G107" s="470">
        <v>2</v>
      </c>
      <c r="H107" s="183" t="s">
        <v>12</v>
      </c>
      <c r="I107" s="472" t="s">
        <v>27</v>
      </c>
      <c r="J107" s="512">
        <v>0</v>
      </c>
      <c r="K107" s="408">
        <v>0</v>
      </c>
    </row>
    <row r="108" spans="5:11" x14ac:dyDescent="0.2">
      <c r="E108" s="537">
        <f t="shared" si="2"/>
        <v>16854</v>
      </c>
      <c r="F108" s="541">
        <f t="shared" si="3"/>
        <v>417</v>
      </c>
      <c r="G108" s="470">
        <v>2</v>
      </c>
      <c r="H108" s="183" t="s">
        <v>13</v>
      </c>
      <c r="I108" s="472" t="s">
        <v>27</v>
      </c>
      <c r="J108" s="512">
        <v>0</v>
      </c>
      <c r="K108" s="408">
        <v>0</v>
      </c>
    </row>
    <row r="109" spans="5:11" x14ac:dyDescent="0.2">
      <c r="E109" s="537">
        <f t="shared" si="2"/>
        <v>40476</v>
      </c>
      <c r="F109" s="541">
        <f t="shared" si="3"/>
        <v>1962</v>
      </c>
      <c r="G109" s="470">
        <v>1</v>
      </c>
      <c r="H109" s="183" t="s">
        <v>6</v>
      </c>
      <c r="I109" s="472" t="s">
        <v>27</v>
      </c>
      <c r="J109" s="512">
        <v>0</v>
      </c>
      <c r="K109" s="408">
        <v>0</v>
      </c>
    </row>
    <row r="110" spans="5:11" x14ac:dyDescent="0.2">
      <c r="E110" s="537">
        <f t="shared" si="2"/>
        <v>76614</v>
      </c>
      <c r="F110" s="541">
        <f t="shared" si="3"/>
        <v>4589</v>
      </c>
      <c r="G110" s="470">
        <v>1</v>
      </c>
      <c r="H110" s="183" t="s">
        <v>7</v>
      </c>
      <c r="I110" s="472" t="s">
        <v>27</v>
      </c>
      <c r="J110" s="512">
        <v>0</v>
      </c>
      <c r="K110" s="408">
        <v>0</v>
      </c>
    </row>
    <row r="111" spans="5:11" x14ac:dyDescent="0.2">
      <c r="E111" s="537">
        <f t="shared" si="2"/>
        <v>116710</v>
      </c>
      <c r="F111" s="541">
        <f t="shared" si="3"/>
        <v>4767</v>
      </c>
      <c r="G111" s="470">
        <v>1</v>
      </c>
      <c r="H111" s="183" t="s">
        <v>8</v>
      </c>
      <c r="I111" s="472" t="s">
        <v>27</v>
      </c>
      <c r="J111" s="512">
        <v>0</v>
      </c>
      <c r="K111" s="408">
        <v>0</v>
      </c>
    </row>
    <row r="112" spans="5:11" x14ac:dyDescent="0.2">
      <c r="E112" s="537">
        <f t="shared" si="2"/>
        <v>89486</v>
      </c>
      <c r="F112" s="541">
        <f t="shared" si="3"/>
        <v>4198</v>
      </c>
      <c r="G112" s="470">
        <v>1</v>
      </c>
      <c r="H112" s="183" t="s">
        <v>9</v>
      </c>
      <c r="I112" s="472" t="s">
        <v>27</v>
      </c>
      <c r="J112" s="512">
        <v>0</v>
      </c>
      <c r="K112" s="408">
        <v>0</v>
      </c>
    </row>
    <row r="113" spans="3:11" x14ac:dyDescent="0.2">
      <c r="E113" s="537">
        <f t="shared" si="2"/>
        <v>81265</v>
      </c>
      <c r="F113" s="541">
        <f t="shared" si="3"/>
        <v>2957</v>
      </c>
      <c r="G113" s="470">
        <v>1</v>
      </c>
      <c r="H113" s="183" t="s">
        <v>10</v>
      </c>
      <c r="I113" s="472" t="s">
        <v>27</v>
      </c>
      <c r="J113" s="512">
        <v>0</v>
      </c>
      <c r="K113" s="408">
        <v>0</v>
      </c>
    </row>
    <row r="114" spans="3:11" x14ac:dyDescent="0.2">
      <c r="E114" s="537">
        <f t="shared" si="2"/>
        <v>33077</v>
      </c>
      <c r="F114" s="541">
        <f t="shared" si="3"/>
        <v>1391</v>
      </c>
      <c r="G114" s="470">
        <v>1</v>
      </c>
      <c r="H114" s="183" t="s">
        <v>11</v>
      </c>
      <c r="I114" s="472" t="s">
        <v>27</v>
      </c>
      <c r="J114" s="512">
        <v>0</v>
      </c>
      <c r="K114" s="408">
        <v>0</v>
      </c>
    </row>
    <row r="115" spans="3:11" x14ac:dyDescent="0.2">
      <c r="E115" s="537">
        <f t="shared" si="2"/>
        <v>16815</v>
      </c>
      <c r="F115" s="541">
        <f t="shared" si="3"/>
        <v>1164</v>
      </c>
      <c r="G115" s="470">
        <v>1</v>
      </c>
      <c r="H115" s="183" t="s">
        <v>12</v>
      </c>
      <c r="I115" s="472" t="s">
        <v>27</v>
      </c>
      <c r="J115" s="512">
        <v>0</v>
      </c>
      <c r="K115" s="408">
        <v>0</v>
      </c>
    </row>
    <row r="116" spans="3:11" x14ac:dyDescent="0.2">
      <c r="E116" s="537">
        <f t="shared" si="2"/>
        <v>10368</v>
      </c>
      <c r="F116" s="541">
        <f t="shared" si="3"/>
        <v>674</v>
      </c>
      <c r="G116" s="470">
        <v>1</v>
      </c>
      <c r="H116" s="183" t="s">
        <v>13</v>
      </c>
      <c r="I116" s="472" t="s">
        <v>27</v>
      </c>
      <c r="J116" s="512">
        <v>2</v>
      </c>
      <c r="K116" s="408">
        <v>0</v>
      </c>
    </row>
    <row r="117" spans="3:11" x14ac:dyDescent="0.2">
      <c r="E117" s="538">
        <f t="shared" si="2"/>
        <v>930450</v>
      </c>
      <c r="F117" s="542">
        <f t="shared" si="3"/>
        <v>44386</v>
      </c>
      <c r="G117" s="590" t="s">
        <v>273</v>
      </c>
      <c r="H117" s="591"/>
      <c r="I117" s="484" t="s">
        <v>14</v>
      </c>
      <c r="J117" s="514">
        <f>SUM(J101:J116)</f>
        <v>2</v>
      </c>
      <c r="K117" s="488">
        <f>SUM(K101:K116)</f>
        <v>0</v>
      </c>
    </row>
    <row r="119" spans="3:11" x14ac:dyDescent="0.2">
      <c r="C119" s="504" t="s">
        <v>39</v>
      </c>
      <c r="D119" s="505" t="s">
        <v>6</v>
      </c>
      <c r="E119" s="543">
        <f>(E16)/E$32</f>
        <v>4.1382126927830616E-2</v>
      </c>
      <c r="F119" s="544">
        <f>(F16)/F$32</f>
        <v>4.5915378723020775E-2</v>
      </c>
    </row>
    <row r="120" spans="3:11" x14ac:dyDescent="0.2">
      <c r="C120" s="470" t="s">
        <v>39</v>
      </c>
      <c r="D120" s="183" t="s">
        <v>7</v>
      </c>
      <c r="E120" s="545">
        <f t="shared" ref="E120:F134" si="4">(E17)/E$32</f>
        <v>7.9354075984738565E-2</v>
      </c>
      <c r="F120" s="546">
        <f t="shared" si="4"/>
        <v>0.10897580318118326</v>
      </c>
    </row>
    <row r="121" spans="3:11" x14ac:dyDescent="0.2">
      <c r="C121" s="470" t="s">
        <v>39</v>
      </c>
      <c r="D121" s="183" t="s">
        <v>8</v>
      </c>
      <c r="E121" s="545">
        <f t="shared" si="4"/>
        <v>0.11863184480627653</v>
      </c>
      <c r="F121" s="546">
        <f t="shared" si="4"/>
        <v>0.12515207497859684</v>
      </c>
    </row>
    <row r="122" spans="3:11" x14ac:dyDescent="0.2">
      <c r="C122" s="470" t="s">
        <v>39</v>
      </c>
      <c r="D122" s="183" t="s">
        <v>9</v>
      </c>
      <c r="E122" s="545">
        <f t="shared" si="4"/>
        <v>9.3628889247138483E-2</v>
      </c>
      <c r="F122" s="546">
        <f t="shared" si="4"/>
        <v>9.8814941648267471E-2</v>
      </c>
    </row>
    <row r="123" spans="3:11" x14ac:dyDescent="0.2">
      <c r="C123" s="470" t="s">
        <v>39</v>
      </c>
      <c r="D123" s="183" t="s">
        <v>10</v>
      </c>
      <c r="E123" s="545">
        <f t="shared" si="4"/>
        <v>8.8875275404374232E-2</v>
      </c>
      <c r="F123" s="546">
        <f t="shared" si="4"/>
        <v>7.1644212138962743E-2</v>
      </c>
    </row>
    <row r="124" spans="3:11" x14ac:dyDescent="0.2">
      <c r="C124" s="470" t="s">
        <v>39</v>
      </c>
      <c r="D124" s="183" t="s">
        <v>11</v>
      </c>
      <c r="E124" s="545">
        <f t="shared" si="4"/>
        <v>3.8045031973776129E-2</v>
      </c>
      <c r="F124" s="546">
        <f t="shared" si="4"/>
        <v>2.8364799711620783E-2</v>
      </c>
    </row>
    <row r="125" spans="3:11" x14ac:dyDescent="0.2">
      <c r="C125" s="470" t="s">
        <v>39</v>
      </c>
      <c r="D125" s="183" t="s">
        <v>12</v>
      </c>
      <c r="E125" s="545">
        <f t="shared" si="4"/>
        <v>2.2413885754204953E-2</v>
      </c>
      <c r="F125" s="546">
        <f t="shared" si="4"/>
        <v>2.2799981976298834E-2</v>
      </c>
    </row>
    <row r="126" spans="3:11" x14ac:dyDescent="0.2">
      <c r="C126" s="470" t="s">
        <v>39</v>
      </c>
      <c r="D126" s="183" t="s">
        <v>13</v>
      </c>
      <c r="E126" s="545">
        <f t="shared" si="4"/>
        <v>1.8113815895534419E-2</v>
      </c>
      <c r="F126" s="546">
        <f t="shared" si="4"/>
        <v>9.3948542333168114E-3</v>
      </c>
    </row>
    <row r="127" spans="3:11" x14ac:dyDescent="0.2">
      <c r="C127" s="470" t="s">
        <v>40</v>
      </c>
      <c r="D127" s="183" t="s">
        <v>6</v>
      </c>
      <c r="E127" s="545">
        <f t="shared" si="4"/>
        <v>4.3501531517007898E-2</v>
      </c>
      <c r="F127" s="546">
        <f t="shared" si="4"/>
        <v>4.4203127112152484E-2</v>
      </c>
    </row>
    <row r="128" spans="3:11" x14ac:dyDescent="0.2">
      <c r="C128" s="470" t="s">
        <v>40</v>
      </c>
      <c r="D128" s="183" t="s">
        <v>7</v>
      </c>
      <c r="E128" s="545">
        <f t="shared" si="4"/>
        <v>8.2340802837336774E-2</v>
      </c>
      <c r="F128" s="546">
        <f t="shared" si="4"/>
        <v>0.10338845581940251</v>
      </c>
    </row>
    <row r="129" spans="3:6" x14ac:dyDescent="0.2">
      <c r="C129" s="470" t="s">
        <v>40</v>
      </c>
      <c r="D129" s="183" t="s">
        <v>8</v>
      </c>
      <c r="E129" s="545">
        <f t="shared" si="4"/>
        <v>0.12543392981890483</v>
      </c>
      <c r="F129" s="546">
        <f t="shared" si="4"/>
        <v>0.10739872932906773</v>
      </c>
    </row>
    <row r="130" spans="3:6" x14ac:dyDescent="0.2">
      <c r="C130" s="470" t="s">
        <v>40</v>
      </c>
      <c r="D130" s="183" t="s">
        <v>9</v>
      </c>
      <c r="E130" s="545">
        <f t="shared" si="4"/>
        <v>9.6174969100972646E-2</v>
      </c>
      <c r="F130" s="546">
        <f t="shared" si="4"/>
        <v>9.4579371874014329E-2</v>
      </c>
    </row>
    <row r="131" spans="3:6" x14ac:dyDescent="0.2">
      <c r="C131" s="470" t="s">
        <v>40</v>
      </c>
      <c r="D131" s="183" t="s">
        <v>10</v>
      </c>
      <c r="E131" s="545">
        <f t="shared" si="4"/>
        <v>8.7339459401364936E-2</v>
      </c>
      <c r="F131" s="546">
        <f t="shared" si="4"/>
        <v>6.6620105438651822E-2</v>
      </c>
    </row>
    <row r="132" spans="3:6" x14ac:dyDescent="0.2">
      <c r="C132" s="470" t="s">
        <v>40</v>
      </c>
      <c r="D132" s="183" t="s">
        <v>11</v>
      </c>
      <c r="E132" s="545">
        <f t="shared" si="4"/>
        <v>3.5549465312483208E-2</v>
      </c>
      <c r="F132" s="546">
        <f t="shared" si="4"/>
        <v>3.13387104041815E-2</v>
      </c>
    </row>
    <row r="133" spans="3:6" x14ac:dyDescent="0.2">
      <c r="C133" s="470" t="s">
        <v>40</v>
      </c>
      <c r="D133" s="183" t="s">
        <v>12</v>
      </c>
      <c r="E133" s="545">
        <f t="shared" si="4"/>
        <v>1.8071900693212961E-2</v>
      </c>
      <c r="F133" s="546">
        <f t="shared" si="4"/>
        <v>2.6224485198035417E-2</v>
      </c>
    </row>
    <row r="134" spans="3:6" x14ac:dyDescent="0.2">
      <c r="C134" s="469" t="s">
        <v>40</v>
      </c>
      <c r="D134" s="467" t="s">
        <v>13</v>
      </c>
      <c r="E134" s="547">
        <f t="shared" si="4"/>
        <v>1.1142995324842819E-2</v>
      </c>
      <c r="F134" s="548">
        <f t="shared" si="4"/>
        <v>1.5184968233226693E-2</v>
      </c>
    </row>
  </sheetData>
  <mergeCells count="10">
    <mergeCell ref="G100:H100"/>
    <mergeCell ref="G117:H117"/>
    <mergeCell ref="G13:K13"/>
    <mergeCell ref="E14:F14"/>
    <mergeCell ref="C32:D32"/>
    <mergeCell ref="G32:H32"/>
    <mergeCell ref="G49:H49"/>
    <mergeCell ref="G66:H66"/>
    <mergeCell ref="G83:H83"/>
    <mergeCell ref="E13:F1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5" r:id="rId4" name="Option Button 7">
              <controlPr defaultSize="0" autoFill="0" autoLine="0" autoPict="0">
                <anchor moveWithCells="1">
                  <from>
                    <xdr:col>2</xdr:col>
                    <xdr:colOff>171450</xdr:colOff>
                    <xdr:row>6</xdr:row>
                    <xdr:rowOff>133350</xdr:rowOff>
                  </from>
                  <to>
                    <xdr:col>4</xdr:col>
                    <xdr:colOff>571500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6" r:id="rId5" name="Option Button 8">
              <controlPr defaultSize="0" autoFill="0" autoLine="0" autoPict="0">
                <anchor moveWithCells="1">
                  <from>
                    <xdr:col>2</xdr:col>
                    <xdr:colOff>180975</xdr:colOff>
                    <xdr:row>7</xdr:row>
                    <xdr:rowOff>142875</xdr:rowOff>
                  </from>
                  <to>
                    <xdr:col>3</xdr:col>
                    <xdr:colOff>257175</xdr:colOff>
                    <xdr:row>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T59"/>
  <sheetViews>
    <sheetView showGridLines="0" workbookViewId="0"/>
  </sheetViews>
  <sheetFormatPr defaultRowHeight="12.75" x14ac:dyDescent="0.2"/>
  <cols>
    <col min="1" max="1" width="3.5703125" style="18" customWidth="1"/>
    <col min="2" max="2" width="14" style="18" customWidth="1"/>
    <col min="3" max="3" width="14.7109375" style="18" customWidth="1"/>
    <col min="4" max="9" width="10.7109375" style="18" customWidth="1"/>
    <col min="10" max="10" width="15.28515625" style="18" customWidth="1"/>
    <col min="11" max="11" width="10.85546875" style="18" customWidth="1"/>
    <col min="12" max="12" width="10.85546875" style="18" bestFit="1" customWidth="1"/>
    <col min="13" max="16" width="10.140625" style="18" bestFit="1" customWidth="1"/>
    <col min="17" max="18" width="0" style="18" hidden="1" customWidth="1"/>
    <col min="19" max="16384" width="9.140625" style="18"/>
  </cols>
  <sheetData>
    <row r="1" spans="1:20" x14ac:dyDescent="0.2"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</row>
    <row r="2" spans="1:20" ht="12.75" customHeight="1" x14ac:dyDescent="0.2">
      <c r="A2" s="20"/>
      <c r="B2" s="127" t="s">
        <v>167</v>
      </c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R2" s="100" t="s">
        <v>235</v>
      </c>
    </row>
    <row r="3" spans="1:20" ht="13.5" customHeight="1" x14ac:dyDescent="0.2">
      <c r="A3" s="20"/>
      <c r="B3" s="459" t="s">
        <v>280</v>
      </c>
      <c r="C3" s="129"/>
      <c r="D3" s="129"/>
      <c r="E3" s="129"/>
      <c r="F3" s="129"/>
      <c r="G3" s="129"/>
      <c r="H3" s="129"/>
      <c r="J3" s="503" t="s">
        <v>261</v>
      </c>
      <c r="L3" s="127"/>
      <c r="M3" s="127"/>
      <c r="N3" s="127"/>
    </row>
    <row r="4" spans="1:20" ht="12.75" customHeight="1" x14ac:dyDescent="0.2">
      <c r="A4" s="20"/>
      <c r="B4" s="282"/>
      <c r="C4" s="435" t="s">
        <v>68</v>
      </c>
      <c r="D4" s="413" t="s">
        <v>59</v>
      </c>
      <c r="E4" s="414" t="s">
        <v>62</v>
      </c>
      <c r="F4" s="414" t="s">
        <v>63</v>
      </c>
      <c r="G4" s="414" t="s">
        <v>64</v>
      </c>
      <c r="H4" s="415" t="s">
        <v>66</v>
      </c>
      <c r="J4" s="501" t="s">
        <v>169</v>
      </c>
      <c r="Q4" s="283" t="s">
        <v>168</v>
      </c>
      <c r="R4" s="18" t="s">
        <v>236</v>
      </c>
      <c r="T4" s="20"/>
    </row>
    <row r="5" spans="1:20" ht="12.75" customHeight="1" x14ac:dyDescent="0.2">
      <c r="A5" s="20"/>
      <c r="B5" s="598" t="s">
        <v>242</v>
      </c>
      <c r="C5" s="280" t="s">
        <v>38</v>
      </c>
      <c r="D5" s="492">
        <f>(D7/D9/60)^-1</f>
        <v>7.0220390262928607</v>
      </c>
      <c r="E5" s="492">
        <f>(E7/E9/60)^-1</f>
        <v>7.7047372649602153</v>
      </c>
      <c r="F5" s="492">
        <f>(F7/F9/60)^-1</f>
        <v>7.5096806253409687</v>
      </c>
      <c r="G5" s="492">
        <f>(G7/G9/60)^-1</f>
        <v>7.6803551850078104</v>
      </c>
      <c r="H5" s="492">
        <f>(H7/H9/60)^-1</f>
        <v>7.7778835048174324</v>
      </c>
      <c r="J5" s="412">
        <f>IF(($J$4="Baseline"),D5,IF(($J$4="A"),E5,IF(($J$4="B"),F5,IF(($J$4="C"),G5,IF(($J$4="D"),H5,"")))))</f>
        <v>7.7047372649602153</v>
      </c>
      <c r="Q5" s="18" t="s">
        <v>65</v>
      </c>
      <c r="R5" s="320" t="s">
        <v>6</v>
      </c>
      <c r="T5" s="446"/>
    </row>
    <row r="6" spans="1:20" x14ac:dyDescent="0.2">
      <c r="A6" s="20"/>
      <c r="B6" s="599"/>
      <c r="C6" s="424" t="s">
        <v>241</v>
      </c>
      <c r="D6" s="493">
        <f>D10/D8*60</f>
        <v>2.1430062581538265</v>
      </c>
      <c r="E6" s="494">
        <f>E10/E8*60</f>
        <v>2.1976747851475449</v>
      </c>
      <c r="F6" s="494">
        <f>F10/F8*60</f>
        <v>2.1976747851475449</v>
      </c>
      <c r="G6" s="494">
        <f>G10/G8*60</f>
        <v>2.2086084905462893</v>
      </c>
      <c r="H6" s="494">
        <f>H10/H8*60</f>
        <v>2.2086084905462893</v>
      </c>
      <c r="J6" s="412">
        <f>IF(($J$4="Baseline"),D6,IF(($J$4="A"),E6,IF(($J$4="B"),F6,IF(($J$4="C"),G6,IF(($J$4="D"),H6,"")))))</f>
        <v>2.1976747851475449</v>
      </c>
      <c r="Q6" s="18" t="s">
        <v>169</v>
      </c>
      <c r="R6" s="320" t="s">
        <v>7</v>
      </c>
      <c r="T6" s="410"/>
    </row>
    <row r="7" spans="1:20" x14ac:dyDescent="0.2">
      <c r="A7" s="20"/>
      <c r="B7" s="600" t="s">
        <v>243</v>
      </c>
      <c r="C7" s="423" t="s">
        <v>38</v>
      </c>
      <c r="D7" s="492">
        <v>2.4608236917080499</v>
      </c>
      <c r="E7" s="492">
        <v>2.4608236917080526</v>
      </c>
      <c r="F7" s="492">
        <v>2.4608236917080526</v>
      </c>
      <c r="G7" s="492">
        <v>2.4608236917080526</v>
      </c>
      <c r="H7" s="492">
        <v>2.4608236917080526</v>
      </c>
      <c r="J7" s="417">
        <f t="shared" ref="J7:J8" si="0">J9/(J5/60)</f>
        <v>2.4608236917080526</v>
      </c>
      <c r="Q7" s="213" t="s">
        <v>170</v>
      </c>
      <c r="R7" s="320" t="s">
        <v>8</v>
      </c>
      <c r="T7" s="410"/>
    </row>
    <row r="8" spans="1:20" x14ac:dyDescent="0.2">
      <c r="A8" s="20"/>
      <c r="B8" s="601"/>
      <c r="C8" s="424" t="s">
        <v>241</v>
      </c>
      <c r="D8" s="494">
        <v>5.4876181323572499</v>
      </c>
      <c r="E8" s="494">
        <v>5.4876181323572544</v>
      </c>
      <c r="F8" s="494">
        <v>5.4876181323572544</v>
      </c>
      <c r="G8" s="494">
        <v>5.4876181323572544</v>
      </c>
      <c r="H8" s="494">
        <v>5.4876181323572544</v>
      </c>
      <c r="J8" s="418">
        <f t="shared" si="0"/>
        <v>5.4876181323572544</v>
      </c>
      <c r="Q8" s="213" t="s">
        <v>171</v>
      </c>
      <c r="R8" s="320" t="s">
        <v>9</v>
      </c>
      <c r="T8" s="410"/>
    </row>
    <row r="9" spans="1:20" x14ac:dyDescent="0.2">
      <c r="A9" s="20"/>
      <c r="B9" s="602" t="s">
        <v>244</v>
      </c>
      <c r="C9" s="280" t="s">
        <v>38</v>
      </c>
      <c r="D9" s="495">
        <v>0.28799999999999998</v>
      </c>
      <c r="E9" s="495">
        <v>0.316</v>
      </c>
      <c r="F9" s="495">
        <v>0.308</v>
      </c>
      <c r="G9" s="495">
        <v>0.315</v>
      </c>
      <c r="H9" s="495">
        <v>0.31900000000000001</v>
      </c>
      <c r="J9" s="412">
        <f>IF(($J$4="Baseline"),D9,IF(($J$4="A"),E9,IF(($J$4="B"),F9,IF(($J$4="C"),G9,IF(($J$4="D"),H9,"")))))</f>
        <v>0.316</v>
      </c>
      <c r="Q9" s="24" t="s">
        <v>172</v>
      </c>
      <c r="R9" s="320" t="s">
        <v>10</v>
      </c>
      <c r="T9" s="410"/>
    </row>
    <row r="10" spans="1:20" x14ac:dyDescent="0.2">
      <c r="A10" s="20"/>
      <c r="B10" s="599"/>
      <c r="C10" s="422" t="s">
        <v>241</v>
      </c>
      <c r="D10" s="496">
        <v>0.19600000000000001</v>
      </c>
      <c r="E10" s="496">
        <v>0.20100000000000001</v>
      </c>
      <c r="F10" s="496">
        <v>0.20100000000000001</v>
      </c>
      <c r="G10" s="496">
        <v>0.20200000000000001</v>
      </c>
      <c r="H10" s="496">
        <v>0.20200000000000001</v>
      </c>
      <c r="J10" s="412">
        <f>IF(($J$4="Baseline"),D10,IF(($J$4="A"),E10,IF(($J$4="B"),F10,IF(($J$4="C"),G10,IF(($J$4="D"),H10,"")))))</f>
        <v>0.20100000000000001</v>
      </c>
      <c r="R10" s="320" t="s">
        <v>11</v>
      </c>
      <c r="T10" s="410"/>
    </row>
    <row r="11" spans="1:20" x14ac:dyDescent="0.2">
      <c r="A11" s="20"/>
      <c r="B11" s="603" t="s">
        <v>85</v>
      </c>
      <c r="C11" s="604"/>
      <c r="D11" s="419">
        <f t="shared" ref="D11:H11" si="1">(-0.0108*(D5+D6)+1.2682+0.68)</f>
        <v>1.8492175109279758</v>
      </c>
      <c r="E11" s="420">
        <f t="shared" si="1"/>
        <v>1.8412539498588361</v>
      </c>
      <c r="F11" s="420">
        <f t="shared" si="1"/>
        <v>1.8433605615667239</v>
      </c>
      <c r="G11" s="420">
        <f t="shared" si="1"/>
        <v>1.8413991923040158</v>
      </c>
      <c r="H11" s="420">
        <f t="shared" si="1"/>
        <v>1.8403458864500717</v>
      </c>
      <c r="J11" s="421">
        <f>(-0.0108*(J5+J6)+1.2682+0.68)</f>
        <v>1.8412539498588361</v>
      </c>
      <c r="R11" s="320" t="s">
        <v>12</v>
      </c>
      <c r="T11" s="410"/>
    </row>
    <row r="12" spans="1:20" x14ac:dyDescent="0.2">
      <c r="D12" s="525"/>
      <c r="R12" s="320" t="s">
        <v>13</v>
      </c>
      <c r="T12" s="410"/>
    </row>
    <row r="13" spans="1:20" x14ac:dyDescent="0.2">
      <c r="B13" s="497" t="s">
        <v>277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</row>
    <row r="14" spans="1:20" s="441" customFormat="1" x14ac:dyDescent="0.2"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</row>
    <row r="15" spans="1:20" x14ac:dyDescent="0.2">
      <c r="B15" s="71" t="s">
        <v>275</v>
      </c>
      <c r="C15" s="515" t="s">
        <v>237</v>
      </c>
      <c r="D15" s="57"/>
      <c r="E15" s="57"/>
      <c r="F15" s="57"/>
      <c r="G15" s="57"/>
      <c r="H15" s="57"/>
      <c r="I15"/>
      <c r="J15" s="550" t="s">
        <v>288</v>
      </c>
      <c r="K15" s="551">
        <v>2035</v>
      </c>
      <c r="L15" s="552"/>
      <c r="M15" s="552"/>
      <c r="N15" s="552"/>
      <c r="O15" s="552"/>
      <c r="P15" s="552"/>
    </row>
    <row r="16" spans="1:20" x14ac:dyDescent="0.2">
      <c r="B16"/>
      <c r="C16" s="477" t="s">
        <v>68</v>
      </c>
      <c r="D16" s="436" t="s">
        <v>59</v>
      </c>
      <c r="E16" s="396" t="s">
        <v>62</v>
      </c>
      <c r="F16" s="396" t="s">
        <v>63</v>
      </c>
      <c r="G16" s="396" t="s">
        <v>64</v>
      </c>
      <c r="H16" s="396" t="s">
        <v>66</v>
      </c>
      <c r="I16"/>
      <c r="J16" s="553"/>
      <c r="K16" s="554" t="s">
        <v>68</v>
      </c>
      <c r="L16" s="555" t="s">
        <v>59</v>
      </c>
      <c r="M16" s="556" t="s">
        <v>62</v>
      </c>
      <c r="N16" s="556" t="s">
        <v>63</v>
      </c>
      <c r="O16" s="556" t="s">
        <v>64</v>
      </c>
      <c r="P16" s="556" t="s">
        <v>66</v>
      </c>
    </row>
    <row r="17" spans="2:16" ht="12.75" customHeight="1" x14ac:dyDescent="0.2">
      <c r="B17" s="598" t="s">
        <v>242</v>
      </c>
      <c r="C17" s="430" t="s">
        <v>38</v>
      </c>
      <c r="D17" s="455">
        <f t="shared" ref="D17:H18" si="2">D21/D19*60</f>
        <v>8.4638430408032672</v>
      </c>
      <c r="E17" s="455">
        <f t="shared" si="2"/>
        <v>9.0054415904614178</v>
      </c>
      <c r="F17" s="455">
        <f t="shared" si="2"/>
        <v>8.2252799839441053</v>
      </c>
      <c r="G17" s="455">
        <f t="shared" si="2"/>
        <v>8.1931685670027399</v>
      </c>
      <c r="H17" s="455">
        <f t="shared" si="2"/>
        <v>7.9811844448522402</v>
      </c>
      <c r="I17"/>
      <c r="J17" s="609" t="s">
        <v>242</v>
      </c>
      <c r="K17" s="557" t="s">
        <v>38</v>
      </c>
      <c r="L17" s="558">
        <f>(L19/L21/60)^-1</f>
        <v>7.0220390262928607</v>
      </c>
      <c r="M17" s="558">
        <f>(M19/M21/60)^-1</f>
        <v>7.7047372649602153</v>
      </c>
      <c r="N17" s="558">
        <f>(N19/N21/60)^-1</f>
        <v>7.5096806253409687</v>
      </c>
      <c r="O17" s="558">
        <f>(O19/O21/60)^-1</f>
        <v>7.6803551850078104</v>
      </c>
      <c r="P17" s="558">
        <f>(P19/P21/60)^-1</f>
        <v>7.7778835048174324</v>
      </c>
    </row>
    <row r="18" spans="2:16" x14ac:dyDescent="0.2">
      <c r="B18" s="599"/>
      <c r="C18" s="431" t="s">
        <v>241</v>
      </c>
      <c r="D18" s="456">
        <f t="shared" si="2"/>
        <v>2.6986056318556058</v>
      </c>
      <c r="E18" s="457">
        <f t="shared" si="2"/>
        <v>2.9394635117226344</v>
      </c>
      <c r="F18" s="457">
        <f t="shared" si="2"/>
        <v>2.7224487338238084</v>
      </c>
      <c r="G18" s="457">
        <f t="shared" si="2"/>
        <v>2.7149821772859606</v>
      </c>
      <c r="H18" s="457">
        <f t="shared" si="2"/>
        <v>2.6875414948951089</v>
      </c>
      <c r="I18"/>
      <c r="J18" s="606"/>
      <c r="K18" s="559" t="s">
        <v>241</v>
      </c>
      <c r="L18" s="560">
        <f>L22/L20*60</f>
        <v>2.1430062581538265</v>
      </c>
      <c r="M18" s="561">
        <f>M22/M20*60</f>
        <v>2.1976747851475449</v>
      </c>
      <c r="N18" s="561">
        <f>N22/N20*60</f>
        <v>2.1976747851475449</v>
      </c>
      <c r="O18" s="561">
        <f>O22/O20*60</f>
        <v>2.2086084905462893</v>
      </c>
      <c r="P18" s="561">
        <f>P22/P20*60</f>
        <v>2.2086084905462893</v>
      </c>
    </row>
    <row r="19" spans="2:16" ht="12.75" customHeight="1" x14ac:dyDescent="0.2">
      <c r="B19" s="600" t="s">
        <v>243</v>
      </c>
      <c r="C19" s="432" t="s">
        <v>38</v>
      </c>
      <c r="D19" s="455">
        <v>2.4608236917080526</v>
      </c>
      <c r="E19" s="455">
        <v>2.4608236917080526</v>
      </c>
      <c r="F19" s="455">
        <v>2.4608236917080526</v>
      </c>
      <c r="G19" s="455">
        <v>2.4608236917080526</v>
      </c>
      <c r="H19" s="455">
        <v>2.4608236917080526</v>
      </c>
      <c r="I19"/>
      <c r="J19" s="607" t="s">
        <v>243</v>
      </c>
      <c r="K19" s="562" t="s">
        <v>38</v>
      </c>
      <c r="L19" s="558">
        <v>2.4608236917080499</v>
      </c>
      <c r="M19" s="558">
        <v>2.4608236917080526</v>
      </c>
      <c r="N19" s="558">
        <v>2.4608236917080526</v>
      </c>
      <c r="O19" s="558">
        <v>2.4608236917080526</v>
      </c>
      <c r="P19" s="558">
        <v>2.4608236917080526</v>
      </c>
    </row>
    <row r="20" spans="2:16" x14ac:dyDescent="0.2">
      <c r="B20" s="601"/>
      <c r="C20" s="431" t="s">
        <v>241</v>
      </c>
      <c r="D20" s="457">
        <v>5.4876181323572544</v>
      </c>
      <c r="E20" s="457">
        <v>5.4876181323572544</v>
      </c>
      <c r="F20" s="457">
        <v>5.4876181323572544</v>
      </c>
      <c r="G20" s="457">
        <v>5.4876181323572544</v>
      </c>
      <c r="H20" s="457">
        <v>5.4876181323572544</v>
      </c>
      <c r="I20"/>
      <c r="J20" s="608"/>
      <c r="K20" s="559" t="s">
        <v>241</v>
      </c>
      <c r="L20" s="561">
        <v>5.4876181323572499</v>
      </c>
      <c r="M20" s="561">
        <v>5.4876181323572544</v>
      </c>
      <c r="N20" s="561">
        <v>5.4876181323572544</v>
      </c>
      <c r="O20" s="561">
        <v>5.4876181323572544</v>
      </c>
      <c r="P20" s="561">
        <v>5.4876181323572544</v>
      </c>
    </row>
    <row r="21" spans="2:16" x14ac:dyDescent="0.2">
      <c r="B21" s="602" t="s">
        <v>244</v>
      </c>
      <c r="C21" s="432" t="s">
        <v>38</v>
      </c>
      <c r="D21" s="455">
        <v>0.34713375796178342</v>
      </c>
      <c r="E21" s="455">
        <v>0.3693467336683417</v>
      </c>
      <c r="F21" s="455">
        <v>0.33734939759036142</v>
      </c>
      <c r="G21" s="455">
        <v>0.33603238866396762</v>
      </c>
      <c r="H21" s="455">
        <v>0.3273381294964029</v>
      </c>
      <c r="I21"/>
      <c r="J21" s="609" t="s">
        <v>244</v>
      </c>
      <c r="K21" s="562" t="s">
        <v>38</v>
      </c>
      <c r="L21" s="563">
        <v>0.28799999999999998</v>
      </c>
      <c r="M21" s="563">
        <v>0.316</v>
      </c>
      <c r="N21" s="563">
        <v>0.308</v>
      </c>
      <c r="O21" s="563">
        <v>0.315</v>
      </c>
      <c r="P21" s="563">
        <v>0.31900000000000001</v>
      </c>
    </row>
    <row r="22" spans="2:16" x14ac:dyDescent="0.2">
      <c r="B22" s="599"/>
      <c r="C22" s="431" t="s">
        <v>241</v>
      </c>
      <c r="D22" s="457">
        <v>0.24681528662420382</v>
      </c>
      <c r="E22" s="457">
        <v>0.26884422110552764</v>
      </c>
      <c r="F22" s="457">
        <v>0.24899598393574296</v>
      </c>
      <c r="G22" s="457">
        <v>0.24831309041835359</v>
      </c>
      <c r="H22" s="457">
        <v>0.24580335731414868</v>
      </c>
      <c r="I22"/>
      <c r="J22" s="606"/>
      <c r="K22" s="559" t="s">
        <v>241</v>
      </c>
      <c r="L22" s="564">
        <v>0.19600000000000001</v>
      </c>
      <c r="M22" s="564">
        <v>0.20100000000000001</v>
      </c>
      <c r="N22" s="564">
        <v>0.20100000000000001</v>
      </c>
      <c r="O22" s="564">
        <v>0.20200000000000001</v>
      </c>
      <c r="P22" s="564">
        <v>0.20200000000000001</v>
      </c>
    </row>
    <row r="23" spans="2:16" x14ac:dyDescent="0.2">
      <c r="B23" s="427"/>
      <c r="C23"/>
      <c r="D23" s="10"/>
      <c r="E23" s="10"/>
      <c r="F23" s="10"/>
      <c r="G23" s="10"/>
      <c r="H23" s="10"/>
      <c r="I23"/>
      <c r="J23" s="498"/>
      <c r="K23" s="499"/>
      <c r="L23" s="500"/>
      <c r="M23" s="498"/>
      <c r="N23" s="498"/>
      <c r="O23" s="498"/>
      <c r="P23" s="498"/>
    </row>
    <row r="24" spans="2:16" x14ac:dyDescent="0.2">
      <c r="B24" s="71" t="s">
        <v>276</v>
      </c>
      <c r="C24" s="515" t="s">
        <v>238</v>
      </c>
      <c r="D24" s="396"/>
      <c r="E24" s="396"/>
      <c r="F24" s="396"/>
      <c r="G24" s="396"/>
      <c r="H24" s="396"/>
      <c r="I24"/>
      <c r="J24"/>
      <c r="K24"/>
      <c r="L24"/>
      <c r="M24"/>
      <c r="N24"/>
      <c r="O24"/>
      <c r="P24"/>
    </row>
    <row r="25" spans="2:16" x14ac:dyDescent="0.2">
      <c r="B25" s="361"/>
      <c r="C25" s="434" t="s">
        <v>68</v>
      </c>
      <c r="D25" s="396" t="s">
        <v>59</v>
      </c>
      <c r="E25" s="396" t="s">
        <v>62</v>
      </c>
      <c r="F25" s="396" t="s">
        <v>63</v>
      </c>
      <c r="G25" s="396" t="s">
        <v>64</v>
      </c>
      <c r="H25" s="396" t="s">
        <v>66</v>
      </c>
      <c r="I25"/>
      <c r="J25" s="565"/>
      <c r="K25"/>
      <c r="L25"/>
      <c r="M25"/>
      <c r="N25"/>
      <c r="O25"/>
      <c r="P25"/>
    </row>
    <row r="26" spans="2:16" x14ac:dyDescent="0.2">
      <c r="B26" s="598" t="s">
        <v>242</v>
      </c>
      <c r="C26" s="430" t="s">
        <v>38</v>
      </c>
      <c r="D26" s="455">
        <f t="shared" ref="D26:H27" si="3">(D28/D30/60)^-1</f>
        <v>2.1735962748268687</v>
      </c>
      <c r="E26" s="455">
        <f t="shared" si="3"/>
        <v>2.4023519953105659</v>
      </c>
      <c r="F26" s="455">
        <f t="shared" si="3"/>
        <v>2.6809732934679906</v>
      </c>
      <c r="G26" s="455">
        <f t="shared" si="3"/>
        <v>2.607822464474701</v>
      </c>
      <c r="H26" s="455">
        <f t="shared" si="3"/>
        <v>3.5098687365115047</v>
      </c>
      <c r="I26"/>
      <c r="J26" s="553"/>
      <c r="K26"/>
      <c r="L26"/>
      <c r="M26"/>
      <c r="N26"/>
      <c r="O26"/>
      <c r="P26"/>
    </row>
    <row r="27" spans="2:16" x14ac:dyDescent="0.2">
      <c r="B27" s="599"/>
      <c r="C27" s="431" t="s">
        <v>241</v>
      </c>
      <c r="D27" s="457">
        <f t="shared" si="3"/>
        <v>1.466303127118382</v>
      </c>
      <c r="E27" s="457">
        <f t="shared" si="3"/>
        <v>1.6722137668667303</v>
      </c>
      <c r="F27" s="457">
        <f t="shared" si="3"/>
        <v>1.6897544707149825</v>
      </c>
      <c r="G27" s="457">
        <f t="shared" si="3"/>
        <v>1.687593659371357</v>
      </c>
      <c r="H27" s="457">
        <f t="shared" si="3"/>
        <v>1.8835645878662237</v>
      </c>
      <c r="I27"/>
      <c r="J27" s="553"/>
      <c r="K27"/>
      <c r="L27"/>
      <c r="M27"/>
      <c r="N27"/>
      <c r="O27"/>
      <c r="P27"/>
    </row>
    <row r="28" spans="2:16" x14ac:dyDescent="0.2">
      <c r="B28" s="600" t="s">
        <v>243</v>
      </c>
      <c r="C28" s="432" t="s">
        <v>38</v>
      </c>
      <c r="D28" s="455">
        <v>2.4608236917080526</v>
      </c>
      <c r="E28" s="455">
        <v>2.4608236917080526</v>
      </c>
      <c r="F28" s="455">
        <v>2.4608236917080526</v>
      </c>
      <c r="G28" s="455">
        <v>2.4608236917080526</v>
      </c>
      <c r="H28" s="455">
        <v>2.4608236917080526</v>
      </c>
      <c r="I28"/>
      <c r="J28" s="553"/>
      <c r="K28"/>
      <c r="L28"/>
      <c r="M28"/>
      <c r="N28"/>
      <c r="O28"/>
      <c r="P28"/>
    </row>
    <row r="29" spans="2:16" x14ac:dyDescent="0.2">
      <c r="B29" s="601"/>
      <c r="C29" s="431" t="s">
        <v>241</v>
      </c>
      <c r="D29" s="457">
        <v>5.4876181323572544</v>
      </c>
      <c r="E29" s="457">
        <v>5.4876181323572544</v>
      </c>
      <c r="F29" s="457">
        <v>5.4876181323572544</v>
      </c>
      <c r="G29" s="457">
        <v>5.4876181323572544</v>
      </c>
      <c r="H29" s="457">
        <v>5.4876181323572544</v>
      </c>
      <c r="I29"/>
      <c r="J29"/>
      <c r="K29"/>
      <c r="L29"/>
      <c r="M29"/>
      <c r="N29"/>
      <c r="O29"/>
      <c r="P29"/>
    </row>
    <row r="30" spans="2:16" x14ac:dyDescent="0.2">
      <c r="B30" s="602" t="s">
        <v>244</v>
      </c>
      <c r="C30" s="432" t="s">
        <v>38</v>
      </c>
      <c r="D30" s="455">
        <v>8.9147286821705432E-2</v>
      </c>
      <c r="E30" s="455">
        <v>9.8529411764705879E-2</v>
      </c>
      <c r="F30" s="455">
        <v>0.10995670995670996</v>
      </c>
      <c r="G30" s="455">
        <v>0.10695652173913044</v>
      </c>
      <c r="H30" s="455">
        <v>0.143952802359882</v>
      </c>
      <c r="I30"/>
      <c r="J30"/>
      <c r="K30"/>
      <c r="L30"/>
      <c r="M30"/>
      <c r="N30"/>
      <c r="O30"/>
      <c r="P30"/>
    </row>
    <row r="31" spans="2:16" x14ac:dyDescent="0.2">
      <c r="B31" s="599"/>
      <c r="C31" s="431" t="s">
        <v>241</v>
      </c>
      <c r="D31" s="457">
        <v>0.13410852713178295</v>
      </c>
      <c r="E31" s="457">
        <v>0.15294117647058825</v>
      </c>
      <c r="F31" s="457">
        <v>0.15454545454545454</v>
      </c>
      <c r="G31" s="457">
        <v>0.15434782608695652</v>
      </c>
      <c r="H31" s="457">
        <v>0.17227138643067846</v>
      </c>
      <c r="I31"/>
      <c r="J31"/>
      <c r="K31"/>
      <c r="L31"/>
      <c r="M31"/>
      <c r="N31"/>
      <c r="O31"/>
      <c r="P31"/>
    </row>
    <row r="32" spans="2:16" x14ac:dyDescent="0.2">
      <c r="B32"/>
      <c r="C32"/>
      <c r="D32" s="10"/>
      <c r="E32" s="10"/>
      <c r="F32" s="10"/>
      <c r="G32" s="10"/>
      <c r="H32" s="10"/>
      <c r="I32"/>
      <c r="J32"/>
      <c r="K32" s="428"/>
      <c r="L32" s="426"/>
      <c r="M32"/>
      <c r="N32"/>
      <c r="O32"/>
      <c r="P32"/>
    </row>
    <row r="33" spans="2:16" x14ac:dyDescent="0.2">
      <c r="B33" s="71" t="s">
        <v>239</v>
      </c>
      <c r="C33" s="515" t="s">
        <v>239</v>
      </c>
      <c r="D33" s="396"/>
      <c r="E33" s="396"/>
      <c r="F33" s="396"/>
      <c r="G33" s="396"/>
      <c r="H33" s="396"/>
      <c r="I33"/>
      <c r="J33"/>
      <c r="K33" s="428"/>
      <c r="L33" s="426"/>
      <c r="M33"/>
      <c r="N33"/>
      <c r="O33"/>
      <c r="P33"/>
    </row>
    <row r="34" spans="2:16" x14ac:dyDescent="0.2">
      <c r="B34"/>
      <c r="C34" s="433" t="s">
        <v>68</v>
      </c>
      <c r="D34" s="436" t="s">
        <v>59</v>
      </c>
      <c r="E34" s="396" t="s">
        <v>62</v>
      </c>
      <c r="F34" s="396" t="s">
        <v>63</v>
      </c>
      <c r="G34" s="396" t="s">
        <v>64</v>
      </c>
      <c r="H34" s="396" t="s">
        <v>66</v>
      </c>
      <c r="I34"/>
      <c r="J34"/>
      <c r="K34" s="428"/>
      <c r="L34" s="428"/>
      <c r="M34"/>
      <c r="N34"/>
      <c r="O34"/>
      <c r="P34"/>
    </row>
    <row r="35" spans="2:16" x14ac:dyDescent="0.2">
      <c r="B35" s="598" t="s">
        <v>242</v>
      </c>
      <c r="C35" s="430" t="s">
        <v>38</v>
      </c>
      <c r="D35" s="455">
        <f t="shared" ref="D35:H36" si="4">(D37/D39/60)^-1</f>
        <v>3.9821251686974088</v>
      </c>
      <c r="E35" s="455">
        <f t="shared" si="4"/>
        <v>4.2731480328958522</v>
      </c>
      <c r="F35" s="455">
        <f t="shared" si="4"/>
        <v>3.7886001156815072</v>
      </c>
      <c r="G35" s="455">
        <f t="shared" si="4"/>
        <v>3.7920715607212023</v>
      </c>
      <c r="H35" s="455">
        <f t="shared" si="4"/>
        <v>4.1098394402533813</v>
      </c>
      <c r="I35"/>
      <c r="J35"/>
      <c r="K35" s="428"/>
      <c r="L35" s="425"/>
      <c r="M35"/>
      <c r="N35"/>
      <c r="O35"/>
      <c r="P35"/>
    </row>
    <row r="36" spans="2:16" x14ac:dyDescent="0.2">
      <c r="B36" s="599"/>
      <c r="C36" s="431" t="s">
        <v>241</v>
      </c>
      <c r="D36" s="457">
        <f t="shared" si="4"/>
        <v>1.5738482511686873</v>
      </c>
      <c r="E36" s="457">
        <f t="shared" si="4"/>
        <v>1.3909476765000104</v>
      </c>
      <c r="F36" s="457">
        <f t="shared" si="4"/>
        <v>1.4690414433184253</v>
      </c>
      <c r="G36" s="457">
        <f t="shared" si="4"/>
        <v>1.5543288137546101</v>
      </c>
      <c r="H36" s="457">
        <f t="shared" si="4"/>
        <v>1.4593059132603561</v>
      </c>
      <c r="I36"/>
      <c r="J36"/>
      <c r="K36" s="428"/>
      <c r="L36" s="426"/>
      <c r="M36"/>
      <c r="N36"/>
      <c r="O36"/>
      <c r="P36"/>
    </row>
    <row r="37" spans="2:16" x14ac:dyDescent="0.2">
      <c r="B37" s="600" t="s">
        <v>243</v>
      </c>
      <c r="C37" s="432" t="s">
        <v>38</v>
      </c>
      <c r="D37" s="455">
        <v>2.4608236917080526</v>
      </c>
      <c r="E37" s="455">
        <v>2.4608236917080526</v>
      </c>
      <c r="F37" s="455">
        <v>2.4608236917080526</v>
      </c>
      <c r="G37" s="455">
        <v>2.4608236917080526</v>
      </c>
      <c r="H37" s="455">
        <v>2.4608236917080526</v>
      </c>
      <c r="I37"/>
      <c r="J37"/>
      <c r="K37" s="428"/>
      <c r="L37" s="426"/>
      <c r="M37"/>
      <c r="N37"/>
      <c r="O37"/>
      <c r="P37"/>
    </row>
    <row r="38" spans="2:16" x14ac:dyDescent="0.2">
      <c r="B38" s="601"/>
      <c r="C38" s="431" t="s">
        <v>241</v>
      </c>
      <c r="D38" s="457">
        <v>5.4876181323572544</v>
      </c>
      <c r="E38" s="457">
        <v>5.4876181323572544</v>
      </c>
      <c r="F38" s="457">
        <v>5.4876181323572544</v>
      </c>
      <c r="G38" s="457">
        <v>5.4876181323572544</v>
      </c>
      <c r="H38" s="457">
        <v>5.4876181323572544</v>
      </c>
      <c r="I38"/>
      <c r="J38"/>
      <c r="K38" s="428"/>
      <c r="L38" s="426"/>
      <c r="M38"/>
      <c r="N38"/>
      <c r="O38"/>
      <c r="P38"/>
    </row>
    <row r="39" spans="2:16" x14ac:dyDescent="0.2">
      <c r="B39" s="602" t="s">
        <v>244</v>
      </c>
      <c r="C39" s="432" t="s">
        <v>38</v>
      </c>
      <c r="D39" s="455">
        <v>0.16332179930795848</v>
      </c>
      <c r="E39" s="455">
        <v>0.17525773195876287</v>
      </c>
      <c r="F39" s="455">
        <v>0.15538461538461537</v>
      </c>
      <c r="G39" s="455">
        <v>0.15552699228791775</v>
      </c>
      <c r="H39" s="455">
        <v>0.16855983772819472</v>
      </c>
      <c r="I39"/>
      <c r="J39"/>
      <c r="K39" s="428"/>
      <c r="L39" s="428"/>
      <c r="M39"/>
      <c r="N39"/>
      <c r="O39"/>
      <c r="P39"/>
    </row>
    <row r="40" spans="2:16" x14ac:dyDescent="0.2">
      <c r="B40" s="599"/>
      <c r="C40" s="431" t="s">
        <v>241</v>
      </c>
      <c r="D40" s="457">
        <v>0.1439446366782007</v>
      </c>
      <c r="E40" s="457">
        <v>0.12721649484536082</v>
      </c>
      <c r="F40" s="457">
        <v>0.13435897435897437</v>
      </c>
      <c r="G40" s="457">
        <v>0.14215938303341902</v>
      </c>
      <c r="H40" s="457">
        <v>0.13346855983772821</v>
      </c>
      <c r="I40"/>
      <c r="J40"/>
      <c r="K40" s="428"/>
      <c r="L40" s="425"/>
      <c r="M40"/>
      <c r="N40"/>
      <c r="O40"/>
      <c r="P40"/>
    </row>
    <row r="41" spans="2:16" x14ac:dyDescent="0.2">
      <c r="B41"/>
      <c r="C41"/>
      <c r="D41" s="10"/>
      <c r="E41" s="10"/>
      <c r="F41" s="10"/>
      <c r="G41" s="10"/>
      <c r="H41" s="10"/>
      <c r="I41"/>
      <c r="J41"/>
      <c r="K41" s="428"/>
      <c r="L41" s="426"/>
      <c r="M41"/>
      <c r="N41"/>
      <c r="O41"/>
      <c r="P41"/>
    </row>
    <row r="42" spans="2:16" x14ac:dyDescent="0.2">
      <c r="B42" s="71" t="s">
        <v>240</v>
      </c>
      <c r="C42" s="515" t="s">
        <v>240</v>
      </c>
      <c r="D42" s="396"/>
      <c r="E42" s="396"/>
      <c r="F42" s="396"/>
      <c r="G42" s="396"/>
      <c r="H42" s="396"/>
      <c r="I42"/>
      <c r="J42"/>
      <c r="K42" s="428"/>
      <c r="L42" s="426"/>
      <c r="M42"/>
      <c r="N42"/>
      <c r="O42"/>
      <c r="P42"/>
    </row>
    <row r="43" spans="2:16" x14ac:dyDescent="0.2">
      <c r="B43"/>
      <c r="C43" s="431" t="s">
        <v>68</v>
      </c>
      <c r="D43" s="437" t="s">
        <v>59</v>
      </c>
      <c r="E43" s="396" t="s">
        <v>62</v>
      </c>
      <c r="F43" s="396" t="s">
        <v>63</v>
      </c>
      <c r="G43" s="396" t="s">
        <v>64</v>
      </c>
      <c r="H43" s="396" t="s">
        <v>66</v>
      </c>
      <c r="I43"/>
      <c r="J43"/>
      <c r="K43" s="428"/>
      <c r="L43" s="426"/>
      <c r="M43"/>
      <c r="N43"/>
      <c r="O43"/>
      <c r="P43"/>
    </row>
    <row r="44" spans="2:16" x14ac:dyDescent="0.2">
      <c r="B44" s="598" t="s">
        <v>242</v>
      </c>
      <c r="C44" s="430" t="s">
        <v>38</v>
      </c>
      <c r="D44" s="455">
        <f t="shared" ref="D44:H45" si="5">(D46/D48/60)^-1</f>
        <v>8.605439983202027</v>
      </c>
      <c r="E44" s="455">
        <f t="shared" si="5"/>
        <v>9.0113569635417452</v>
      </c>
      <c r="F44" s="455">
        <f t="shared" si="5"/>
        <v>8.7600287254152374</v>
      </c>
      <c r="G44" s="455">
        <f t="shared" si="5"/>
        <v>8.932500319012199</v>
      </c>
      <c r="H44" s="455">
        <f t="shared" si="5"/>
        <v>9.4450969912717397</v>
      </c>
      <c r="I44"/>
      <c r="J44"/>
      <c r="K44" s="428"/>
      <c r="L44" s="428"/>
      <c r="M44"/>
      <c r="N44"/>
      <c r="O44"/>
      <c r="P44"/>
    </row>
    <row r="45" spans="2:16" x14ac:dyDescent="0.2">
      <c r="B45" s="599"/>
      <c r="C45" s="431" t="s">
        <v>241</v>
      </c>
      <c r="D45" s="457">
        <f t="shared" si="5"/>
        <v>2.6415464723856314</v>
      </c>
      <c r="E45" s="457">
        <f t="shared" si="5"/>
        <v>2.6454470332144204</v>
      </c>
      <c r="F45" s="457">
        <f t="shared" si="5"/>
        <v>2.6297634741490068</v>
      </c>
      <c r="G45" s="457">
        <f t="shared" si="5"/>
        <v>2.6772250602532046</v>
      </c>
      <c r="H45" s="457">
        <f t="shared" si="5"/>
        <v>2.6856577338662455</v>
      </c>
      <c r="I45"/>
      <c r="J45"/>
      <c r="K45"/>
      <c r="L45"/>
      <c r="M45"/>
      <c r="N45"/>
      <c r="O45"/>
      <c r="P45"/>
    </row>
    <row r="46" spans="2:16" x14ac:dyDescent="0.2">
      <c r="B46" s="600" t="s">
        <v>243</v>
      </c>
      <c r="C46" s="432" t="s">
        <v>38</v>
      </c>
      <c r="D46" s="455">
        <v>2.4608236917080526</v>
      </c>
      <c r="E46" s="455">
        <v>2.4608236917080526</v>
      </c>
      <c r="F46" s="455">
        <v>2.4608236917080526</v>
      </c>
      <c r="G46" s="455">
        <v>2.4608236917080526</v>
      </c>
      <c r="H46" s="455">
        <v>2.4608236917080526</v>
      </c>
      <c r="I46"/>
      <c r="J46"/>
      <c r="K46"/>
      <c r="L46"/>
      <c r="M46"/>
      <c r="N46"/>
      <c r="O46"/>
      <c r="P46"/>
    </row>
    <row r="47" spans="2:16" x14ac:dyDescent="0.2">
      <c r="B47" s="601"/>
      <c r="C47" s="431" t="s">
        <v>241</v>
      </c>
      <c r="D47" s="457">
        <v>5.4876181323572544</v>
      </c>
      <c r="E47" s="457">
        <v>5.4876181323572544</v>
      </c>
      <c r="F47" s="457">
        <v>5.4876181323572544</v>
      </c>
      <c r="G47" s="457">
        <v>5.4876181323572544</v>
      </c>
      <c r="H47" s="457">
        <v>5.4876181323572544</v>
      </c>
      <c r="I47"/>
      <c r="J47"/>
      <c r="K47"/>
      <c r="L47"/>
      <c r="M47"/>
      <c r="N47"/>
      <c r="O47"/>
      <c r="P47"/>
    </row>
    <row r="48" spans="2:16" x14ac:dyDescent="0.2">
      <c r="B48" s="602" t="s">
        <v>244</v>
      </c>
      <c r="C48" s="432" t="s">
        <v>38</v>
      </c>
      <c r="D48" s="455">
        <v>0.35294117647058826</v>
      </c>
      <c r="E48" s="455">
        <v>0.36958934517203107</v>
      </c>
      <c r="F48" s="455">
        <v>0.3592814371257485</v>
      </c>
      <c r="G48" s="455">
        <v>0.3663551401869159</v>
      </c>
      <c r="H48" s="455">
        <v>0.38737864077669903</v>
      </c>
      <c r="I48"/>
      <c r="J48"/>
      <c r="K48"/>
      <c r="L48"/>
      <c r="M48"/>
      <c r="N48"/>
      <c r="O48"/>
      <c r="P48"/>
    </row>
    <row r="49" spans="2:16" x14ac:dyDescent="0.2">
      <c r="B49" s="599"/>
      <c r="C49" s="431" t="s">
        <v>241</v>
      </c>
      <c r="D49" s="457">
        <v>0.24159663865546219</v>
      </c>
      <c r="E49" s="457">
        <v>0.24195338512763595</v>
      </c>
      <c r="F49" s="457">
        <v>0.2405189620758483</v>
      </c>
      <c r="G49" s="457">
        <v>0.24485981308411214</v>
      </c>
      <c r="H49" s="457">
        <v>0.24563106796116504</v>
      </c>
      <c r="I49"/>
      <c r="J49"/>
      <c r="K49"/>
      <c r="L49"/>
      <c r="M49"/>
      <c r="N49"/>
      <c r="O49"/>
      <c r="P49"/>
    </row>
    <row r="50" spans="2:16" x14ac:dyDescent="0.2"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</row>
    <row r="51" spans="2:16" x14ac:dyDescent="0.2">
      <c r="B51" s="550" t="s">
        <v>37</v>
      </c>
      <c r="C51" s="566" t="s">
        <v>289</v>
      </c>
      <c r="D51" s="553"/>
      <c r="E51" s="552"/>
      <c r="F51" s="552"/>
      <c r="G51" s="552"/>
      <c r="H51" s="552"/>
      <c r="I51"/>
      <c r="J51"/>
      <c r="K51"/>
      <c r="L51"/>
      <c r="M51"/>
      <c r="N51"/>
      <c r="O51"/>
      <c r="P51"/>
    </row>
    <row r="52" spans="2:16" x14ac:dyDescent="0.2">
      <c r="B52" s="553"/>
      <c r="C52" s="554" t="s">
        <v>68</v>
      </c>
      <c r="D52" s="555" t="s">
        <v>59</v>
      </c>
      <c r="E52" s="556" t="s">
        <v>62</v>
      </c>
      <c r="F52" s="556" t="s">
        <v>63</v>
      </c>
      <c r="G52" s="556" t="s">
        <v>64</v>
      </c>
      <c r="H52" s="556" t="s">
        <v>66</v>
      </c>
      <c r="I52"/>
      <c r="J52"/>
      <c r="K52"/>
      <c r="L52"/>
      <c r="M52"/>
      <c r="N52"/>
      <c r="O52"/>
      <c r="P52"/>
    </row>
    <row r="53" spans="2:16" x14ac:dyDescent="0.2">
      <c r="B53" s="609" t="s">
        <v>242</v>
      </c>
      <c r="C53" s="557" t="s">
        <v>38</v>
      </c>
      <c r="D53" s="558">
        <f t="shared" ref="D53:H54" si="6">(D55/D57/60)^-1</f>
        <v>3.9821251686974088</v>
      </c>
      <c r="E53" s="558">
        <f t="shared" si="6"/>
        <v>9.0113569635417452</v>
      </c>
      <c r="F53" s="558">
        <f t="shared" si="6"/>
        <v>8.7600287254152374</v>
      </c>
      <c r="G53" s="558">
        <f t="shared" si="6"/>
        <v>8.932500319012199</v>
      </c>
      <c r="H53" s="558">
        <f t="shared" si="6"/>
        <v>9.4450969912717397</v>
      </c>
      <c r="I53"/>
      <c r="J53"/>
      <c r="K53"/>
      <c r="L53"/>
      <c r="M53"/>
      <c r="N53"/>
      <c r="O53"/>
      <c r="P53"/>
    </row>
    <row r="54" spans="2:16" x14ac:dyDescent="0.2">
      <c r="B54" s="606"/>
      <c r="C54" s="559" t="s">
        <v>241</v>
      </c>
      <c r="D54" s="561">
        <f t="shared" si="6"/>
        <v>1.5738482511686873</v>
      </c>
      <c r="E54" s="561">
        <f t="shared" si="6"/>
        <v>2.6454470332144204</v>
      </c>
      <c r="F54" s="561">
        <f t="shared" si="6"/>
        <v>2.6297634741490068</v>
      </c>
      <c r="G54" s="561">
        <f t="shared" si="6"/>
        <v>2.6772250602532046</v>
      </c>
      <c r="H54" s="561">
        <f t="shared" si="6"/>
        <v>2.6856577338662455</v>
      </c>
      <c r="I54"/>
      <c r="J54"/>
      <c r="K54"/>
      <c r="L54"/>
      <c r="M54"/>
      <c r="N54"/>
      <c r="O54"/>
      <c r="P54"/>
    </row>
    <row r="55" spans="2:16" x14ac:dyDescent="0.2">
      <c r="B55" s="607" t="s">
        <v>243</v>
      </c>
      <c r="C55" s="562" t="s">
        <v>38</v>
      </c>
      <c r="D55" s="558">
        <v>2.4608236917080526</v>
      </c>
      <c r="E55" s="558">
        <v>2.4608236917080526</v>
      </c>
      <c r="F55" s="558">
        <v>2.4608236917080526</v>
      </c>
      <c r="G55" s="558">
        <v>2.4608236917080526</v>
      </c>
      <c r="H55" s="558">
        <v>2.4608236917080526</v>
      </c>
      <c r="I55"/>
      <c r="J55"/>
      <c r="K55"/>
      <c r="L55"/>
      <c r="M55"/>
      <c r="N55"/>
      <c r="O55"/>
      <c r="P55"/>
    </row>
    <row r="56" spans="2:16" x14ac:dyDescent="0.2">
      <c r="B56" s="608"/>
      <c r="C56" s="559" t="s">
        <v>241</v>
      </c>
      <c r="D56" s="561">
        <v>5.4876181323572544</v>
      </c>
      <c r="E56" s="561">
        <v>5.4876181323572544</v>
      </c>
      <c r="F56" s="561">
        <v>5.4876181323572544</v>
      </c>
      <c r="G56" s="561">
        <v>5.4876181323572544</v>
      </c>
      <c r="H56" s="561">
        <v>5.4876181323572544</v>
      </c>
      <c r="I56"/>
      <c r="J56"/>
      <c r="K56"/>
      <c r="L56"/>
      <c r="M56"/>
      <c r="N56"/>
      <c r="O56"/>
      <c r="P56"/>
    </row>
    <row r="57" spans="2:16" x14ac:dyDescent="0.2">
      <c r="B57" s="605" t="s">
        <v>244</v>
      </c>
      <c r="C57" s="562" t="s">
        <v>38</v>
      </c>
      <c r="D57" s="558">
        <v>0.16332179930795848</v>
      </c>
      <c r="E57" s="558">
        <v>0.36958934517203107</v>
      </c>
      <c r="F57" s="558">
        <v>0.3592814371257485</v>
      </c>
      <c r="G57" s="558">
        <v>0.3663551401869159</v>
      </c>
      <c r="H57" s="558">
        <v>0.38737864077669903</v>
      </c>
      <c r="I57"/>
      <c r="J57" s="553"/>
      <c r="K57"/>
      <c r="L57"/>
      <c r="M57"/>
      <c r="N57"/>
      <c r="O57"/>
      <c r="P57"/>
    </row>
    <row r="58" spans="2:16" x14ac:dyDescent="0.2">
      <c r="B58" s="606"/>
      <c r="C58" s="559" t="s">
        <v>241</v>
      </c>
      <c r="D58" s="561">
        <v>0.1439446366782007</v>
      </c>
      <c r="E58" s="561">
        <v>0.24195338512763595</v>
      </c>
      <c r="F58" s="561">
        <v>0.2405189620758483</v>
      </c>
      <c r="G58" s="561">
        <v>0.24485981308411214</v>
      </c>
      <c r="H58" s="561">
        <v>0.24563106796116504</v>
      </c>
      <c r="I58"/>
      <c r="J58" s="553"/>
      <c r="K58"/>
      <c r="L58"/>
      <c r="M58"/>
      <c r="N58"/>
      <c r="O58"/>
      <c r="P58"/>
    </row>
    <row r="59" spans="2:16" x14ac:dyDescent="0.2">
      <c r="B59"/>
      <c r="C59"/>
      <c r="D59"/>
      <c r="E59"/>
      <c r="F59"/>
      <c r="G59"/>
      <c r="H59"/>
      <c r="I59"/>
      <c r="J59" s="553"/>
      <c r="K59"/>
      <c r="L59"/>
      <c r="M59"/>
      <c r="N59"/>
      <c r="O59"/>
      <c r="P59"/>
    </row>
  </sheetData>
  <mergeCells count="22">
    <mergeCell ref="B55:B56"/>
    <mergeCell ref="B39:B40"/>
    <mergeCell ref="J21:J22"/>
    <mergeCell ref="J19:J20"/>
    <mergeCell ref="J17:J18"/>
    <mergeCell ref="B53:B54"/>
    <mergeCell ref="B5:B6"/>
    <mergeCell ref="B7:B8"/>
    <mergeCell ref="B9:B10"/>
    <mergeCell ref="B11:C11"/>
    <mergeCell ref="B57:B58"/>
    <mergeCell ref="B17:B18"/>
    <mergeCell ref="B19:B20"/>
    <mergeCell ref="B21:B22"/>
    <mergeCell ref="B26:B27"/>
    <mergeCell ref="B44:B45"/>
    <mergeCell ref="B46:B47"/>
    <mergeCell ref="B48:B49"/>
    <mergeCell ref="B28:B29"/>
    <mergeCell ref="B30:B31"/>
    <mergeCell ref="B35:B36"/>
    <mergeCell ref="B37:B38"/>
  </mergeCells>
  <dataValidations count="1">
    <dataValidation type="list" allowBlank="1" showInputMessage="1" showErrorMessage="1" sqref="J4">
      <formula1>$Q$5:$Q$9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5" tint="-0.249977111117893"/>
  </sheetPr>
  <dimension ref="B2:R51"/>
  <sheetViews>
    <sheetView showGridLines="0" workbookViewId="0"/>
  </sheetViews>
  <sheetFormatPr defaultRowHeight="12.75" x14ac:dyDescent="0.2"/>
  <cols>
    <col min="1" max="1" width="4.28515625" customWidth="1"/>
    <col min="3" max="3" width="17.5703125" customWidth="1"/>
  </cols>
  <sheetData>
    <row r="2" spans="2:18" x14ac:dyDescent="0.2">
      <c r="B2" s="56" t="s">
        <v>247</v>
      </c>
    </row>
    <row r="4" spans="2:18" x14ac:dyDescent="0.2">
      <c r="B4" s="359"/>
      <c r="C4" s="57"/>
      <c r="D4" s="610" t="s">
        <v>5</v>
      </c>
      <c r="E4" s="610"/>
      <c r="F4" s="610" t="s">
        <v>15</v>
      </c>
      <c r="G4" s="610"/>
      <c r="H4" s="610" t="s">
        <v>143</v>
      </c>
      <c r="I4" s="610"/>
      <c r="J4" s="610" t="s">
        <v>27</v>
      </c>
      <c r="K4" s="610"/>
      <c r="L4" s="610" t="s">
        <v>18</v>
      </c>
      <c r="M4" s="610"/>
      <c r="N4" s="610" t="s">
        <v>26</v>
      </c>
      <c r="O4" s="611"/>
      <c r="P4" s="612" t="s">
        <v>14</v>
      </c>
      <c r="Q4" s="613"/>
      <c r="R4" s="613"/>
    </row>
    <row r="5" spans="2:18" x14ac:dyDescent="0.2">
      <c r="B5" s="361" t="s">
        <v>180</v>
      </c>
      <c r="C5" s="81"/>
      <c r="D5" s="84" t="s">
        <v>39</v>
      </c>
      <c r="E5" s="84" t="s">
        <v>40</v>
      </c>
      <c r="F5" s="84" t="s">
        <v>39</v>
      </c>
      <c r="G5" s="84" t="s">
        <v>40</v>
      </c>
      <c r="H5" s="84" t="s">
        <v>39</v>
      </c>
      <c r="I5" s="84" t="s">
        <v>40</v>
      </c>
      <c r="J5" s="84" t="s">
        <v>39</v>
      </c>
      <c r="K5" s="84" t="s">
        <v>40</v>
      </c>
      <c r="L5" s="84" t="s">
        <v>39</v>
      </c>
      <c r="M5" s="84" t="s">
        <v>40</v>
      </c>
      <c r="N5" s="84" t="s">
        <v>39</v>
      </c>
      <c r="O5" s="365" t="s">
        <v>40</v>
      </c>
      <c r="P5" s="556" t="s">
        <v>39</v>
      </c>
      <c r="Q5" s="556" t="s">
        <v>40</v>
      </c>
      <c r="R5" s="569" t="s">
        <v>273</v>
      </c>
    </row>
    <row r="6" spans="2:18" x14ac:dyDescent="0.2">
      <c r="C6" s="366" t="s">
        <v>6</v>
      </c>
      <c r="D6" s="526">
        <f>'Breast cancer'!AU24</f>
        <v>0</v>
      </c>
      <c r="E6" s="526">
        <f>'Breast cancer'!AU32</f>
        <v>0</v>
      </c>
      <c r="F6" s="526">
        <f>'Colon cancer'!AU24</f>
        <v>0</v>
      </c>
      <c r="G6" s="526">
        <f>'Colon cancer'!AU32</f>
        <v>0</v>
      </c>
      <c r="H6" s="526">
        <f>CVD!AU24</f>
        <v>0</v>
      </c>
      <c r="I6" s="526">
        <f>CVD!AU32</f>
        <v>0</v>
      </c>
      <c r="J6" s="526">
        <f>Depression!AU24</f>
        <v>0</v>
      </c>
      <c r="K6" s="526">
        <f>Depression!AU32</f>
        <v>0</v>
      </c>
      <c r="L6" s="526">
        <f>Dementia!AU24</f>
        <v>0</v>
      </c>
      <c r="M6" s="526">
        <f>Dementia!AU32</f>
        <v>0</v>
      </c>
      <c r="N6" s="526">
        <f>Diabetes!AU24</f>
        <v>0</v>
      </c>
      <c r="O6" s="527">
        <f>Diabetes!AU32</f>
        <v>0</v>
      </c>
      <c r="P6" s="47">
        <f>D6+F6+H6+J6+L6+N6</f>
        <v>0</v>
      </c>
      <c r="Q6" s="47">
        <f>E6+G6+I6+K6+M6+O6</f>
        <v>0</v>
      </c>
    </row>
    <row r="7" spans="2:18" x14ac:dyDescent="0.2">
      <c r="B7" s="358"/>
      <c r="C7" s="353" t="s">
        <v>53</v>
      </c>
      <c r="D7" s="526">
        <f>'Breast cancer'!AU25</f>
        <v>0</v>
      </c>
      <c r="E7" s="526">
        <f>'Breast cancer'!AU33</f>
        <v>0</v>
      </c>
      <c r="F7" s="526">
        <f>'Colon cancer'!AU25</f>
        <v>0</v>
      </c>
      <c r="G7" s="526">
        <f>'Colon cancer'!AU33</f>
        <v>0</v>
      </c>
      <c r="H7" s="526">
        <f>CVD!AU25</f>
        <v>0</v>
      </c>
      <c r="I7" s="526">
        <f>CVD!AU33</f>
        <v>0</v>
      </c>
      <c r="J7" s="526">
        <f>Depression!AU25</f>
        <v>0</v>
      </c>
      <c r="K7" s="526">
        <f>Depression!AU33</f>
        <v>0</v>
      </c>
      <c r="L7" s="526">
        <f>Dementia!AU25</f>
        <v>0</v>
      </c>
      <c r="M7" s="526">
        <f>Dementia!AU33</f>
        <v>0</v>
      </c>
      <c r="N7" s="526">
        <f>Diabetes!AU25</f>
        <v>0</v>
      </c>
      <c r="O7" s="527">
        <f>Diabetes!AU33</f>
        <v>0</v>
      </c>
      <c r="P7" s="47">
        <f t="shared" ref="P7:P49" si="0">D7+F7+H7+J7+L7+N7</f>
        <v>0</v>
      </c>
      <c r="Q7" s="47">
        <f t="shared" ref="Q7:Q49" si="1">E7+G7+I7+K7+M7+O7</f>
        <v>0</v>
      </c>
    </row>
    <row r="8" spans="2:18" x14ac:dyDescent="0.2">
      <c r="B8" s="358"/>
      <c r="C8" s="353" t="s">
        <v>30</v>
      </c>
      <c r="D8" s="526">
        <f>'Breast cancer'!AU26</f>
        <v>0</v>
      </c>
      <c r="E8" s="526">
        <f>'Breast cancer'!AU34</f>
        <v>0</v>
      </c>
      <c r="F8" s="526">
        <f>'Colon cancer'!AU26</f>
        <v>-5.9933312887394674E-4</v>
      </c>
      <c r="G8" s="526">
        <f>'Colon cancer'!AU34</f>
        <v>0</v>
      </c>
      <c r="H8" s="526">
        <f>CVD!AU26</f>
        <v>0</v>
      </c>
      <c r="I8" s="526">
        <f>CVD!AU34</f>
        <v>0</v>
      </c>
      <c r="J8" s="526">
        <f>Depression!AU26</f>
        <v>0</v>
      </c>
      <c r="K8" s="526">
        <f>Depression!AU34</f>
        <v>0</v>
      </c>
      <c r="L8" s="526">
        <f>Dementia!AU26</f>
        <v>0</v>
      </c>
      <c r="M8" s="526">
        <f>Dementia!AU34</f>
        <v>0</v>
      </c>
      <c r="N8" s="526">
        <f>Diabetes!AU26</f>
        <v>0</v>
      </c>
      <c r="O8" s="527">
        <f>Diabetes!AU34</f>
        <v>0</v>
      </c>
      <c r="P8" s="47">
        <f t="shared" si="0"/>
        <v>-5.9933312887394674E-4</v>
      </c>
      <c r="Q8" s="47">
        <f t="shared" si="1"/>
        <v>0</v>
      </c>
    </row>
    <row r="9" spans="2:18" x14ac:dyDescent="0.2">
      <c r="B9" s="358"/>
      <c r="C9" s="353" t="s">
        <v>31</v>
      </c>
      <c r="D9" s="526">
        <f>'Breast cancer'!AU27</f>
        <v>0</v>
      </c>
      <c r="E9" s="526">
        <f>'Breast cancer'!AU35</f>
        <v>-1.5561849872858247E-3</v>
      </c>
      <c r="F9" s="526">
        <f>'Colon cancer'!AU27</f>
        <v>0</v>
      </c>
      <c r="G9" s="526">
        <f>'Colon cancer'!AU35</f>
        <v>-1.0498223579582522E-3</v>
      </c>
      <c r="H9" s="526">
        <f>CVD!AU27</f>
        <v>-8.1619039120361947E-3</v>
      </c>
      <c r="I9" s="526">
        <f>CVD!AU35</f>
        <v>-3.6445697862008686E-3</v>
      </c>
      <c r="J9" s="526">
        <f>Depression!AU27</f>
        <v>0</v>
      </c>
      <c r="K9" s="526">
        <f>Depression!AU35</f>
        <v>0</v>
      </c>
      <c r="L9" s="526">
        <f>Dementia!AU27</f>
        <v>0</v>
      </c>
      <c r="M9" s="526">
        <f>Dementia!AU35</f>
        <v>0</v>
      </c>
      <c r="N9" s="526">
        <f>Diabetes!AU27</f>
        <v>-3.0214688082579322E-3</v>
      </c>
      <c r="O9" s="527">
        <f>Diabetes!AU35</f>
        <v>-7.4948529202298886E-3</v>
      </c>
      <c r="P9" s="47">
        <f t="shared" si="0"/>
        <v>-1.1183372720294127E-2</v>
      </c>
      <c r="Q9" s="47">
        <f t="shared" si="1"/>
        <v>-1.3745430051674834E-2</v>
      </c>
    </row>
    <row r="10" spans="2:18" x14ac:dyDescent="0.2">
      <c r="B10" s="358"/>
      <c r="C10" s="353" t="s">
        <v>32</v>
      </c>
      <c r="D10" s="526">
        <f>'Breast cancer'!AU28</f>
        <v>0</v>
      </c>
      <c r="E10" s="526">
        <f>'Breast cancer'!AU36</f>
        <v>-6.7272093614718642E-3</v>
      </c>
      <c r="F10" s="526">
        <f>'Colon cancer'!AU28</f>
        <v>-8.1209873402379174E-3</v>
      </c>
      <c r="G10" s="526">
        <f>'Colon cancer'!AU36</f>
        <v>-2.9174603030917012E-3</v>
      </c>
      <c r="H10" s="526">
        <f>CVD!AU28</f>
        <v>-5.3960578642460177E-2</v>
      </c>
      <c r="I10" s="526">
        <f>CVD!AU36</f>
        <v>-1.1256360468664184E-2</v>
      </c>
      <c r="J10" s="526">
        <f>Depression!AU28</f>
        <v>0</v>
      </c>
      <c r="K10" s="526">
        <f>Depression!AU36</f>
        <v>0</v>
      </c>
      <c r="L10" s="526">
        <f>Dementia!AU28</f>
        <v>0</v>
      </c>
      <c r="M10" s="526">
        <f>Dementia!AU36</f>
        <v>0</v>
      </c>
      <c r="N10" s="526">
        <f>Diabetes!AU28</f>
        <v>-9.8369873196606505E-3</v>
      </c>
      <c r="O10" s="527">
        <f>Diabetes!AU36</f>
        <v>-2.4076395526378747E-2</v>
      </c>
      <c r="P10" s="47">
        <f t="shared" si="0"/>
        <v>-7.1918553302358745E-2</v>
      </c>
      <c r="Q10" s="47">
        <f t="shared" si="1"/>
        <v>-4.4977425659606496E-2</v>
      </c>
    </row>
    <row r="11" spans="2:18" x14ac:dyDescent="0.2">
      <c r="B11" s="358"/>
      <c r="C11" s="353" t="s">
        <v>33</v>
      </c>
      <c r="D11" s="526">
        <f>'Breast cancer'!AU29</f>
        <v>0</v>
      </c>
      <c r="E11" s="526">
        <f>'Breast cancer'!AU37</f>
        <v>-9.0556037985898286E-3</v>
      </c>
      <c r="F11" s="526">
        <f>'Colon cancer'!AU29</f>
        <v>-6.1110592678481623E-3</v>
      </c>
      <c r="G11" s="526">
        <f>'Colon cancer'!AU37</f>
        <v>-3.0545143142788334E-3</v>
      </c>
      <c r="H11" s="526">
        <f>CVD!AU29</f>
        <v>-8.6321159328548447E-2</v>
      </c>
      <c r="I11" s="526">
        <f>CVD!AU37</f>
        <v>-4.3596205250366893E-2</v>
      </c>
      <c r="J11" s="526">
        <f>Depression!AU29</f>
        <v>0</v>
      </c>
      <c r="K11" s="526">
        <f>Depression!AU37</f>
        <v>0</v>
      </c>
      <c r="L11" s="526">
        <f>Dementia!AU29</f>
        <v>-3.2394007165619243E-3</v>
      </c>
      <c r="M11" s="526">
        <f>Dementia!AU37</f>
        <v>-5.4167592751257487E-3</v>
      </c>
      <c r="N11" s="526">
        <f>Diabetes!AU29</f>
        <v>-1.5216704467579945E-2</v>
      </c>
      <c r="O11" s="527">
        <f>Diabetes!AU37</f>
        <v>-4.2161883111191401E-2</v>
      </c>
      <c r="P11" s="47">
        <f t="shared" si="0"/>
        <v>-0.11088832378053848</v>
      </c>
      <c r="Q11" s="47">
        <f t="shared" si="1"/>
        <v>-0.1032849657495527</v>
      </c>
    </row>
    <row r="12" spans="2:18" x14ac:dyDescent="0.2">
      <c r="B12" s="358"/>
      <c r="C12" s="353" t="s">
        <v>34</v>
      </c>
      <c r="D12" s="526">
        <f>'Breast cancer'!AU30</f>
        <v>0</v>
      </c>
      <c r="E12" s="526">
        <f>'Breast cancer'!AU38</f>
        <v>-4.1360944171735525E-3</v>
      </c>
      <c r="F12" s="526">
        <f>'Colon cancer'!AU30</f>
        <v>-1.4554244006752981E-2</v>
      </c>
      <c r="G12" s="526">
        <f>'Colon cancer'!AU38</f>
        <v>-3.424394017583765E-3</v>
      </c>
      <c r="H12" s="526">
        <f>CVD!AU30</f>
        <v>-0.12855072543271717</v>
      </c>
      <c r="I12" s="526">
        <f>CVD!AU38</f>
        <v>-6.2484382542720596E-2</v>
      </c>
      <c r="J12" s="526">
        <f>Depression!AU30</f>
        <v>0</v>
      </c>
      <c r="K12" s="526">
        <f>Depression!AU38</f>
        <v>0</v>
      </c>
      <c r="L12" s="526">
        <f>Dementia!AU30</f>
        <v>-3.0306384332988046E-2</v>
      </c>
      <c r="M12" s="526">
        <f>Dementia!AU38</f>
        <v>-2.0230938375711105E-2</v>
      </c>
      <c r="N12" s="526">
        <f>Diabetes!AU30</f>
        <v>-3.3892137986946125E-2</v>
      </c>
      <c r="O12" s="527">
        <f>Diabetes!AU38</f>
        <v>-3.4739300883835256E-2</v>
      </c>
      <c r="P12" s="47">
        <f t="shared" si="0"/>
        <v>-0.20730349175940432</v>
      </c>
      <c r="Q12" s="47">
        <f t="shared" si="1"/>
        <v>-0.12501511023702427</v>
      </c>
    </row>
    <row r="13" spans="2:18" x14ac:dyDescent="0.2">
      <c r="B13" s="359"/>
      <c r="C13" s="75" t="s">
        <v>35</v>
      </c>
      <c r="D13" s="528">
        <f>'Breast cancer'!AU31</f>
        <v>0</v>
      </c>
      <c r="E13" s="528">
        <f>'Breast cancer'!AU39</f>
        <v>-1.1697469675866046E-2</v>
      </c>
      <c r="F13" s="528">
        <f>'Colon cancer'!AU31</f>
        <v>-1.0705255070726949E-2</v>
      </c>
      <c r="G13" s="528">
        <f>'Colon cancer'!AU39</f>
        <v>-6.8289249890778336E-3</v>
      </c>
      <c r="H13" s="528">
        <f>CVD!AU31</f>
        <v>-0.25866367344647756</v>
      </c>
      <c r="I13" s="528">
        <f>CVD!AU39</f>
        <v>-0.30213981929159672</v>
      </c>
      <c r="J13" s="528">
        <f>Depression!AU31</f>
        <v>0</v>
      </c>
      <c r="K13" s="528">
        <f>Depression!AU39</f>
        <v>-9.1052333187668921E-4</v>
      </c>
      <c r="L13" s="528">
        <f>Dementia!AU31</f>
        <v>-0.2251833595281596</v>
      </c>
      <c r="M13" s="528">
        <f>Dementia!AU39</f>
        <v>-0.10648705288154758</v>
      </c>
      <c r="N13" s="528">
        <f>Diabetes!AU31</f>
        <v>-6.1454758648281427E-2</v>
      </c>
      <c r="O13" s="529">
        <f>Diabetes!AU39</f>
        <v>-3.6357835335632416E-2</v>
      </c>
      <c r="P13" s="357">
        <f t="shared" si="0"/>
        <v>-0.55600704669364553</v>
      </c>
      <c r="Q13" s="357">
        <f t="shared" si="1"/>
        <v>-0.46442162550559729</v>
      </c>
      <c r="R13" s="57"/>
    </row>
    <row r="14" spans="2:18" x14ac:dyDescent="0.2">
      <c r="B14" s="361"/>
      <c r="C14" s="81" t="s">
        <v>41</v>
      </c>
      <c r="D14" s="362">
        <f t="shared" ref="D14:O14" si="2">SUM(D6:D13)</f>
        <v>0</v>
      </c>
      <c r="E14" s="362">
        <f t="shared" si="2"/>
        <v>-3.3172562240387116E-2</v>
      </c>
      <c r="F14" s="362">
        <f t="shared" si="2"/>
        <v>-4.0090878814439956E-2</v>
      </c>
      <c r="G14" s="362">
        <f t="shared" si="2"/>
        <v>-1.7275115981990385E-2</v>
      </c>
      <c r="H14" s="362">
        <f t="shared" si="2"/>
        <v>-0.53565804076223955</v>
      </c>
      <c r="I14" s="362">
        <f t="shared" si="2"/>
        <v>-0.42312133733954926</v>
      </c>
      <c r="J14" s="362">
        <f t="shared" si="2"/>
        <v>0</v>
      </c>
      <c r="K14" s="362">
        <f t="shared" si="2"/>
        <v>-9.1052333187668921E-4</v>
      </c>
      <c r="L14" s="362">
        <f t="shared" si="2"/>
        <v>-0.25872914457770957</v>
      </c>
      <c r="M14" s="362">
        <f t="shared" si="2"/>
        <v>-0.13213475053238444</v>
      </c>
      <c r="N14" s="362">
        <f t="shared" si="2"/>
        <v>-0.12342205723072608</v>
      </c>
      <c r="O14" s="363">
        <f t="shared" si="2"/>
        <v>-0.14483026777726771</v>
      </c>
      <c r="P14" s="364">
        <f t="shared" si="0"/>
        <v>-0.95790012138511516</v>
      </c>
      <c r="Q14" s="364">
        <f t="shared" si="1"/>
        <v>-0.7514445572034556</v>
      </c>
      <c r="R14" s="530">
        <f>P14+Q14</f>
        <v>-1.7093446785885709</v>
      </c>
    </row>
    <row r="15" spans="2:18" hidden="1" x14ac:dyDescent="0.2">
      <c r="B15" s="358"/>
      <c r="C15" s="353"/>
      <c r="D15" s="531">
        <f>D14+E14</f>
        <v>-3.3172562240387116E-2</v>
      </c>
      <c r="E15" s="531">
        <f>F14+G14</f>
        <v>-5.7365994796430342E-2</v>
      </c>
      <c r="F15" s="531">
        <f>H14+I14</f>
        <v>-0.95877937810178882</v>
      </c>
      <c r="G15" s="531">
        <f>J14+K14</f>
        <v>-9.1052333187668921E-4</v>
      </c>
      <c r="H15" s="531">
        <f>L14+M14</f>
        <v>-0.39086389511009401</v>
      </c>
      <c r="I15" s="531">
        <f>N14+O14</f>
        <v>-0.26825232500799379</v>
      </c>
      <c r="J15" s="531"/>
      <c r="K15" s="531"/>
      <c r="L15" s="531"/>
      <c r="M15" s="531"/>
      <c r="N15" s="531"/>
      <c r="O15" s="532"/>
      <c r="P15" s="533"/>
      <c r="R15" s="449"/>
    </row>
    <row r="16" spans="2:18" ht="25.5" x14ac:dyDescent="0.2">
      <c r="B16" s="358"/>
      <c r="C16" s="572" t="s">
        <v>290</v>
      </c>
      <c r="D16" s="573"/>
      <c r="E16" s="574">
        <f>(D14+E14)/GBDUS!$K$23</f>
        <v>-4.1990585114414072E-4</v>
      </c>
      <c r="F16" s="574"/>
      <c r="G16" s="574">
        <f>(F14+G14)/GBDUS!$K$40</f>
        <v>-5.1681076393180489E-4</v>
      </c>
      <c r="H16" s="574"/>
      <c r="I16" s="574">
        <f>(H14+I14)/GBDUS!$K$56</f>
        <v>-3.3406946972187762E-3</v>
      </c>
      <c r="J16" s="574"/>
      <c r="K16" s="574">
        <f>(J14+K14)/GBDUS!$K$108</f>
        <v>-4.5526166593834461E-4</v>
      </c>
      <c r="L16" s="574"/>
      <c r="M16" s="574">
        <f>(L14+M14)/GBDUS!$K$74</f>
        <v>-9.6509603730887412E-4</v>
      </c>
      <c r="N16" s="574"/>
      <c r="O16" s="575">
        <f>(N14+O14)/GBDUS!$K$91</f>
        <v>-1.2083438063423143E-3</v>
      </c>
      <c r="P16" s="576"/>
      <c r="Q16" s="552"/>
      <c r="R16" s="568">
        <f>(P14+Q14)/GBDUS!B114</f>
        <v>-9.5547494610875958E-4</v>
      </c>
    </row>
    <row r="17" spans="2:18" x14ac:dyDescent="0.2">
      <c r="B17" s="358"/>
      <c r="C17" s="353"/>
      <c r="D17" s="531"/>
      <c r="O17" s="358"/>
      <c r="P17" s="533"/>
      <c r="Q17" s="534"/>
      <c r="R17" s="567"/>
    </row>
    <row r="18" spans="2:18" x14ac:dyDescent="0.2">
      <c r="B18" s="359" t="s">
        <v>181</v>
      </c>
      <c r="C18" s="75"/>
      <c r="D18" s="355"/>
      <c r="E18" s="355"/>
      <c r="F18" s="355"/>
      <c r="G18" s="355"/>
      <c r="H18" s="355"/>
      <c r="I18" s="355"/>
      <c r="J18" s="355"/>
      <c r="K18" s="355"/>
      <c r="L18" s="355"/>
      <c r="M18" s="355"/>
      <c r="N18" s="355"/>
      <c r="O18" s="360"/>
      <c r="P18" s="357"/>
      <c r="Q18" s="357"/>
      <c r="R18" s="535"/>
    </row>
    <row r="19" spans="2:18" x14ac:dyDescent="0.2">
      <c r="B19" s="358"/>
      <c r="C19" s="353" t="s">
        <v>6</v>
      </c>
      <c r="D19" s="526">
        <f>'Breast cancer'!AV24</f>
        <v>0</v>
      </c>
      <c r="E19" s="526">
        <f>'Breast cancer'!AV32</f>
        <v>0</v>
      </c>
      <c r="F19" s="526">
        <f>'Colon cancer'!AV24</f>
        <v>0</v>
      </c>
      <c r="G19" s="526">
        <f>'Colon cancer'!AV32</f>
        <v>0</v>
      </c>
      <c r="H19" s="526">
        <f>CVD!AV24</f>
        <v>-6.747026203669293E-2</v>
      </c>
      <c r="I19" s="526">
        <f>CVD!AV32</f>
        <v>-8.3262919952140635E-2</v>
      </c>
      <c r="J19" s="526">
        <f>Depression!AV24</f>
        <v>0</v>
      </c>
      <c r="K19" s="526">
        <f>Depression!AV32</f>
        <v>0</v>
      </c>
      <c r="L19" s="526">
        <f>Dementia!AV24</f>
        <v>0</v>
      </c>
      <c r="M19" s="526">
        <f>Dementia!AV32</f>
        <v>0</v>
      </c>
      <c r="N19" s="526">
        <f>Diabetes!AV24</f>
        <v>-1.4772289314615605E-2</v>
      </c>
      <c r="O19" s="527">
        <f>Diabetes!AV32</f>
        <v>-2.0924828245098226E-2</v>
      </c>
      <c r="P19" s="47">
        <f t="shared" si="0"/>
        <v>-8.2242551351308535E-2</v>
      </c>
      <c r="Q19" s="47">
        <f t="shared" si="1"/>
        <v>-0.10418774819723886</v>
      </c>
      <c r="R19" s="449"/>
    </row>
    <row r="20" spans="2:18" x14ac:dyDescent="0.2">
      <c r="B20" s="358"/>
      <c r="C20" s="353" t="s">
        <v>53</v>
      </c>
      <c r="D20" s="526">
        <f>'Breast cancer'!AV25</f>
        <v>0</v>
      </c>
      <c r="E20" s="526">
        <f>'Breast cancer'!AV33</f>
        <v>0</v>
      </c>
      <c r="F20" s="526">
        <f>'Colon cancer'!AV25</f>
        <v>0</v>
      </c>
      <c r="G20" s="526">
        <f>'Colon cancer'!AV33</f>
        <v>0</v>
      </c>
      <c r="H20" s="526">
        <f>CVD!AV25</f>
        <v>-4.2753025354635099E-2</v>
      </c>
      <c r="I20" s="526">
        <f>CVD!AV33</f>
        <v>-2.0483755953119243E-2</v>
      </c>
      <c r="J20" s="526">
        <f>Depression!AV25</f>
        <v>0</v>
      </c>
      <c r="K20" s="526">
        <f>Depression!AV33</f>
        <v>0</v>
      </c>
      <c r="L20" s="526">
        <f>Dementia!AV25</f>
        <v>-1.7124335441968341E-2</v>
      </c>
      <c r="M20" s="526">
        <f>Dementia!AV33</f>
        <v>-9.3018205684627375E-3</v>
      </c>
      <c r="N20" s="526">
        <f>Diabetes!AV25</f>
        <v>-1.55797503774604E-2</v>
      </c>
      <c r="O20" s="527">
        <f>Diabetes!AV33</f>
        <v>-1.1473306463875232E-2</v>
      </c>
      <c r="P20" s="47">
        <f t="shared" si="0"/>
        <v>-7.545711117406384E-2</v>
      </c>
      <c r="Q20" s="47">
        <f t="shared" si="1"/>
        <v>-4.1258882985457213E-2</v>
      </c>
      <c r="R20" s="449"/>
    </row>
    <row r="21" spans="2:18" x14ac:dyDescent="0.2">
      <c r="B21" s="358"/>
      <c r="C21" s="353" t="s">
        <v>30</v>
      </c>
      <c r="D21" s="526">
        <f>'Breast cancer'!AV26</f>
        <v>0</v>
      </c>
      <c r="E21" s="526">
        <f>'Breast cancer'!AV34</f>
        <v>-1.2105108914735041E-2</v>
      </c>
      <c r="F21" s="526">
        <f>'Colon cancer'!AV26</f>
        <v>-3.665159519010075E-2</v>
      </c>
      <c r="G21" s="526">
        <f>'Colon cancer'!AV34</f>
        <v>-8.9435872066658817E-3</v>
      </c>
      <c r="H21" s="526">
        <f>CVD!AV26</f>
        <v>-0.12289165268080637</v>
      </c>
      <c r="I21" s="526">
        <f>CVD!AV34</f>
        <v>-7.5592474100353968E-2</v>
      </c>
      <c r="J21" s="526">
        <f>Depression!AV26</f>
        <v>0</v>
      </c>
      <c r="K21" s="526">
        <f>Depression!AV34</f>
        <v>0</v>
      </c>
      <c r="L21" s="526">
        <f>Dementia!AV26</f>
        <v>-3.7082479892411868E-3</v>
      </c>
      <c r="M21" s="526">
        <f>Dementia!AV34</f>
        <v>-3.9529428780014086E-3</v>
      </c>
      <c r="N21" s="526">
        <f>Diabetes!AV26</f>
        <v>-5.9300734327976556E-2</v>
      </c>
      <c r="O21" s="527">
        <f>Diabetes!AV34</f>
        <v>-6.820269772259735E-2</v>
      </c>
      <c r="P21" s="47">
        <f t="shared" si="0"/>
        <v>-0.22255223018812487</v>
      </c>
      <c r="Q21" s="47">
        <f t="shared" si="1"/>
        <v>-0.16879681082235365</v>
      </c>
      <c r="R21" s="449"/>
    </row>
    <row r="22" spans="2:18" x14ac:dyDescent="0.2">
      <c r="B22" s="358"/>
      <c r="C22" s="353" t="s">
        <v>31</v>
      </c>
      <c r="D22" s="526">
        <f>'Breast cancer'!AV27</f>
        <v>0</v>
      </c>
      <c r="E22" s="526">
        <f>'Breast cancer'!AV35</f>
        <v>-7.2633423722777479E-2</v>
      </c>
      <c r="F22" s="526">
        <f>'Colon cancer'!AV27</f>
        <v>-5.5181969801409991E-2</v>
      </c>
      <c r="G22" s="526">
        <f>'Colon cancer'!AV35</f>
        <v>-4.9109137315170415E-2</v>
      </c>
      <c r="H22" s="526">
        <f>CVD!AV27</f>
        <v>-0.37938792189208925</v>
      </c>
      <c r="I22" s="526">
        <f>CVD!AV35</f>
        <v>-0.16955451343940808</v>
      </c>
      <c r="J22" s="526">
        <f>Depression!AV27</f>
        <v>0</v>
      </c>
      <c r="K22" s="526">
        <f>Depression!AV35</f>
        <v>0</v>
      </c>
      <c r="L22" s="526">
        <f>Dementia!AV27</f>
        <v>-4.0826030929208557E-3</v>
      </c>
      <c r="M22" s="526">
        <f>Dementia!AV35</f>
        <v>-4.967627855894996E-3</v>
      </c>
      <c r="N22" s="526">
        <f>Diabetes!AV27</f>
        <v>-0.1427231118470047</v>
      </c>
      <c r="O22" s="527">
        <f>Diabetes!AV35</f>
        <v>-0.35475124581020623</v>
      </c>
      <c r="P22" s="47">
        <f t="shared" si="0"/>
        <v>-0.5813756066334248</v>
      </c>
      <c r="Q22" s="47">
        <f t="shared" si="1"/>
        <v>-0.6510159481434572</v>
      </c>
      <c r="R22" s="449"/>
    </row>
    <row r="23" spans="2:18" x14ac:dyDescent="0.2">
      <c r="B23" s="358"/>
      <c r="C23" s="353" t="s">
        <v>32</v>
      </c>
      <c r="D23" s="526">
        <f>'Breast cancer'!AV28</f>
        <v>0</v>
      </c>
      <c r="E23" s="526">
        <f>'Breast cancer'!AV36</f>
        <v>-0.2276087490467944</v>
      </c>
      <c r="F23" s="526">
        <f>'Colon cancer'!AV28</f>
        <v>-0.27032728956248775</v>
      </c>
      <c r="G23" s="526">
        <f>'Colon cancer'!AV36</f>
        <v>-9.7408253508490361E-2</v>
      </c>
      <c r="H23" s="526">
        <f>CVD!AV28</f>
        <v>-1.8043267243710943</v>
      </c>
      <c r="I23" s="526">
        <f>CVD!AV36</f>
        <v>-0.37425257829283964</v>
      </c>
      <c r="J23" s="526">
        <f>Depression!AV28</f>
        <v>0</v>
      </c>
      <c r="K23" s="526">
        <f>Depression!AV36</f>
        <v>0</v>
      </c>
      <c r="L23" s="526">
        <f>Dementia!AV28</f>
        <v>-2.3679401007932199E-2</v>
      </c>
      <c r="M23" s="526">
        <f>Dementia!AV36</f>
        <v>-2.7544648550815509E-2</v>
      </c>
      <c r="N23" s="526">
        <f>Diabetes!AV28</f>
        <v>-0.3286267515416057</v>
      </c>
      <c r="O23" s="527">
        <f>Diabetes!AV36</f>
        <v>-0.79935355157306276</v>
      </c>
      <c r="P23" s="47">
        <f t="shared" si="0"/>
        <v>-2.42696016648312</v>
      </c>
      <c r="Q23" s="47">
        <f t="shared" si="1"/>
        <v>-1.5261677809720027</v>
      </c>
      <c r="R23" s="449"/>
    </row>
    <row r="24" spans="2:18" x14ac:dyDescent="0.2">
      <c r="B24" s="358"/>
      <c r="C24" s="353" t="s">
        <v>33</v>
      </c>
      <c r="D24" s="526">
        <f>'Breast cancer'!AV29</f>
        <v>0</v>
      </c>
      <c r="E24" s="526">
        <f>'Breast cancer'!AV37</f>
        <v>-0.21144392793706857</v>
      </c>
      <c r="F24" s="526">
        <f>'Colon cancer'!AV29</f>
        <v>-0.14148518400605781</v>
      </c>
      <c r="G24" s="526">
        <f>'Colon cancer'!AV37</f>
        <v>-7.0540368605350068E-2</v>
      </c>
      <c r="H24" s="526">
        <f>CVD!AV29</f>
        <v>-2.0010071992742269</v>
      </c>
      <c r="I24" s="526">
        <f>CVD!AV37</f>
        <v>-1.0014047615308073</v>
      </c>
      <c r="J24" s="526">
        <f>Depression!AV29</f>
        <v>0</v>
      </c>
      <c r="K24" s="526">
        <f>Depression!AV37</f>
        <v>0</v>
      </c>
      <c r="L24" s="526">
        <f>Dementia!AV29</f>
        <v>-7.3090104979968373E-2</v>
      </c>
      <c r="M24" s="526">
        <f>Dementia!AV37</f>
        <v>-0.1219081423783166</v>
      </c>
      <c r="N24" s="526">
        <f>Diabetes!AV29</f>
        <v>-0.35264486962194042</v>
      </c>
      <c r="O24" s="527">
        <f>Diabetes!AV37</f>
        <v>-0.97132097184089616</v>
      </c>
      <c r="P24" s="47">
        <f t="shared" si="0"/>
        <v>-2.5682273578821935</v>
      </c>
      <c r="Q24" s="47">
        <f t="shared" si="1"/>
        <v>-2.3766181722924387</v>
      </c>
      <c r="R24" s="449"/>
    </row>
    <row r="25" spans="2:18" x14ac:dyDescent="0.2">
      <c r="B25" s="358"/>
      <c r="C25" s="353" t="s">
        <v>34</v>
      </c>
      <c r="D25" s="526">
        <f>'Breast cancer'!AV30</f>
        <v>0</v>
      </c>
      <c r="E25" s="526">
        <f>'Breast cancer'!AV38</f>
        <v>-6.1100497467634796E-2</v>
      </c>
      <c r="F25" s="526">
        <f>'Colon cancer'!AV30</f>
        <v>-0.21504157349465913</v>
      </c>
      <c r="G25" s="526">
        <f>'Colon cancer'!AV38</f>
        <v>-4.9999502964539033E-2</v>
      </c>
      <c r="H25" s="526">
        <f>CVD!AV30</f>
        <v>-1.8779599714414417</v>
      </c>
      <c r="I25" s="526">
        <f>CVD!AV38</f>
        <v>-0.89856723041089026</v>
      </c>
      <c r="J25" s="526">
        <f>Depression!AV30</f>
        <v>0</v>
      </c>
      <c r="K25" s="526">
        <f>Depression!AV38</f>
        <v>0</v>
      </c>
      <c r="L25" s="526">
        <f>Dementia!AV30</f>
        <v>-0.42853101311413866</v>
      </c>
      <c r="M25" s="526">
        <f>Dementia!AV38</f>
        <v>-0.2826546016138991</v>
      </c>
      <c r="N25" s="526">
        <f>Diabetes!AV30</f>
        <v>-0.49972222420757362</v>
      </c>
      <c r="O25" s="527">
        <f>Diabetes!AV38</f>
        <v>-0.5063932082731526</v>
      </c>
      <c r="P25" s="47">
        <f t="shared" si="0"/>
        <v>-3.0212547822578131</v>
      </c>
      <c r="Q25" s="47">
        <f t="shared" si="1"/>
        <v>-1.7987150407301158</v>
      </c>
      <c r="R25" s="449"/>
    </row>
    <row r="26" spans="2:18" x14ac:dyDescent="0.2">
      <c r="B26" s="359"/>
      <c r="C26" s="75" t="s">
        <v>35</v>
      </c>
      <c r="D26" s="528">
        <f>'Breast cancer'!AV31</f>
        <v>0</v>
      </c>
      <c r="E26" s="528">
        <f>'Breast cancer'!AV39</f>
        <v>-6.4050504459856938E-2</v>
      </c>
      <c r="F26" s="528">
        <f>'Colon cancer'!AV31</f>
        <v>-6.8140794702173935E-2</v>
      </c>
      <c r="G26" s="528">
        <f>'Colon cancer'!AV39</f>
        <v>-3.7392507083637838E-2</v>
      </c>
      <c r="H26" s="528">
        <f>CVD!AV31</f>
        <v>-1.6464446557147312</v>
      </c>
      <c r="I26" s="528">
        <f>CVD!AV39</f>
        <v>-1.6544016806706168</v>
      </c>
      <c r="J26" s="528">
        <f>Depression!AV31</f>
        <v>0</v>
      </c>
      <c r="K26" s="528">
        <f>Depression!AV39</f>
        <v>0</v>
      </c>
      <c r="L26" s="528">
        <f>Dementia!AV31</f>
        <v>-1.4333311782913825</v>
      </c>
      <c r="M26" s="528">
        <f>Dementia!AV39</f>
        <v>-0.58308028886688135</v>
      </c>
      <c r="N26" s="528">
        <f>Diabetes!AV31</f>
        <v>-0.39117005070119149</v>
      </c>
      <c r="O26" s="529">
        <f>Diabetes!AV39</f>
        <v>-0.19908055394643043</v>
      </c>
      <c r="P26" s="357">
        <f t="shared" si="0"/>
        <v>-3.5390866794094791</v>
      </c>
      <c r="Q26" s="357">
        <f t="shared" si="1"/>
        <v>-2.5380055350274233</v>
      </c>
      <c r="R26" s="535"/>
    </row>
    <row r="27" spans="2:18" x14ac:dyDescent="0.2">
      <c r="B27" s="361"/>
      <c r="C27" s="81" t="s">
        <v>41</v>
      </c>
      <c r="D27" s="362">
        <f>SUM(D19:D26)</f>
        <v>0</v>
      </c>
      <c r="E27" s="362">
        <f t="shared" ref="E27:O27" si="3">SUM(E19:E26)</f>
        <v>-0.64894221154886722</v>
      </c>
      <c r="F27" s="362">
        <f t="shared" si="3"/>
        <v>-0.78682840675688936</v>
      </c>
      <c r="G27" s="362">
        <f t="shared" si="3"/>
        <v>-0.3133933566838536</v>
      </c>
      <c r="H27" s="362">
        <f t="shared" si="3"/>
        <v>-7.9422414127657177</v>
      </c>
      <c r="I27" s="362">
        <f t="shared" si="3"/>
        <v>-4.2775199143501759</v>
      </c>
      <c r="J27" s="362">
        <f t="shared" si="3"/>
        <v>0</v>
      </c>
      <c r="K27" s="362">
        <f t="shared" si="3"/>
        <v>0</v>
      </c>
      <c r="L27" s="362">
        <f t="shared" si="3"/>
        <v>-1.9835468839175521</v>
      </c>
      <c r="M27" s="362">
        <f t="shared" si="3"/>
        <v>-1.0334100727122717</v>
      </c>
      <c r="N27" s="362">
        <f t="shared" si="3"/>
        <v>-1.8045397819393685</v>
      </c>
      <c r="O27" s="363">
        <f t="shared" si="3"/>
        <v>-2.931500363875319</v>
      </c>
      <c r="P27" s="364">
        <f t="shared" si="0"/>
        <v>-12.517156485379527</v>
      </c>
      <c r="Q27" s="364">
        <f t="shared" si="1"/>
        <v>-9.2047659191704874</v>
      </c>
      <c r="R27" s="535">
        <f>P27+Q27</f>
        <v>-21.721922404550014</v>
      </c>
    </row>
    <row r="28" spans="2:18" x14ac:dyDescent="0.2">
      <c r="B28" s="358"/>
      <c r="C28" s="353"/>
      <c r="D28" s="50"/>
      <c r="E28" s="50"/>
      <c r="F28" s="50"/>
      <c r="G28" s="50"/>
      <c r="H28" s="50"/>
      <c r="I28" s="50"/>
      <c r="J28" s="50"/>
      <c r="K28" s="50"/>
      <c r="L28" s="50"/>
      <c r="M28" s="50"/>
      <c r="N28" s="50"/>
      <c r="O28" s="354"/>
      <c r="P28" s="47"/>
      <c r="R28" s="449"/>
    </row>
    <row r="29" spans="2:18" x14ac:dyDescent="0.2">
      <c r="B29" s="359" t="s">
        <v>182</v>
      </c>
      <c r="C29" s="75"/>
      <c r="D29" s="355"/>
      <c r="E29" s="355"/>
      <c r="F29" s="355"/>
      <c r="G29" s="355"/>
      <c r="H29" s="355"/>
      <c r="I29" s="355"/>
      <c r="J29" s="355"/>
      <c r="K29" s="355"/>
      <c r="L29" s="355"/>
      <c r="M29" s="355"/>
      <c r="N29" s="355"/>
      <c r="O29" s="360"/>
      <c r="P29" s="357"/>
      <c r="Q29" s="357"/>
      <c r="R29" s="535"/>
    </row>
    <row r="30" spans="2:18" x14ac:dyDescent="0.2">
      <c r="B30" s="358"/>
      <c r="C30" s="353" t="s">
        <v>6</v>
      </c>
      <c r="D30" s="526">
        <f>'Breast cancer'!AW24</f>
        <v>0</v>
      </c>
      <c r="E30" s="526">
        <f>'Breast cancer'!AW32</f>
        <v>0</v>
      </c>
      <c r="F30" s="526">
        <f>'Colon cancer'!AW24</f>
        <v>0</v>
      </c>
      <c r="G30" s="526">
        <f>'Colon cancer'!AW32</f>
        <v>0</v>
      </c>
      <c r="H30" s="526">
        <f>CVD!AW24</f>
        <v>-5.9535928591816778E-4</v>
      </c>
      <c r="I30" s="526">
        <f>CVD!AW32</f>
        <v>-3.6622341228760569E-4</v>
      </c>
      <c r="J30" s="526">
        <f>Depression!AW24</f>
        <v>-3.5013805087752425E-4</v>
      </c>
      <c r="K30" s="526">
        <f>Depression!AW32</f>
        <v>-6.3275560259579144E-4</v>
      </c>
      <c r="L30" s="526">
        <f>Dementia!AW24</f>
        <v>0</v>
      </c>
      <c r="M30" s="526">
        <f>Dementia!AW32</f>
        <v>0</v>
      </c>
      <c r="N30" s="526">
        <f>Diabetes!AW24</f>
        <v>-3.4921523964886347E-2</v>
      </c>
      <c r="O30" s="527">
        <f>Diabetes!AW32</f>
        <v>-4.6306565085895812E-2</v>
      </c>
      <c r="P30" s="47">
        <f t="shared" si="0"/>
        <v>-3.5867021301682039E-2</v>
      </c>
      <c r="Q30" s="47">
        <f t="shared" si="1"/>
        <v>-4.7305544100779209E-2</v>
      </c>
      <c r="R30" s="449"/>
    </row>
    <row r="31" spans="2:18" x14ac:dyDescent="0.2">
      <c r="B31" s="358"/>
      <c r="C31" s="353" t="s">
        <v>53</v>
      </c>
      <c r="D31" s="526">
        <f>'Breast cancer'!AW25</f>
        <v>0</v>
      </c>
      <c r="E31" s="526">
        <f>'Breast cancer'!AW33</f>
        <v>0</v>
      </c>
      <c r="F31" s="526">
        <f>'Colon cancer'!AW25</f>
        <v>0</v>
      </c>
      <c r="G31" s="526">
        <f>'Colon cancer'!AW33</f>
        <v>0</v>
      </c>
      <c r="H31" s="526">
        <f>CVD!AW25</f>
        <v>-3.098612380485477E-3</v>
      </c>
      <c r="I31" s="526">
        <f>CVD!AW33</f>
        <v>-1.1059135334715031E-3</v>
      </c>
      <c r="J31" s="526">
        <f>Depression!AW25</f>
        <v>-0.78530848503191919</v>
      </c>
      <c r="K31" s="526">
        <f>Depression!AW33</f>
        <v>-0.59323329930077762</v>
      </c>
      <c r="L31" s="526">
        <f>Dementia!AW25</f>
        <v>0</v>
      </c>
      <c r="M31" s="526">
        <f>Dementia!AW33</f>
        <v>0</v>
      </c>
      <c r="N31" s="526">
        <f>Diabetes!AW25</f>
        <v>-0.10024281053711448</v>
      </c>
      <c r="O31" s="527">
        <f>Diabetes!AW33</f>
        <v>-6.3963070143465472E-2</v>
      </c>
      <c r="P31" s="47">
        <f t="shared" si="0"/>
        <v>-0.88864990794951915</v>
      </c>
      <c r="Q31" s="47">
        <f t="shared" si="1"/>
        <v>-0.65830228297771454</v>
      </c>
      <c r="R31" s="449"/>
    </row>
    <row r="32" spans="2:18" x14ac:dyDescent="0.2">
      <c r="B32" s="358"/>
      <c r="C32" s="353" t="s">
        <v>30</v>
      </c>
      <c r="D32" s="526">
        <f>'Breast cancer'!AW26</f>
        <v>0</v>
      </c>
      <c r="E32" s="526">
        <f>'Breast cancer'!AW34</f>
        <v>-6.4167817303895092E-4</v>
      </c>
      <c r="F32" s="526">
        <f>'Colon cancer'!AW26</f>
        <v>-8.5292001383940885E-4</v>
      </c>
      <c r="G32" s="526">
        <f>'Colon cancer'!AW34</f>
        <v>-2.5184608348655102E-4</v>
      </c>
      <c r="H32" s="526">
        <f>CVD!AW26</f>
        <v>-2.0276489575955736E-2</v>
      </c>
      <c r="I32" s="526">
        <f>CVD!AW34</f>
        <v>-2.019826532640856E-2</v>
      </c>
      <c r="J32" s="526">
        <f>Depression!AW26</f>
        <v>-0.63500987831139355</v>
      </c>
      <c r="K32" s="526">
        <f>Depression!AW34</f>
        <v>-1.0134044384462868</v>
      </c>
      <c r="L32" s="526">
        <f>Dementia!AW26</f>
        <v>0</v>
      </c>
      <c r="M32" s="526">
        <f>Dementia!AW34</f>
        <v>0</v>
      </c>
      <c r="N32" s="526">
        <f>Diabetes!AW26</f>
        <v>-7.8871144422492989E-2</v>
      </c>
      <c r="O32" s="527">
        <f>Diabetes!AW34</f>
        <v>-0.10834032223472434</v>
      </c>
      <c r="P32" s="47">
        <f t="shared" si="0"/>
        <v>-0.73501043232368168</v>
      </c>
      <c r="Q32" s="47">
        <f t="shared" si="1"/>
        <v>-1.1428365502639453</v>
      </c>
      <c r="R32" s="449"/>
    </row>
    <row r="33" spans="2:18" x14ac:dyDescent="0.2">
      <c r="B33" s="358"/>
      <c r="C33" s="353" t="s">
        <v>31</v>
      </c>
      <c r="D33" s="526">
        <f>'Breast cancer'!AW27</f>
        <v>0</v>
      </c>
      <c r="E33" s="526">
        <f>'Breast cancer'!AW35</f>
        <v>-5.3674145630129289E-3</v>
      </c>
      <c r="F33" s="526">
        <f>'Colon cancer'!AW27</f>
        <v>-1.9034448492534217E-3</v>
      </c>
      <c r="G33" s="526">
        <f>'Colon cancer'!AW35</f>
        <v>-1.8572606881082088E-3</v>
      </c>
      <c r="H33" s="526">
        <f>CVD!AW27</f>
        <v>-3.8657498875338092E-2</v>
      </c>
      <c r="I33" s="526">
        <f>CVD!AW35</f>
        <v>-3.4580195409041892E-2</v>
      </c>
      <c r="J33" s="526">
        <f>Depression!AW27</f>
        <v>-0.49800655303488384</v>
      </c>
      <c r="K33" s="526">
        <f>Depression!AW35</f>
        <v>-0.84026106070041351</v>
      </c>
      <c r="L33" s="526">
        <f>Dementia!AW27</f>
        <v>-6.3008144135123789E-4</v>
      </c>
      <c r="M33" s="526">
        <f>Dementia!AW35</f>
        <v>-1.1331346315601731E-3</v>
      </c>
      <c r="N33" s="526">
        <f>Diabetes!AW27</f>
        <v>-0.16997877747286338</v>
      </c>
      <c r="O33" s="527">
        <f>Diabetes!AW35</f>
        <v>-0.5550716111544034</v>
      </c>
      <c r="P33" s="47">
        <f t="shared" si="0"/>
        <v>-0.70917635567368997</v>
      </c>
      <c r="Q33" s="47">
        <f t="shared" si="1"/>
        <v>-1.4382706771465401</v>
      </c>
      <c r="R33" s="449"/>
    </row>
    <row r="34" spans="2:18" x14ac:dyDescent="0.2">
      <c r="B34" s="358"/>
      <c r="C34" s="353" t="s">
        <v>32</v>
      </c>
      <c r="D34" s="526">
        <f>'Breast cancer'!AW28</f>
        <v>0</v>
      </c>
      <c r="E34" s="526">
        <f>'Breast cancer'!AW36</f>
        <v>-2.6646902539667394E-2</v>
      </c>
      <c r="F34" s="526">
        <f>'Colon cancer'!AW28</f>
        <v>-1.2370974240226928E-2</v>
      </c>
      <c r="G34" s="526">
        <f>'Colon cancer'!AW36</f>
        <v>-4.7303296472662737E-3</v>
      </c>
      <c r="H34" s="526">
        <f>CVD!AW28</f>
        <v>-0.13560474753666085</v>
      </c>
      <c r="I34" s="526">
        <f>CVD!AW36</f>
        <v>-5.992576022049434E-2</v>
      </c>
      <c r="J34" s="526">
        <f>Depression!AW28</f>
        <v>-0.34832866962972275</v>
      </c>
      <c r="K34" s="526">
        <f>Depression!AW36</f>
        <v>-0.50999812455370375</v>
      </c>
      <c r="L34" s="526">
        <f>Dementia!AW28</f>
        <v>-3.3728340666314693E-2</v>
      </c>
      <c r="M34" s="526">
        <f>Dementia!AW36</f>
        <v>-5.7888799618325493E-2</v>
      </c>
      <c r="N34" s="526">
        <f>Diabetes!AW28</f>
        <v>-0.28048202122204202</v>
      </c>
      <c r="O34" s="527">
        <f>Diabetes!AW36</f>
        <v>-0.91564889464211774</v>
      </c>
      <c r="P34" s="47">
        <f t="shared" si="0"/>
        <v>-0.81051475329496725</v>
      </c>
      <c r="Q34" s="47">
        <f t="shared" si="1"/>
        <v>-1.574838811221575</v>
      </c>
      <c r="R34" s="449"/>
    </row>
    <row r="35" spans="2:18" x14ac:dyDescent="0.2">
      <c r="B35" s="358"/>
      <c r="C35" s="353" t="s">
        <v>33</v>
      </c>
      <c r="D35" s="526">
        <f>'Breast cancer'!AW29</f>
        <v>0</v>
      </c>
      <c r="E35" s="526">
        <f>'Breast cancer'!AW37</f>
        <v>-3.7744915087671416E-2</v>
      </c>
      <c r="F35" s="526">
        <f>'Colon cancer'!AW29</f>
        <v>-7.9801797675944641E-3</v>
      </c>
      <c r="G35" s="526">
        <f>'Colon cancer'!AW37</f>
        <v>-4.2799503277173301E-3</v>
      </c>
      <c r="H35" s="526">
        <f>CVD!AW29</f>
        <v>-0.17021017686184337</v>
      </c>
      <c r="I35" s="526">
        <f>CVD!AW37</f>
        <v>-0.13467689506008185</v>
      </c>
      <c r="J35" s="526">
        <f>Depression!AW29</f>
        <v>-0.1715947372173332</v>
      </c>
      <c r="K35" s="526">
        <f>Depression!AW37</f>
        <v>-0.29502748448555849</v>
      </c>
      <c r="L35" s="526">
        <f>Dementia!AW29</f>
        <v>-5.4094871277783341E-2</v>
      </c>
      <c r="M35" s="526">
        <f>Dementia!AW37</f>
        <v>-0.12838939444480957</v>
      </c>
      <c r="N35" s="526">
        <f>Diabetes!AW29</f>
        <v>-0.22489430209517991</v>
      </c>
      <c r="O35" s="527">
        <f>Diabetes!AW37</f>
        <v>-0.78504841529286296</v>
      </c>
      <c r="P35" s="47">
        <f t="shared" si="0"/>
        <v>-0.62877426721973428</v>
      </c>
      <c r="Q35" s="47">
        <f t="shared" si="1"/>
        <v>-1.3851670546987016</v>
      </c>
      <c r="R35" s="449"/>
    </row>
    <row r="36" spans="2:18" x14ac:dyDescent="0.2">
      <c r="B36" s="358"/>
      <c r="C36" s="353" t="s">
        <v>34</v>
      </c>
      <c r="D36" s="526">
        <f>'Breast cancer'!AW30</f>
        <v>0</v>
      </c>
      <c r="E36" s="526">
        <f>'Breast cancer'!AW38</f>
        <v>-1.7202722464602971E-2</v>
      </c>
      <c r="F36" s="526">
        <f>'Colon cancer'!AW30</f>
        <v>-1.6399125418853799E-2</v>
      </c>
      <c r="G36" s="526">
        <f>'Colon cancer'!AW38</f>
        <v>-4.0703231792775796E-3</v>
      </c>
      <c r="H36" s="526">
        <f>CVD!AW30</f>
        <v>-0.16734698949377957</v>
      </c>
      <c r="I36" s="526">
        <f>CVD!AW38</f>
        <v>-9.5867985470306394E-2</v>
      </c>
      <c r="J36" s="526">
        <f>Depression!AW30</f>
        <v>-9.7250545946792499E-2</v>
      </c>
      <c r="K36" s="526">
        <f>Depression!AW38</f>
        <v>-0.11075281727875108</v>
      </c>
      <c r="L36" s="526">
        <f>Dementia!AW30</f>
        <v>-0.2245057114137694</v>
      </c>
      <c r="M36" s="526">
        <f>Dementia!AW38</f>
        <v>-0.18099631393988602</v>
      </c>
      <c r="N36" s="526">
        <f>Diabetes!AW30</f>
        <v>-0.29089529389972313</v>
      </c>
      <c r="O36" s="527">
        <f>Diabetes!AW38</f>
        <v>-0.35926350361438608</v>
      </c>
      <c r="P36" s="47">
        <f t="shared" si="0"/>
        <v>-0.79639766617291841</v>
      </c>
      <c r="Q36" s="47">
        <f t="shared" si="1"/>
        <v>-0.76815366594721013</v>
      </c>
      <c r="R36" s="449"/>
    </row>
    <row r="37" spans="2:18" x14ac:dyDescent="0.2">
      <c r="B37" s="359"/>
      <c r="C37" s="75" t="s">
        <v>35</v>
      </c>
      <c r="D37" s="528">
        <f>'Breast cancer'!AW31</f>
        <v>0</v>
      </c>
      <c r="E37" s="528">
        <f>'Breast cancer'!AW39</f>
        <v>-3.6524601849663441E-2</v>
      </c>
      <c r="F37" s="528">
        <f>'Colon cancer'!AW31</f>
        <v>-8.8595176483678983E-3</v>
      </c>
      <c r="G37" s="528">
        <f>'Colon cancer'!AW39</f>
        <v>-5.6012644804290801E-3</v>
      </c>
      <c r="H37" s="528">
        <f>CVD!AW31</f>
        <v>-0.13729749680288705</v>
      </c>
      <c r="I37" s="528">
        <f>CVD!AW39</f>
        <v>-0.12765582063504155</v>
      </c>
      <c r="J37" s="528">
        <f>Depression!AW31</f>
        <v>-5.6653879904516202E-2</v>
      </c>
      <c r="K37" s="528">
        <f>Depression!AW39</f>
        <v>-0.12061775950911624</v>
      </c>
      <c r="L37" s="528">
        <f>Dementia!AW31</f>
        <v>-0.99550417859120444</v>
      </c>
      <c r="M37" s="528">
        <f>Dementia!AW39</f>
        <v>-0.38741051322699604</v>
      </c>
      <c r="N37" s="528">
        <f>Diabetes!AW31</f>
        <v>-0.2344699885403827</v>
      </c>
      <c r="O37" s="529">
        <f>Diabetes!AW39</f>
        <v>-0.14488766780749529</v>
      </c>
      <c r="P37" s="357">
        <f t="shared" si="0"/>
        <v>-1.4327850614873583</v>
      </c>
      <c r="Q37" s="357">
        <f t="shared" si="1"/>
        <v>-0.82269762750874165</v>
      </c>
      <c r="R37" s="535"/>
    </row>
    <row r="38" spans="2:18" x14ac:dyDescent="0.2">
      <c r="B38" s="361"/>
      <c r="C38" s="81" t="s">
        <v>41</v>
      </c>
      <c r="D38" s="362">
        <f>SUM(D30:D37)</f>
        <v>0</v>
      </c>
      <c r="E38" s="362">
        <f>SUM(E30:E37)</f>
        <v>-0.1241282346776571</v>
      </c>
      <c r="F38" s="362">
        <f t="shared" ref="F38:O38" si="4">SUM(F30:F37)</f>
        <v>-4.8366161938135921E-2</v>
      </c>
      <c r="G38" s="362">
        <f t="shared" si="4"/>
        <v>-2.0790974406285023E-2</v>
      </c>
      <c r="H38" s="362">
        <f t="shared" si="4"/>
        <v>-0.67308737081286829</v>
      </c>
      <c r="I38" s="362">
        <f t="shared" si="4"/>
        <v>-0.47437705906713368</v>
      </c>
      <c r="J38" s="362">
        <f t="shared" si="4"/>
        <v>-2.5925028871274387</v>
      </c>
      <c r="K38" s="362">
        <f t="shared" si="4"/>
        <v>-3.4839277398772035</v>
      </c>
      <c r="L38" s="362">
        <f t="shared" si="4"/>
        <v>-1.308463183390423</v>
      </c>
      <c r="M38" s="362">
        <f t="shared" si="4"/>
        <v>-0.7558181558615773</v>
      </c>
      <c r="N38" s="362">
        <f t="shared" si="4"/>
        <v>-1.414755862154685</v>
      </c>
      <c r="O38" s="363">
        <f t="shared" si="4"/>
        <v>-2.9785300499753511</v>
      </c>
      <c r="P38" s="364">
        <f t="shared" si="0"/>
        <v>-6.0371754654235508</v>
      </c>
      <c r="Q38" s="364">
        <f t="shared" si="1"/>
        <v>-7.837572213865208</v>
      </c>
      <c r="R38" s="535">
        <f>P38+Q38</f>
        <v>-13.87474767928876</v>
      </c>
    </row>
    <row r="39" spans="2:18" x14ac:dyDescent="0.2">
      <c r="B39" s="358"/>
      <c r="C39" s="353"/>
      <c r="D39" s="50"/>
      <c r="E39" s="50"/>
      <c r="F39" s="50"/>
      <c r="G39" s="50"/>
      <c r="H39" s="50"/>
      <c r="I39" s="50"/>
      <c r="J39" s="50"/>
      <c r="K39" s="50"/>
      <c r="L39" s="50"/>
      <c r="M39" s="50"/>
      <c r="N39" s="50"/>
      <c r="O39" s="354"/>
      <c r="P39" s="47"/>
      <c r="R39" s="449"/>
    </row>
    <row r="40" spans="2:18" x14ac:dyDescent="0.2">
      <c r="B40" s="359" t="s">
        <v>140</v>
      </c>
      <c r="C40" s="75"/>
      <c r="D40" s="355"/>
      <c r="E40" s="355"/>
      <c r="F40" s="355"/>
      <c r="G40" s="355"/>
      <c r="H40" s="355"/>
      <c r="I40" s="355"/>
      <c r="J40" s="355"/>
      <c r="K40" s="355"/>
      <c r="L40" s="355"/>
      <c r="M40" s="355"/>
      <c r="N40" s="355"/>
      <c r="O40" s="360"/>
      <c r="P40" s="357"/>
      <c r="Q40" s="357"/>
      <c r="R40" s="535"/>
    </row>
    <row r="41" spans="2:18" x14ac:dyDescent="0.2">
      <c r="B41" s="358"/>
      <c r="C41" s="353" t="s">
        <v>6</v>
      </c>
      <c r="D41" s="526">
        <f>D19+D30</f>
        <v>0</v>
      </c>
      <c r="E41" s="526">
        <f t="shared" ref="E41:O41" si="5">E19+E30</f>
        <v>0</v>
      </c>
      <c r="F41" s="526">
        <f t="shared" si="5"/>
        <v>0</v>
      </c>
      <c r="G41" s="526">
        <f t="shared" si="5"/>
        <v>0</v>
      </c>
      <c r="H41" s="526">
        <f t="shared" si="5"/>
        <v>-6.8065621322611097E-2</v>
      </c>
      <c r="I41" s="526">
        <f t="shared" si="5"/>
        <v>-8.3629143364428241E-2</v>
      </c>
      <c r="J41" s="526">
        <f t="shared" si="5"/>
        <v>-3.5013805087752425E-4</v>
      </c>
      <c r="K41" s="526">
        <f t="shared" si="5"/>
        <v>-6.3275560259579144E-4</v>
      </c>
      <c r="L41" s="526">
        <f t="shared" si="5"/>
        <v>0</v>
      </c>
      <c r="M41" s="526">
        <f t="shared" si="5"/>
        <v>0</v>
      </c>
      <c r="N41" s="526">
        <f t="shared" si="5"/>
        <v>-4.9693813279501953E-2</v>
      </c>
      <c r="O41" s="527">
        <f t="shared" si="5"/>
        <v>-6.7231393330994038E-2</v>
      </c>
      <c r="P41" s="47">
        <f t="shared" si="0"/>
        <v>-0.11810957265299057</v>
      </c>
      <c r="Q41" s="47">
        <f t="shared" si="1"/>
        <v>-0.15149329229801806</v>
      </c>
      <c r="R41" s="449"/>
    </row>
    <row r="42" spans="2:18" x14ac:dyDescent="0.2">
      <c r="B42" s="358"/>
      <c r="C42" s="353" t="s">
        <v>53</v>
      </c>
      <c r="D42" s="526">
        <f t="shared" ref="D42:O42" si="6">D20+D31</f>
        <v>0</v>
      </c>
      <c r="E42" s="526">
        <f t="shared" si="6"/>
        <v>0</v>
      </c>
      <c r="F42" s="526">
        <f t="shared" si="6"/>
        <v>0</v>
      </c>
      <c r="G42" s="526">
        <f t="shared" si="6"/>
        <v>0</v>
      </c>
      <c r="H42" s="526">
        <f t="shared" si="6"/>
        <v>-4.5851637735120576E-2</v>
      </c>
      <c r="I42" s="526">
        <f t="shared" si="6"/>
        <v>-2.1589669486590746E-2</v>
      </c>
      <c r="J42" s="526">
        <f t="shared" si="6"/>
        <v>-0.78530848503191919</v>
      </c>
      <c r="K42" s="526">
        <f t="shared" si="6"/>
        <v>-0.59323329930077762</v>
      </c>
      <c r="L42" s="526">
        <f t="shared" si="6"/>
        <v>-1.7124335441968341E-2</v>
      </c>
      <c r="M42" s="526">
        <f t="shared" si="6"/>
        <v>-9.3018205684627375E-3</v>
      </c>
      <c r="N42" s="526">
        <f t="shared" si="6"/>
        <v>-0.11582256091457488</v>
      </c>
      <c r="O42" s="527">
        <f t="shared" si="6"/>
        <v>-7.5436376607340705E-2</v>
      </c>
      <c r="P42" s="47">
        <f t="shared" si="0"/>
        <v>-0.96410701912358299</v>
      </c>
      <c r="Q42" s="47">
        <f t="shared" si="1"/>
        <v>-0.69956116596317175</v>
      </c>
      <c r="R42" s="449"/>
    </row>
    <row r="43" spans="2:18" x14ac:dyDescent="0.2">
      <c r="B43" s="358"/>
      <c r="C43" s="353" t="s">
        <v>30</v>
      </c>
      <c r="D43" s="526">
        <f t="shared" ref="D43:O43" si="7">D21+D32</f>
        <v>0</v>
      </c>
      <c r="E43" s="526">
        <f t="shared" si="7"/>
        <v>-1.2746787087773992E-2</v>
      </c>
      <c r="F43" s="526">
        <f t="shared" si="7"/>
        <v>-3.7504515203940159E-2</v>
      </c>
      <c r="G43" s="526">
        <f t="shared" si="7"/>
        <v>-9.1954332901524327E-3</v>
      </c>
      <c r="H43" s="526">
        <f t="shared" si="7"/>
        <v>-0.14316814225676211</v>
      </c>
      <c r="I43" s="526">
        <f t="shared" si="7"/>
        <v>-9.5790739426762528E-2</v>
      </c>
      <c r="J43" s="526">
        <f t="shared" si="7"/>
        <v>-0.63500987831139355</v>
      </c>
      <c r="K43" s="526">
        <f t="shared" si="7"/>
        <v>-1.0134044384462868</v>
      </c>
      <c r="L43" s="526">
        <f t="shared" si="7"/>
        <v>-3.7082479892411868E-3</v>
      </c>
      <c r="M43" s="526">
        <f t="shared" si="7"/>
        <v>-3.9529428780014086E-3</v>
      </c>
      <c r="N43" s="526">
        <f t="shared" si="7"/>
        <v>-0.13817187875046955</v>
      </c>
      <c r="O43" s="527">
        <f t="shared" si="7"/>
        <v>-0.17654301995732169</v>
      </c>
      <c r="P43" s="47">
        <f t="shared" si="0"/>
        <v>-0.95756266251180655</v>
      </c>
      <c r="Q43" s="47">
        <f t="shared" si="1"/>
        <v>-1.3116333610862989</v>
      </c>
      <c r="R43" s="449"/>
    </row>
    <row r="44" spans="2:18" x14ac:dyDescent="0.2">
      <c r="B44" s="358"/>
      <c r="C44" s="353" t="s">
        <v>31</v>
      </c>
      <c r="D44" s="526">
        <f t="shared" ref="D44:O44" si="8">D22+D33</f>
        <v>0</v>
      </c>
      <c r="E44" s="526">
        <f t="shared" si="8"/>
        <v>-7.8000838285790408E-2</v>
      </c>
      <c r="F44" s="526">
        <f t="shared" si="8"/>
        <v>-5.7085414650663413E-2</v>
      </c>
      <c r="G44" s="526">
        <f t="shared" si="8"/>
        <v>-5.0966398003278623E-2</v>
      </c>
      <c r="H44" s="526">
        <f t="shared" si="8"/>
        <v>-0.41804542076742734</v>
      </c>
      <c r="I44" s="526">
        <f t="shared" si="8"/>
        <v>-0.20413470884844997</v>
      </c>
      <c r="J44" s="526">
        <f t="shared" si="8"/>
        <v>-0.49800655303488384</v>
      </c>
      <c r="K44" s="526">
        <f t="shared" si="8"/>
        <v>-0.84026106070041351</v>
      </c>
      <c r="L44" s="526">
        <f t="shared" si="8"/>
        <v>-4.7126845342720936E-3</v>
      </c>
      <c r="M44" s="526">
        <f t="shared" si="8"/>
        <v>-6.1007624874551691E-3</v>
      </c>
      <c r="N44" s="526">
        <f t="shared" si="8"/>
        <v>-0.31270188931986809</v>
      </c>
      <c r="O44" s="527">
        <f t="shared" si="8"/>
        <v>-0.90982285696460963</v>
      </c>
      <c r="P44" s="47">
        <f t="shared" si="0"/>
        <v>-1.2905519623071147</v>
      </c>
      <c r="Q44" s="47">
        <f t="shared" si="1"/>
        <v>-2.0892866252899971</v>
      </c>
      <c r="R44" s="449"/>
    </row>
    <row r="45" spans="2:18" x14ac:dyDescent="0.2">
      <c r="B45" s="358"/>
      <c r="C45" s="353" t="s">
        <v>32</v>
      </c>
      <c r="D45" s="526">
        <f t="shared" ref="D45:O45" si="9">D23+D34</f>
        <v>0</v>
      </c>
      <c r="E45" s="526">
        <f t="shared" si="9"/>
        <v>-0.25425565158646179</v>
      </c>
      <c r="F45" s="526">
        <f t="shared" si="9"/>
        <v>-0.28269826380271468</v>
      </c>
      <c r="G45" s="526">
        <f t="shared" si="9"/>
        <v>-0.10213858315575663</v>
      </c>
      <c r="H45" s="526">
        <f t="shared" si="9"/>
        <v>-1.9399314719077552</v>
      </c>
      <c r="I45" s="526">
        <f t="shared" si="9"/>
        <v>-0.43417833851333398</v>
      </c>
      <c r="J45" s="526">
        <f t="shared" si="9"/>
        <v>-0.34832866962972275</v>
      </c>
      <c r="K45" s="526">
        <f t="shared" si="9"/>
        <v>-0.50999812455370375</v>
      </c>
      <c r="L45" s="526">
        <f t="shared" si="9"/>
        <v>-5.7407741674246893E-2</v>
      </c>
      <c r="M45" s="526">
        <f t="shared" si="9"/>
        <v>-8.5433448169141002E-2</v>
      </c>
      <c r="N45" s="526">
        <f t="shared" si="9"/>
        <v>-0.60910877276364772</v>
      </c>
      <c r="O45" s="527">
        <f t="shared" si="9"/>
        <v>-1.7150024462151805</v>
      </c>
      <c r="P45" s="47">
        <f t="shared" si="0"/>
        <v>-3.2374749197780872</v>
      </c>
      <c r="Q45" s="47">
        <f t="shared" si="1"/>
        <v>-3.1010065921935777</v>
      </c>
      <c r="R45" s="449"/>
    </row>
    <row r="46" spans="2:18" x14ac:dyDescent="0.2">
      <c r="B46" s="358"/>
      <c r="C46" s="353" t="s">
        <v>33</v>
      </c>
      <c r="D46" s="526">
        <f t="shared" ref="D46:O46" si="10">D24+D35</f>
        <v>0</v>
      </c>
      <c r="E46" s="526">
        <f t="shared" si="10"/>
        <v>-0.24918884302473998</v>
      </c>
      <c r="F46" s="526">
        <f t="shared" si="10"/>
        <v>-0.14946536377365227</v>
      </c>
      <c r="G46" s="526">
        <f t="shared" si="10"/>
        <v>-7.4820318933067398E-2</v>
      </c>
      <c r="H46" s="526">
        <f t="shared" si="10"/>
        <v>-2.1712173761360702</v>
      </c>
      <c r="I46" s="526">
        <f t="shared" si="10"/>
        <v>-1.1360816565908891</v>
      </c>
      <c r="J46" s="526">
        <f t="shared" si="10"/>
        <v>-0.1715947372173332</v>
      </c>
      <c r="K46" s="526">
        <f t="shared" si="10"/>
        <v>-0.29502748448555849</v>
      </c>
      <c r="L46" s="526">
        <f t="shared" si="10"/>
        <v>-0.12718497625775171</v>
      </c>
      <c r="M46" s="526">
        <f t="shared" si="10"/>
        <v>-0.25029753682312617</v>
      </c>
      <c r="N46" s="526">
        <f t="shared" si="10"/>
        <v>-0.57753917171712033</v>
      </c>
      <c r="O46" s="527">
        <f t="shared" si="10"/>
        <v>-1.7563693871337591</v>
      </c>
      <c r="P46" s="47">
        <f t="shared" si="0"/>
        <v>-3.1970016251019278</v>
      </c>
      <c r="Q46" s="47">
        <f t="shared" si="1"/>
        <v>-3.7617852269911403</v>
      </c>
      <c r="R46" s="449"/>
    </row>
    <row r="47" spans="2:18" x14ac:dyDescent="0.2">
      <c r="B47" s="358"/>
      <c r="C47" s="353" t="s">
        <v>34</v>
      </c>
      <c r="D47" s="526">
        <f t="shared" ref="D47:O47" si="11">D25+D36</f>
        <v>0</v>
      </c>
      <c r="E47" s="526">
        <f t="shared" si="11"/>
        <v>-7.8303219932237766E-2</v>
      </c>
      <c r="F47" s="526">
        <f t="shared" si="11"/>
        <v>-0.23144069891351293</v>
      </c>
      <c r="G47" s="526">
        <f t="shared" si="11"/>
        <v>-5.4069826143816613E-2</v>
      </c>
      <c r="H47" s="526">
        <f t="shared" si="11"/>
        <v>-2.0453069609352212</v>
      </c>
      <c r="I47" s="526">
        <f t="shared" si="11"/>
        <v>-0.99443521588119665</v>
      </c>
      <c r="J47" s="526">
        <f t="shared" si="11"/>
        <v>-9.7250545946792499E-2</v>
      </c>
      <c r="K47" s="526">
        <f t="shared" si="11"/>
        <v>-0.11075281727875108</v>
      </c>
      <c r="L47" s="526">
        <f t="shared" si="11"/>
        <v>-0.65303672452790806</v>
      </c>
      <c r="M47" s="526">
        <f t="shared" si="11"/>
        <v>-0.46365091555378513</v>
      </c>
      <c r="N47" s="526">
        <f t="shared" si="11"/>
        <v>-0.79061751810729675</v>
      </c>
      <c r="O47" s="527">
        <f t="shared" si="11"/>
        <v>-0.86565671188753868</v>
      </c>
      <c r="P47" s="47">
        <f t="shared" si="0"/>
        <v>-3.8176524484307315</v>
      </c>
      <c r="Q47" s="47">
        <f t="shared" si="1"/>
        <v>-2.5668687066773259</v>
      </c>
      <c r="R47" s="449"/>
    </row>
    <row r="48" spans="2:18" x14ac:dyDescent="0.2">
      <c r="B48" s="359"/>
      <c r="C48" s="75" t="s">
        <v>35</v>
      </c>
      <c r="D48" s="528">
        <f t="shared" ref="D48:O48" si="12">D26+D37</f>
        <v>0</v>
      </c>
      <c r="E48" s="528">
        <f t="shared" si="12"/>
        <v>-0.10057510630952038</v>
      </c>
      <c r="F48" s="528">
        <f t="shared" si="12"/>
        <v>-7.7000312350541833E-2</v>
      </c>
      <c r="G48" s="528">
        <f t="shared" si="12"/>
        <v>-4.2993771564066918E-2</v>
      </c>
      <c r="H48" s="528">
        <f t="shared" si="12"/>
        <v>-1.7837421525176183</v>
      </c>
      <c r="I48" s="528">
        <f t="shared" si="12"/>
        <v>-1.7820575013056583</v>
      </c>
      <c r="J48" s="528">
        <f t="shared" si="12"/>
        <v>-5.6653879904516202E-2</v>
      </c>
      <c r="K48" s="528">
        <f t="shared" si="12"/>
        <v>-0.12061775950911624</v>
      </c>
      <c r="L48" s="528">
        <f t="shared" si="12"/>
        <v>-2.4288353568825869</v>
      </c>
      <c r="M48" s="528">
        <f t="shared" si="12"/>
        <v>-0.97049080209387739</v>
      </c>
      <c r="N48" s="528">
        <f t="shared" si="12"/>
        <v>-0.62564003924157419</v>
      </c>
      <c r="O48" s="529">
        <f t="shared" si="12"/>
        <v>-0.34396822175392572</v>
      </c>
      <c r="P48" s="357">
        <f t="shared" si="0"/>
        <v>-4.9718717408968374</v>
      </c>
      <c r="Q48" s="357">
        <f t="shared" si="1"/>
        <v>-3.360703162536165</v>
      </c>
      <c r="R48" s="535"/>
    </row>
    <row r="49" spans="2:18" x14ac:dyDescent="0.2">
      <c r="B49" s="359"/>
      <c r="C49" s="75" t="s">
        <v>41</v>
      </c>
      <c r="D49" s="355">
        <f>SUM(D41:D48)</f>
        <v>0</v>
      </c>
      <c r="E49" s="355">
        <f t="shared" ref="E49:O49" si="13">SUM(E41:E48)</f>
        <v>-0.77307044622652432</v>
      </c>
      <c r="F49" s="355">
        <f t="shared" si="13"/>
        <v>-0.83519456869502529</v>
      </c>
      <c r="G49" s="355">
        <f t="shared" si="13"/>
        <v>-0.33418433109013862</v>
      </c>
      <c r="H49" s="355">
        <f t="shared" si="13"/>
        <v>-8.6153287835785868</v>
      </c>
      <c r="I49" s="355">
        <f t="shared" si="13"/>
        <v>-4.7518969734173098</v>
      </c>
      <c r="J49" s="355">
        <f t="shared" si="13"/>
        <v>-2.5925028871274387</v>
      </c>
      <c r="K49" s="355">
        <f t="shared" si="13"/>
        <v>-3.4839277398772035</v>
      </c>
      <c r="L49" s="355">
        <f t="shared" si="13"/>
        <v>-3.2920100673079751</v>
      </c>
      <c r="M49" s="355">
        <f t="shared" si="13"/>
        <v>-1.789228228573849</v>
      </c>
      <c r="N49" s="355">
        <f t="shared" si="13"/>
        <v>-3.2192956440940534</v>
      </c>
      <c r="O49" s="355">
        <f t="shared" si="13"/>
        <v>-5.9100304138506701</v>
      </c>
      <c r="P49" s="356">
        <f t="shared" si="0"/>
        <v>-18.554331950803082</v>
      </c>
      <c r="Q49" s="357">
        <f t="shared" si="1"/>
        <v>-17.042338133035695</v>
      </c>
      <c r="R49" s="535">
        <f>P49+Q49</f>
        <v>-35.596670083838774</v>
      </c>
    </row>
    <row r="50" spans="2:18" hidden="1" x14ac:dyDescent="0.2">
      <c r="D50" s="50">
        <f>D49+E49</f>
        <v>-0.77307044622652432</v>
      </c>
      <c r="E50" s="50">
        <f>F49+G49</f>
        <v>-1.169378899785164</v>
      </c>
      <c r="F50" s="50">
        <f>H49+I49</f>
        <v>-13.367225756995897</v>
      </c>
      <c r="G50" s="50">
        <f>J49+K49</f>
        <v>-6.0764306270046422</v>
      </c>
      <c r="H50" s="50">
        <f>L49+M49</f>
        <v>-5.0812382958818239</v>
      </c>
      <c r="I50" s="50">
        <f>N49+O49</f>
        <v>-9.1293260579447235</v>
      </c>
    </row>
    <row r="51" spans="2:18" ht="25.5" x14ac:dyDescent="0.2">
      <c r="C51" s="570" t="s">
        <v>290</v>
      </c>
      <c r="D51" s="57"/>
      <c r="E51" s="571">
        <f>(D49+E49)/GBDUS!$N$23</f>
        <v>-3.9555336469521292E-4</v>
      </c>
      <c r="F51" s="571"/>
      <c r="G51" s="571">
        <f>(F49+G49)/GBDUS!$N$23</f>
        <v>-5.9833067047303907E-4</v>
      </c>
      <c r="H51" s="571"/>
      <c r="I51" s="571">
        <f>(H49+I49)/GBDUS!$N$23</f>
        <v>-6.8395463190050829E-3</v>
      </c>
      <c r="J51" s="571"/>
      <c r="K51" s="571">
        <f>(J49+K49)/GBDUS!$N$23</f>
        <v>-3.1090990369387916E-3</v>
      </c>
      <c r="L51" s="571"/>
      <c r="M51" s="571">
        <f>(L49+M49)/GBDUS!$N$23</f>
        <v>-2.5998935990437359E-3</v>
      </c>
      <c r="N51" s="571"/>
      <c r="O51" s="571">
        <f>(N49+O49)/GBDUS!$N$23</f>
        <v>-4.6711598629157643E-3</v>
      </c>
      <c r="P51" s="57"/>
      <c r="Q51" s="57"/>
      <c r="R51" s="536">
        <f>(P49+Q49)/GBDUS!E114</f>
        <v>-8.8821314668733058E-4</v>
      </c>
    </row>
  </sheetData>
  <mergeCells count="7">
    <mergeCell ref="N4:O4"/>
    <mergeCell ref="P4:R4"/>
    <mergeCell ref="D4:E4"/>
    <mergeCell ref="F4:G4"/>
    <mergeCell ref="H4:I4"/>
    <mergeCell ref="J4:K4"/>
    <mergeCell ref="L4:M4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3" tint="-0.249977111117893"/>
  </sheetPr>
  <dimension ref="A1:AF51"/>
  <sheetViews>
    <sheetView showGridLines="0" zoomScaleNormal="100" workbookViewId="0"/>
  </sheetViews>
  <sheetFormatPr defaultRowHeight="12.75" x14ac:dyDescent="0.2"/>
  <cols>
    <col min="1" max="1" width="4.42578125" style="18" customWidth="1"/>
    <col min="2" max="2" width="8.42578125" style="18" customWidth="1"/>
    <col min="3" max="4" width="5.7109375" style="18" customWidth="1"/>
    <col min="5" max="5" width="6.140625" style="18" customWidth="1"/>
    <col min="6" max="8" width="5.7109375" style="18" customWidth="1"/>
    <col min="9" max="9" width="5.5703125" style="18" customWidth="1"/>
    <col min="10" max="16" width="5.7109375" style="18" customWidth="1"/>
    <col min="17" max="17" width="8.5703125" style="18" customWidth="1"/>
    <col min="18" max="18" width="5.7109375" style="18" customWidth="1"/>
    <col min="19" max="19" width="4.7109375" style="18" customWidth="1"/>
    <col min="20" max="20" width="5.7109375" style="18" customWidth="1"/>
    <col min="21" max="21" width="4.42578125" style="18" customWidth="1"/>
    <col min="22" max="22" width="7.42578125" style="18" customWidth="1"/>
    <col min="23" max="23" width="5.28515625" style="18" customWidth="1"/>
    <col min="24" max="24" width="7.85546875" style="18" customWidth="1"/>
    <col min="25" max="25" width="6.28515625" style="18" customWidth="1"/>
    <col min="26" max="26" width="6.42578125" style="18" customWidth="1"/>
    <col min="27" max="27" width="5.5703125" style="18" customWidth="1"/>
    <col min="28" max="28" width="6.140625" style="18" customWidth="1"/>
    <col min="29" max="29" width="7.7109375" style="18" customWidth="1"/>
    <col min="30" max="30" width="4.5703125" style="18" customWidth="1"/>
    <col min="31" max="31" width="12" style="18" customWidth="1"/>
    <col min="32" max="32" width="12" style="18" bestFit="1" customWidth="1"/>
    <col min="33" max="16384" width="9.140625" style="18"/>
  </cols>
  <sheetData>
    <row r="1" spans="1:32" x14ac:dyDescent="0.2"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  <c r="S1" s="21"/>
      <c r="T1" s="21"/>
      <c r="U1" s="21"/>
    </row>
    <row r="2" spans="1:32" ht="13.15" customHeight="1" x14ac:dyDescent="0.2">
      <c r="B2" s="127" t="s">
        <v>86</v>
      </c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24"/>
      <c r="Q2" s="127" t="s">
        <v>102</v>
      </c>
      <c r="S2" s="52"/>
      <c r="T2" s="52"/>
      <c r="U2" s="52"/>
      <c r="V2" s="52"/>
      <c r="W2" s="52"/>
      <c r="X2" s="52"/>
      <c r="Y2" s="52"/>
      <c r="Z2" s="52"/>
      <c r="AA2" s="52"/>
      <c r="AB2" s="52"/>
      <c r="AC2" s="52"/>
      <c r="AD2" s="52"/>
      <c r="AE2" s="104"/>
      <c r="AF2" s="88"/>
    </row>
    <row r="3" spans="1:32" ht="12.75" customHeight="1" x14ac:dyDescent="0.2">
      <c r="B3" s="52"/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24"/>
      <c r="Q3" s="52"/>
      <c r="R3" s="52"/>
      <c r="S3" s="52"/>
      <c r="T3" s="52"/>
      <c r="U3" s="52"/>
      <c r="V3" s="52"/>
      <c r="W3" s="52"/>
      <c r="X3" s="52"/>
      <c r="Y3" s="52"/>
      <c r="Z3" s="52"/>
      <c r="AA3" s="52"/>
      <c r="AB3" s="52"/>
      <c r="AC3" s="52"/>
      <c r="AD3" s="52"/>
      <c r="AE3" s="104"/>
      <c r="AF3" s="88"/>
    </row>
    <row r="4" spans="1:32" ht="12.75" customHeight="1" x14ac:dyDescent="0.2">
      <c r="A4" s="20"/>
      <c r="B4" s="27"/>
      <c r="C4" s="620" t="s">
        <v>20</v>
      </c>
      <c r="D4" s="617" t="s">
        <v>65</v>
      </c>
      <c r="E4" s="617"/>
      <c r="F4" s="617" t="s">
        <v>62</v>
      </c>
      <c r="G4" s="617"/>
      <c r="H4" s="617" t="s">
        <v>63</v>
      </c>
      <c r="I4" s="617"/>
      <c r="J4" s="617" t="s">
        <v>64</v>
      </c>
      <c r="K4" s="617"/>
      <c r="L4" s="617" t="s">
        <v>66</v>
      </c>
      <c r="M4" s="617"/>
      <c r="N4" s="615"/>
      <c r="O4" s="615"/>
      <c r="P4" s="24"/>
      <c r="Q4" s="27"/>
      <c r="R4" s="620" t="s">
        <v>20</v>
      </c>
      <c r="S4" s="617" t="s">
        <v>65</v>
      </c>
      <c r="T4" s="617"/>
      <c r="U4" s="617" t="s">
        <v>62</v>
      </c>
      <c r="V4" s="617"/>
      <c r="W4" s="617" t="s">
        <v>63</v>
      </c>
      <c r="X4" s="617"/>
      <c r="Y4" s="617" t="s">
        <v>64</v>
      </c>
      <c r="Z4" s="617"/>
      <c r="AA4" s="617" t="s">
        <v>66</v>
      </c>
      <c r="AB4" s="617"/>
      <c r="AC4" s="615"/>
      <c r="AD4" s="615"/>
      <c r="AE4" s="104"/>
      <c r="AF4" s="101"/>
    </row>
    <row r="5" spans="1:32" x14ac:dyDescent="0.2">
      <c r="A5" s="20"/>
      <c r="B5" s="90"/>
      <c r="C5" s="621"/>
      <c r="D5" s="90" t="s">
        <v>39</v>
      </c>
      <c r="E5" s="90" t="s">
        <v>40</v>
      </c>
      <c r="F5" s="90" t="s">
        <v>39</v>
      </c>
      <c r="G5" s="90" t="s">
        <v>40</v>
      </c>
      <c r="H5" s="90" t="s">
        <v>39</v>
      </c>
      <c r="I5" s="90" t="s">
        <v>40</v>
      </c>
      <c r="J5" s="90" t="s">
        <v>39</v>
      </c>
      <c r="K5" s="90" t="s">
        <v>40</v>
      </c>
      <c r="L5" s="90" t="s">
        <v>39</v>
      </c>
      <c r="M5" s="90" t="s">
        <v>40</v>
      </c>
      <c r="N5" s="314"/>
      <c r="O5" s="314"/>
      <c r="P5" s="24"/>
      <c r="Q5" s="90"/>
      <c r="R5" s="621"/>
      <c r="S5" s="90" t="s">
        <v>39</v>
      </c>
      <c r="T5" s="90" t="s">
        <v>40</v>
      </c>
      <c r="U5" s="90" t="s">
        <v>39</v>
      </c>
      <c r="V5" s="90" t="s">
        <v>40</v>
      </c>
      <c r="W5" s="90" t="s">
        <v>39</v>
      </c>
      <c r="X5" s="90" t="s">
        <v>40</v>
      </c>
      <c r="Y5" s="90" t="s">
        <v>39</v>
      </c>
      <c r="Z5" s="90" t="s">
        <v>40</v>
      </c>
      <c r="AA5" s="90" t="s">
        <v>39</v>
      </c>
      <c r="AB5" s="90" t="s">
        <v>40</v>
      </c>
      <c r="AC5" s="314"/>
      <c r="AD5" s="314"/>
      <c r="AF5" s="103"/>
    </row>
    <row r="6" spans="1:32" ht="12.75" customHeight="1" x14ac:dyDescent="0.2">
      <c r="B6" s="614" t="s">
        <v>60</v>
      </c>
      <c r="C6" s="94" t="s">
        <v>6</v>
      </c>
      <c r="D6" s="577">
        <f>'CHTS 2013'!Y86</f>
        <v>7.2267112971170979</v>
      </c>
      <c r="E6" s="577">
        <f>'CHTS 2013'!Z86</f>
        <v>6.8815525313275998</v>
      </c>
      <c r="F6" s="96"/>
      <c r="G6" s="96"/>
      <c r="H6" s="284"/>
      <c r="I6" s="284"/>
      <c r="J6" s="96"/>
      <c r="K6" s="96"/>
      <c r="L6" s="96"/>
      <c r="M6" s="96"/>
      <c r="N6" s="41"/>
      <c r="O6" s="41"/>
      <c r="P6" s="24"/>
      <c r="Q6" s="614" t="s">
        <v>227</v>
      </c>
      <c r="R6" s="94" t="s">
        <v>6</v>
      </c>
      <c r="S6" s="577">
        <f>'CHTS 2013'!U86</f>
        <v>0.20213812337076595</v>
      </c>
      <c r="T6" s="577">
        <f>'CHTS 2013'!V86</f>
        <v>0.38289660687380034</v>
      </c>
      <c r="U6" s="96"/>
      <c r="V6" s="96"/>
      <c r="W6" s="284"/>
      <c r="X6" s="284"/>
      <c r="Y6" s="96"/>
      <c r="Z6" s="96"/>
      <c r="AA6" s="96"/>
      <c r="AB6" s="96"/>
      <c r="AC6" s="41"/>
      <c r="AD6" s="41"/>
      <c r="AF6" s="102"/>
    </row>
    <row r="7" spans="1:32" x14ac:dyDescent="0.2">
      <c r="B7" s="614"/>
      <c r="C7" s="94" t="s">
        <v>53</v>
      </c>
      <c r="D7" s="577">
        <f>'CHTS 2013'!Y87</f>
        <v>6.0790237000408212</v>
      </c>
      <c r="E7" s="577">
        <f>'CHTS 2013'!Z87</f>
        <v>6.1747449519417437</v>
      </c>
      <c r="F7" s="96"/>
      <c r="G7" s="96"/>
      <c r="H7" s="284"/>
      <c r="I7" s="284"/>
      <c r="J7" s="96"/>
      <c r="K7" s="96"/>
      <c r="L7" s="96"/>
      <c r="M7" s="96"/>
      <c r="N7" s="41"/>
      <c r="O7" s="41"/>
      <c r="P7" s="24"/>
      <c r="Q7" s="614"/>
      <c r="R7" s="94" t="s">
        <v>53</v>
      </c>
      <c r="S7" s="577">
        <f>'CHTS 2013'!U87</f>
        <v>0.29618173030803552</v>
      </c>
      <c r="T7" s="577">
        <f>'CHTS 2013'!V87</f>
        <v>0.23173086408974611</v>
      </c>
      <c r="U7" s="96"/>
      <c r="V7" s="96"/>
      <c r="W7" s="284"/>
      <c r="X7" s="284"/>
      <c r="Y7" s="96"/>
      <c r="Z7" s="96"/>
      <c r="AA7" s="96"/>
      <c r="AB7" s="96"/>
      <c r="AC7" s="41"/>
      <c r="AD7" s="41"/>
      <c r="AF7" s="102"/>
    </row>
    <row r="8" spans="1:32" x14ac:dyDescent="0.2">
      <c r="B8" s="614"/>
      <c r="C8" s="94" t="s">
        <v>30</v>
      </c>
      <c r="D8" s="577">
        <f>'CHTS 2013'!Y88</f>
        <v>4.2712083747837823</v>
      </c>
      <c r="E8" s="577">
        <f>'CHTS 2013'!Z88</f>
        <v>5.8080342352289529</v>
      </c>
      <c r="F8" s="96"/>
      <c r="G8" s="96"/>
      <c r="H8" s="284"/>
      <c r="I8" s="284"/>
      <c r="J8" s="96"/>
      <c r="K8" s="96"/>
      <c r="L8" s="285"/>
      <c r="M8" s="285"/>
      <c r="N8" s="41"/>
      <c r="O8" s="41"/>
      <c r="P8" s="24"/>
      <c r="Q8" s="614"/>
      <c r="R8" s="94" t="s">
        <v>30</v>
      </c>
      <c r="S8" s="577">
        <f>'CHTS 2013'!U88</f>
        <v>0.19525716155139169</v>
      </c>
      <c r="T8" s="577">
        <f>'CHTS 2013'!V88</f>
        <v>0.27996487510175527</v>
      </c>
      <c r="U8" s="96"/>
      <c r="V8" s="96"/>
      <c r="W8" s="284"/>
      <c r="X8" s="284"/>
      <c r="Y8" s="96"/>
      <c r="Z8" s="96"/>
      <c r="AA8" s="285"/>
      <c r="AB8" s="285"/>
      <c r="AC8" s="41"/>
      <c r="AD8" s="41"/>
      <c r="AF8" s="102"/>
    </row>
    <row r="9" spans="1:32" x14ac:dyDescent="0.2">
      <c r="B9" s="614"/>
      <c r="C9" s="94" t="s">
        <v>31</v>
      </c>
      <c r="D9" s="577">
        <f>'CHTS 2013'!Y89</f>
        <v>3.6759149191860732</v>
      </c>
      <c r="E9" s="577">
        <f>'CHTS 2013'!Z89</f>
        <v>6.350705857867621</v>
      </c>
      <c r="F9" s="96"/>
      <c r="G9" s="96"/>
      <c r="H9" s="284"/>
      <c r="I9" s="284"/>
      <c r="J9" s="96"/>
      <c r="K9" s="96"/>
      <c r="L9" s="96"/>
      <c r="M9" s="96"/>
      <c r="N9" s="41"/>
      <c r="O9" s="41"/>
      <c r="P9" s="24"/>
      <c r="Q9" s="614"/>
      <c r="R9" s="94" t="s">
        <v>31</v>
      </c>
      <c r="S9" s="577">
        <f>'CHTS 2013'!U89</f>
        <v>0.17083679744682839</v>
      </c>
      <c r="T9" s="577">
        <f>'CHTS 2013'!V89</f>
        <v>0.23749181629552468</v>
      </c>
      <c r="U9" s="96"/>
      <c r="V9" s="96"/>
      <c r="W9" s="284"/>
      <c r="X9" s="284"/>
      <c r="Y9" s="96"/>
      <c r="Z9" s="96"/>
      <c r="AA9" s="96"/>
      <c r="AB9" s="96"/>
      <c r="AC9" s="41"/>
      <c r="AD9" s="41"/>
      <c r="AF9" s="102"/>
    </row>
    <row r="10" spans="1:32" x14ac:dyDescent="0.2">
      <c r="B10" s="614"/>
      <c r="C10" s="94" t="s">
        <v>32</v>
      </c>
      <c r="D10" s="577">
        <f>'CHTS 2013'!Y90</f>
        <v>2.5160850967161474</v>
      </c>
      <c r="E10" s="577">
        <f>'CHTS 2013'!Z90</f>
        <v>3.651188249682312</v>
      </c>
      <c r="F10" s="96"/>
      <c r="G10" s="96"/>
      <c r="H10" s="284"/>
      <c r="I10" s="284"/>
      <c r="J10" s="96"/>
      <c r="K10" s="96"/>
      <c r="L10" s="96"/>
      <c r="M10" s="96"/>
      <c r="N10" s="41"/>
      <c r="O10" s="41"/>
      <c r="P10" s="24"/>
      <c r="Q10" s="614"/>
      <c r="R10" s="94" t="s">
        <v>32</v>
      </c>
      <c r="S10" s="577">
        <f>'CHTS 2013'!U90</f>
        <v>9.7056333286420354E-2</v>
      </c>
      <c r="T10" s="577">
        <f>'CHTS 2013'!V90</f>
        <v>0.12936493308899177</v>
      </c>
      <c r="U10" s="96"/>
      <c r="V10" s="96"/>
      <c r="W10" s="284"/>
      <c r="X10" s="284"/>
      <c r="Y10" s="96"/>
      <c r="Z10" s="96"/>
      <c r="AA10" s="96"/>
      <c r="AB10" s="96"/>
      <c r="AC10" s="41"/>
      <c r="AD10" s="41"/>
      <c r="AF10" s="102"/>
    </row>
    <row r="11" spans="1:32" x14ac:dyDescent="0.2">
      <c r="B11" s="614"/>
      <c r="C11" s="94" t="s">
        <v>33</v>
      </c>
      <c r="D11" s="577">
        <f>'CHTS 2013'!Y91</f>
        <v>3.207681588367612</v>
      </c>
      <c r="E11" s="577">
        <f>'CHTS 2013'!Z91</f>
        <v>3.5973827765089164</v>
      </c>
      <c r="F11" s="96"/>
      <c r="G11" s="96"/>
      <c r="H11" s="284"/>
      <c r="I11" s="284"/>
      <c r="J11" s="96"/>
      <c r="K11" s="96"/>
      <c r="L11" s="96"/>
      <c r="M11" s="96"/>
      <c r="N11" s="41"/>
      <c r="O11" s="41"/>
      <c r="P11" s="24"/>
      <c r="Q11" s="614"/>
      <c r="R11" s="94" t="s">
        <v>33</v>
      </c>
      <c r="S11" s="577">
        <f>'CHTS 2013'!U91</f>
        <v>0.1049930067404265</v>
      </c>
      <c r="T11" s="577">
        <f>'CHTS 2013'!V91</f>
        <v>0.11226676603832736</v>
      </c>
      <c r="U11" s="96"/>
      <c r="V11" s="96"/>
      <c r="W11" s="284"/>
      <c r="X11" s="284"/>
      <c r="Y11" s="96"/>
      <c r="Z11" s="96"/>
      <c r="AA11" s="96"/>
      <c r="AB11" s="96"/>
      <c r="AC11" s="41"/>
      <c r="AD11" s="41"/>
      <c r="AF11" s="102"/>
    </row>
    <row r="12" spans="1:32" x14ac:dyDescent="0.2">
      <c r="B12" s="614"/>
      <c r="C12" s="94" t="s">
        <v>34</v>
      </c>
      <c r="D12" s="577">
        <f>'CHTS 2013'!Y92</f>
        <v>1.7661435236883687</v>
      </c>
      <c r="E12" s="577">
        <f>'CHTS 2013'!Z92</f>
        <v>2.5983922910275181</v>
      </c>
      <c r="F12" s="96"/>
      <c r="G12" s="96"/>
      <c r="H12" s="284"/>
      <c r="I12" s="284"/>
      <c r="J12" s="96"/>
      <c r="K12" s="96"/>
      <c r="L12" s="96"/>
      <c r="M12" s="96"/>
      <c r="N12" s="41"/>
      <c r="O12" s="41"/>
      <c r="P12" s="24"/>
      <c r="Q12" s="614"/>
      <c r="R12" s="94" t="s">
        <v>34</v>
      </c>
      <c r="S12" s="577">
        <f>'CHTS 2013'!U92</f>
        <v>5.6061497818028924E-2</v>
      </c>
      <c r="T12" s="577">
        <f>'CHTS 2013'!V92</f>
        <v>6.6701012938230275E-2</v>
      </c>
      <c r="U12" s="96"/>
      <c r="V12" s="96"/>
      <c r="W12" s="284"/>
      <c r="X12" s="284"/>
      <c r="Y12" s="96"/>
      <c r="Z12" s="96"/>
      <c r="AA12" s="96"/>
      <c r="AB12" s="96"/>
      <c r="AC12" s="41"/>
      <c r="AD12" s="41"/>
      <c r="AF12" s="102"/>
    </row>
    <row r="13" spans="1:32" x14ac:dyDescent="0.2">
      <c r="B13" s="614"/>
      <c r="C13" s="94" t="s">
        <v>35</v>
      </c>
      <c r="D13" s="577">
        <f>'CHTS 2013'!Y93</f>
        <v>3.5660957221289635</v>
      </c>
      <c r="E13" s="577">
        <f>'CHTS 2013'!Z93</f>
        <v>3.0515007016442572</v>
      </c>
      <c r="F13" s="96"/>
      <c r="G13" s="96"/>
      <c r="H13" s="284"/>
      <c r="I13" s="284"/>
      <c r="J13" s="96"/>
      <c r="K13" s="96"/>
      <c r="L13" s="96"/>
      <c r="M13" s="96"/>
      <c r="N13" s="41"/>
      <c r="O13" s="41"/>
      <c r="P13" s="24"/>
      <c r="Q13" s="614"/>
      <c r="R13" s="94" t="s">
        <v>35</v>
      </c>
      <c r="S13" s="577">
        <f>'CHTS 2013'!U93</f>
        <v>8.0369540255227037E-2</v>
      </c>
      <c r="T13" s="577">
        <f>'CHTS 2013'!V93</f>
        <v>0.10749705632948571</v>
      </c>
      <c r="U13" s="96"/>
      <c r="V13" s="96"/>
      <c r="W13" s="284"/>
      <c r="X13" s="284"/>
      <c r="Y13" s="96"/>
      <c r="Z13" s="96"/>
      <c r="AA13" s="96"/>
      <c r="AB13" s="96"/>
      <c r="AC13" s="41"/>
      <c r="AD13" s="41"/>
      <c r="AF13" s="102"/>
    </row>
    <row r="14" spans="1:32" x14ac:dyDescent="0.2">
      <c r="B14" s="91"/>
      <c r="C14" s="94"/>
      <c r="D14" s="87"/>
      <c r="E14" s="87"/>
      <c r="F14" s="96"/>
      <c r="G14" s="96"/>
      <c r="H14" s="96"/>
      <c r="I14" s="96"/>
      <c r="J14" s="96"/>
      <c r="K14" s="96"/>
      <c r="L14" s="96"/>
      <c r="M14" s="96"/>
      <c r="N14" s="41"/>
      <c r="O14" s="41"/>
      <c r="P14" s="24"/>
      <c r="Q14" s="91"/>
      <c r="R14" s="94"/>
      <c r="S14" s="87"/>
      <c r="T14" s="87"/>
      <c r="U14" s="96"/>
      <c r="V14" s="96"/>
      <c r="W14" s="96"/>
      <c r="X14" s="96"/>
      <c r="Y14" s="96"/>
      <c r="Z14" s="96"/>
      <c r="AA14" s="96"/>
      <c r="AB14" s="96"/>
      <c r="AC14" s="41"/>
      <c r="AD14" s="41"/>
      <c r="AF14" s="42"/>
    </row>
    <row r="15" spans="1:32" ht="12.75" customHeight="1" x14ac:dyDescent="0.2">
      <c r="B15" s="614" t="s">
        <v>61</v>
      </c>
      <c r="C15" s="94" t="s">
        <v>6</v>
      </c>
      <c r="D15" s="578">
        <f>'CHTS 2013'!Y22</f>
        <v>5.4122050896675378E-2</v>
      </c>
      <c r="E15" s="578">
        <f>'CHTS 2013'!Z22</f>
        <v>0.34912141385177436</v>
      </c>
      <c r="F15" s="286"/>
      <c r="G15" s="286"/>
      <c r="H15" s="286"/>
      <c r="I15" s="286"/>
      <c r="J15" s="286"/>
      <c r="K15" s="286"/>
      <c r="L15" s="286"/>
      <c r="M15" s="286"/>
      <c r="N15" s="41"/>
      <c r="O15" s="41"/>
      <c r="P15" s="24"/>
      <c r="Q15" s="614" t="s">
        <v>228</v>
      </c>
      <c r="R15" s="94" t="s">
        <v>6</v>
      </c>
      <c r="S15" s="580">
        <f>'CHTS 2013'!U22</f>
        <v>3.132904201925709E-3</v>
      </c>
      <c r="T15" s="580">
        <f>'CHTS 2013'!V22</f>
        <v>1.9531892613573E-2</v>
      </c>
      <c r="U15" s="286"/>
      <c r="V15" s="286"/>
      <c r="W15" s="286"/>
      <c r="X15" s="286"/>
      <c r="Y15" s="286"/>
      <c r="Z15" s="286"/>
      <c r="AA15" s="286"/>
      <c r="AB15" s="286"/>
      <c r="AC15" s="41"/>
      <c r="AD15" s="41"/>
      <c r="AF15" s="102"/>
    </row>
    <row r="16" spans="1:32" x14ac:dyDescent="0.2">
      <c r="B16" s="614"/>
      <c r="C16" s="94" t="s">
        <v>53</v>
      </c>
      <c r="D16" s="578">
        <f>'CHTS 2013'!Y23</f>
        <v>1.0405120335636218</v>
      </c>
      <c r="E16" s="578">
        <f>'CHTS 2013'!Z23</f>
        <v>0.48772367632008679</v>
      </c>
      <c r="F16" s="286"/>
      <c r="G16" s="286"/>
      <c r="H16" s="286"/>
      <c r="I16" s="286"/>
      <c r="J16" s="286"/>
      <c r="K16" s="286"/>
      <c r="L16" s="286"/>
      <c r="M16" s="286"/>
      <c r="N16" s="41"/>
      <c r="O16" s="41"/>
      <c r="P16" s="24"/>
      <c r="Q16" s="614"/>
      <c r="R16" s="94" t="s">
        <v>53</v>
      </c>
      <c r="S16" s="580">
        <f>'CHTS 2013'!U23</f>
        <v>9.0029248618766475E-2</v>
      </c>
      <c r="T16" s="580">
        <f>'CHTS 2013'!V23</f>
        <v>1.3797208372859884E-2</v>
      </c>
      <c r="U16" s="286"/>
      <c r="V16" s="286"/>
      <c r="W16" s="286"/>
      <c r="X16" s="286"/>
      <c r="Y16" s="286"/>
      <c r="Z16" s="286"/>
      <c r="AA16" s="286"/>
      <c r="AB16" s="286"/>
      <c r="AC16" s="41"/>
      <c r="AD16" s="41"/>
      <c r="AF16" s="102"/>
    </row>
    <row r="17" spans="1:32" x14ac:dyDescent="0.2">
      <c r="B17" s="614"/>
      <c r="C17" s="94" t="s">
        <v>30</v>
      </c>
      <c r="D17" s="578">
        <f>'CHTS 2013'!Y24</f>
        <v>0.95673193911115129</v>
      </c>
      <c r="E17" s="578">
        <f>'CHTS 2013'!Z24</f>
        <v>0.22473176141912585</v>
      </c>
      <c r="F17" s="286"/>
      <c r="G17" s="285"/>
      <c r="H17" s="286"/>
      <c r="I17" s="285"/>
      <c r="J17" s="286"/>
      <c r="K17" s="285"/>
      <c r="L17" s="285"/>
      <c r="M17" s="285"/>
      <c r="N17" s="41"/>
      <c r="O17" s="41"/>
      <c r="P17" s="24"/>
      <c r="Q17" s="614"/>
      <c r="R17" s="94" t="s">
        <v>30</v>
      </c>
      <c r="S17" s="580">
        <f>'CHTS 2013'!U24</f>
        <v>8.759139966998776E-2</v>
      </c>
      <c r="T17" s="580">
        <f>'CHTS 2013'!V24</f>
        <v>2.1927997382788843E-2</v>
      </c>
      <c r="U17" s="286"/>
      <c r="V17" s="285"/>
      <c r="W17" s="286"/>
      <c r="X17" s="285"/>
      <c r="Y17" s="286"/>
      <c r="Z17" s="285"/>
      <c r="AA17" s="285"/>
      <c r="AB17" s="285"/>
      <c r="AC17" s="41"/>
      <c r="AD17" s="41"/>
      <c r="AF17" s="102"/>
    </row>
    <row r="18" spans="1:32" x14ac:dyDescent="0.2">
      <c r="B18" s="614"/>
      <c r="C18" s="94" t="s">
        <v>31</v>
      </c>
      <c r="D18" s="578">
        <f>'CHTS 2013'!Y25</f>
        <v>0.81336377673369187</v>
      </c>
      <c r="E18" s="578">
        <f>'CHTS 2013'!Z25</f>
        <v>0.17479652463494147</v>
      </c>
      <c r="F18" s="286"/>
      <c r="G18" s="286"/>
      <c r="H18" s="286"/>
      <c r="I18" s="286"/>
      <c r="J18" s="286"/>
      <c r="K18" s="286"/>
      <c r="L18" s="286"/>
      <c r="M18" s="286"/>
      <c r="N18" s="41"/>
      <c r="O18" s="41"/>
      <c r="P18" s="24"/>
      <c r="Q18" s="614"/>
      <c r="R18" s="94" t="s">
        <v>31</v>
      </c>
      <c r="S18" s="580">
        <f>'CHTS 2013'!U25</f>
        <v>7.615850294046897E-2</v>
      </c>
      <c r="T18" s="580">
        <f>'CHTS 2013'!V25</f>
        <v>1.473873296746803E-2</v>
      </c>
      <c r="U18" s="286"/>
      <c r="V18" s="286"/>
      <c r="W18" s="286"/>
      <c r="X18" s="286"/>
      <c r="Y18" s="286"/>
      <c r="Z18" s="286"/>
      <c r="AA18" s="286"/>
      <c r="AB18" s="286"/>
      <c r="AC18" s="41"/>
      <c r="AD18" s="41"/>
      <c r="AF18" s="102"/>
    </row>
    <row r="19" spans="1:32" x14ac:dyDescent="0.2">
      <c r="B19" s="614"/>
      <c r="C19" s="94" t="s">
        <v>32</v>
      </c>
      <c r="D19" s="578">
        <f>'CHTS 2013'!Y26</f>
        <v>0.90646149470989523</v>
      </c>
      <c r="E19" s="578">
        <f>'CHTS 2013'!Z26</f>
        <v>0.35318606830895288</v>
      </c>
      <c r="F19" s="286"/>
      <c r="G19" s="286"/>
      <c r="H19" s="286"/>
      <c r="I19" s="286"/>
      <c r="J19" s="286"/>
      <c r="K19" s="286"/>
      <c r="L19" s="286"/>
      <c r="M19" s="286"/>
      <c r="N19" s="41"/>
      <c r="O19" s="41"/>
      <c r="P19" s="24"/>
      <c r="Q19" s="614"/>
      <c r="R19" s="94" t="s">
        <v>32</v>
      </c>
      <c r="S19" s="580">
        <f>'CHTS 2013'!U26</f>
        <v>8.7839732677623364E-2</v>
      </c>
      <c r="T19" s="580">
        <f>'CHTS 2013'!V26</f>
        <v>3.3989969492235705E-2</v>
      </c>
      <c r="U19" s="286"/>
      <c r="V19" s="286"/>
      <c r="W19" s="286"/>
      <c r="X19" s="286"/>
      <c r="Y19" s="286"/>
      <c r="Z19" s="286"/>
      <c r="AA19" s="286"/>
      <c r="AB19" s="286"/>
      <c r="AC19" s="41"/>
      <c r="AD19" s="41"/>
      <c r="AF19" s="102"/>
    </row>
    <row r="20" spans="1:32" x14ac:dyDescent="0.2">
      <c r="B20" s="614"/>
      <c r="C20" s="94" t="s">
        <v>33</v>
      </c>
      <c r="D20" s="578">
        <f>'CHTS 2013'!Y27</f>
        <v>0.60685386788730611</v>
      </c>
      <c r="E20" s="578">
        <f>'CHTS 2013'!Z27</f>
        <v>7.8197552105625026E-2</v>
      </c>
      <c r="F20" s="286"/>
      <c r="G20" s="286"/>
      <c r="H20" s="286"/>
      <c r="I20" s="286"/>
      <c r="J20" s="286"/>
      <c r="K20" s="286"/>
      <c r="L20" s="286"/>
      <c r="M20" s="286"/>
      <c r="N20" s="41"/>
      <c r="O20" s="41"/>
      <c r="P20" s="24"/>
      <c r="Q20" s="614"/>
      <c r="R20" s="94" t="s">
        <v>33</v>
      </c>
      <c r="S20" s="580">
        <f>'CHTS 2013'!U27</f>
        <v>9.1344684695008102E-2</v>
      </c>
      <c r="T20" s="580">
        <f>'CHTS 2013'!V27</f>
        <v>1.2434196995115075E-2</v>
      </c>
      <c r="U20" s="286"/>
      <c r="V20" s="286"/>
      <c r="W20" s="286"/>
      <c r="X20" s="286"/>
      <c r="Y20" s="286"/>
      <c r="Z20" s="286"/>
      <c r="AA20" s="286"/>
      <c r="AB20" s="286"/>
      <c r="AC20" s="41"/>
      <c r="AD20" s="41"/>
      <c r="AF20" s="102"/>
    </row>
    <row r="21" spans="1:32" x14ac:dyDescent="0.2">
      <c r="B21" s="614"/>
      <c r="C21" s="94" t="s">
        <v>34</v>
      </c>
      <c r="D21" s="578">
        <f>'CHTS 2013'!Y28</f>
        <v>0.36426917744187065</v>
      </c>
      <c r="E21" s="578">
        <f>'CHTS 2013'!Z28</f>
        <v>0</v>
      </c>
      <c r="F21" s="287"/>
      <c r="G21" s="287"/>
      <c r="H21" s="287"/>
      <c r="I21" s="287"/>
      <c r="J21" s="287"/>
      <c r="K21" s="287"/>
      <c r="L21" s="287"/>
      <c r="M21" s="287"/>
      <c r="N21" s="41"/>
      <c r="O21" s="41"/>
      <c r="P21" s="24"/>
      <c r="Q21" s="614"/>
      <c r="R21" s="94" t="s">
        <v>34</v>
      </c>
      <c r="S21" s="580">
        <f>'CHTS 2013'!U28</f>
        <v>4.9335563933484872E-2</v>
      </c>
      <c r="T21" s="580">
        <f>'CHTS 2013'!V28</f>
        <v>0</v>
      </c>
      <c r="U21" s="287"/>
      <c r="V21" s="287"/>
      <c r="W21" s="287"/>
      <c r="X21" s="287"/>
      <c r="Y21" s="287"/>
      <c r="Z21" s="287"/>
      <c r="AA21" s="287"/>
      <c r="AB21" s="287"/>
      <c r="AC21" s="41"/>
      <c r="AD21" s="41"/>
      <c r="AF21" s="102"/>
    </row>
    <row r="22" spans="1:32" x14ac:dyDescent="0.2">
      <c r="B22" s="616"/>
      <c r="C22" s="95" t="s">
        <v>35</v>
      </c>
      <c r="D22" s="579">
        <f>'CHTS 2013'!Y29</f>
        <v>4.473562623988573E-2</v>
      </c>
      <c r="E22" s="579">
        <f>'CHTS 2013'!Z29</f>
        <v>0</v>
      </c>
      <c r="F22" s="288"/>
      <c r="G22" s="288"/>
      <c r="H22" s="288"/>
      <c r="I22" s="288"/>
      <c r="J22" s="288"/>
      <c r="K22" s="288"/>
      <c r="L22" s="288"/>
      <c r="M22" s="288"/>
      <c r="N22" s="312"/>
      <c r="O22" s="312"/>
      <c r="P22" s="24"/>
      <c r="Q22" s="616"/>
      <c r="R22" s="95" t="s">
        <v>35</v>
      </c>
      <c r="S22" s="581">
        <f>'CHTS 2013'!U29</f>
        <v>3.0127699583139683E-3</v>
      </c>
      <c r="T22" s="582">
        <f>'CHTS 2013'!V29</f>
        <v>0</v>
      </c>
      <c r="U22" s="288"/>
      <c r="V22" s="288"/>
      <c r="W22" s="288"/>
      <c r="X22" s="288"/>
      <c r="Y22" s="288"/>
      <c r="Z22" s="288"/>
      <c r="AA22" s="288"/>
      <c r="AB22" s="288"/>
      <c r="AC22" s="312"/>
      <c r="AD22" s="312"/>
      <c r="AE22" s="20"/>
      <c r="AF22" s="102"/>
    </row>
    <row r="23" spans="1:32" x14ac:dyDescent="0.2">
      <c r="B23" s="39"/>
      <c r="C23" s="40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41"/>
      <c r="O23" s="41"/>
      <c r="P23" s="21"/>
      <c r="Q23" s="88"/>
      <c r="R23" s="40"/>
      <c r="S23" s="34"/>
      <c r="T23" s="34"/>
      <c r="U23" s="34"/>
      <c r="V23" s="34"/>
      <c r="W23" s="34"/>
      <c r="X23" s="34"/>
      <c r="Y23" s="34"/>
      <c r="Z23" s="34"/>
      <c r="AA23" s="34"/>
      <c r="AF23" s="42"/>
    </row>
    <row r="24" spans="1:32" x14ac:dyDescent="0.2"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</row>
    <row r="25" spans="1:32" ht="12.75" customHeight="1" x14ac:dyDescent="0.2">
      <c r="B25" s="127" t="s">
        <v>286</v>
      </c>
      <c r="D25" s="126"/>
      <c r="E25" s="126"/>
      <c r="F25" s="126"/>
      <c r="G25" s="126"/>
      <c r="H25" s="126"/>
      <c r="I25" s="126"/>
      <c r="J25" s="126"/>
      <c r="K25" s="126"/>
      <c r="L25" s="126"/>
      <c r="M25" s="126"/>
      <c r="N25" s="126"/>
      <c r="O25" s="126"/>
      <c r="P25" s="24"/>
      <c r="Q25" s="127" t="s">
        <v>287</v>
      </c>
      <c r="S25" s="127"/>
      <c r="T25" s="127"/>
      <c r="U25" s="127"/>
      <c r="V25" s="127"/>
      <c r="W25" s="127"/>
      <c r="X25" s="127"/>
      <c r="Y25" s="127"/>
      <c r="Z25" s="127"/>
      <c r="AA25" s="127"/>
      <c r="AB25" s="127"/>
      <c r="AC25" s="127"/>
      <c r="AD25" s="127"/>
      <c r="AE25" s="104"/>
      <c r="AF25" s="88"/>
    </row>
    <row r="26" spans="1:32" ht="12.75" customHeight="1" x14ac:dyDescent="0.2">
      <c r="A26" s="20"/>
      <c r="C26" s="126"/>
      <c r="D26" s="126"/>
      <c r="E26" s="126"/>
      <c r="F26" s="126"/>
      <c r="G26" s="126"/>
      <c r="H26" s="126"/>
      <c r="I26" s="126"/>
      <c r="J26" s="126"/>
      <c r="K26" s="126"/>
      <c r="L26" s="126"/>
      <c r="M26" s="126"/>
      <c r="N26" s="126"/>
      <c r="O26" s="126"/>
      <c r="P26" s="24"/>
      <c r="Q26" s="52"/>
      <c r="R26" s="127"/>
      <c r="S26" s="127"/>
      <c r="T26" s="127"/>
      <c r="U26" s="127"/>
      <c r="V26" s="127"/>
      <c r="W26" s="127"/>
      <c r="X26" s="127"/>
      <c r="Y26" s="127"/>
      <c r="Z26" s="127"/>
      <c r="AA26" s="127"/>
      <c r="AB26" s="127"/>
      <c r="AC26" s="127"/>
      <c r="AD26" s="127"/>
      <c r="AE26" s="104"/>
      <c r="AF26" s="88"/>
    </row>
    <row r="27" spans="1:32" ht="12.75" customHeight="1" x14ac:dyDescent="0.2">
      <c r="B27" s="26"/>
      <c r="C27" s="618" t="s">
        <v>20</v>
      </c>
      <c r="D27" s="617" t="s">
        <v>65</v>
      </c>
      <c r="E27" s="617"/>
      <c r="F27" s="617" t="s">
        <v>62</v>
      </c>
      <c r="G27" s="617"/>
      <c r="H27" s="617" t="s">
        <v>63</v>
      </c>
      <c r="I27" s="617"/>
      <c r="J27" s="617" t="s">
        <v>64</v>
      </c>
      <c r="K27" s="617"/>
      <c r="L27" s="617" t="s">
        <v>66</v>
      </c>
      <c r="M27" s="619"/>
      <c r="N27" s="615" t="s">
        <v>37</v>
      </c>
      <c r="O27" s="615"/>
      <c r="P27" s="24"/>
      <c r="Q27" s="99"/>
      <c r="R27" s="618" t="s">
        <v>20</v>
      </c>
      <c r="S27" s="617" t="s">
        <v>65</v>
      </c>
      <c r="T27" s="617"/>
      <c r="U27" s="617" t="s">
        <v>62</v>
      </c>
      <c r="V27" s="617"/>
      <c r="W27" s="617" t="s">
        <v>63</v>
      </c>
      <c r="X27" s="617"/>
      <c r="Y27" s="617" t="s">
        <v>64</v>
      </c>
      <c r="Z27" s="617"/>
      <c r="AA27" s="617" t="s">
        <v>66</v>
      </c>
      <c r="AB27" s="619"/>
      <c r="AC27" s="615" t="s">
        <v>37</v>
      </c>
      <c r="AD27" s="615"/>
      <c r="AE27" s="104"/>
      <c r="AF27" s="101"/>
    </row>
    <row r="28" spans="1:32" x14ac:dyDescent="0.2">
      <c r="B28" s="51"/>
      <c r="C28" s="608"/>
      <c r="D28" s="90" t="s">
        <v>39</v>
      </c>
      <c r="E28" s="90" t="s">
        <v>40</v>
      </c>
      <c r="F28" s="90" t="s">
        <v>39</v>
      </c>
      <c r="G28" s="90" t="s">
        <v>40</v>
      </c>
      <c r="H28" s="90" t="s">
        <v>39</v>
      </c>
      <c r="I28" s="90" t="s">
        <v>40</v>
      </c>
      <c r="J28" s="90" t="s">
        <v>39</v>
      </c>
      <c r="K28" s="90" t="s">
        <v>40</v>
      </c>
      <c r="L28" s="90" t="s">
        <v>39</v>
      </c>
      <c r="M28" s="549" t="s">
        <v>40</v>
      </c>
      <c r="N28" s="90" t="s">
        <v>39</v>
      </c>
      <c r="O28" s="90" t="s">
        <v>40</v>
      </c>
      <c r="P28" s="24"/>
      <c r="Q28" s="51"/>
      <c r="R28" s="608"/>
      <c r="S28" s="90" t="s">
        <v>39</v>
      </c>
      <c r="T28" s="90" t="s">
        <v>40</v>
      </c>
      <c r="U28" s="90" t="s">
        <v>39</v>
      </c>
      <c r="V28" s="90" t="s">
        <v>40</v>
      </c>
      <c r="W28" s="90" t="s">
        <v>39</v>
      </c>
      <c r="X28" s="90" t="s">
        <v>40</v>
      </c>
      <c r="Y28" s="90" t="s">
        <v>39</v>
      </c>
      <c r="Z28" s="90" t="s">
        <v>40</v>
      </c>
      <c r="AA28" s="90" t="s">
        <v>39</v>
      </c>
      <c r="AB28" s="315" t="s">
        <v>40</v>
      </c>
      <c r="AC28" s="90" t="s">
        <v>39</v>
      </c>
      <c r="AD28" s="90" t="s">
        <v>40</v>
      </c>
      <c r="AF28" s="103"/>
    </row>
    <row r="29" spans="1:32" ht="12.75" customHeight="1" x14ac:dyDescent="0.2">
      <c r="B29" s="614" t="s">
        <v>60</v>
      </c>
      <c r="C29" s="94" t="s">
        <v>6</v>
      </c>
      <c r="D29" s="87">
        <f t="shared" ref="D29:E36" si="0">D6/$E$8</f>
        <v>1.2442611397300452</v>
      </c>
      <c r="E29" s="87">
        <f>E6/$E$8</f>
        <v>1.1848333278731662</v>
      </c>
      <c r="F29" s="87">
        <f>D29</f>
        <v>1.2442611397300452</v>
      </c>
      <c r="G29" s="87">
        <f>E29</f>
        <v>1.1848333278731662</v>
      </c>
      <c r="H29" s="87">
        <f>D29</f>
        <v>1.2442611397300452</v>
      </c>
      <c r="I29" s="87">
        <f>E29</f>
        <v>1.1848333278731662</v>
      </c>
      <c r="J29" s="87">
        <f>D29</f>
        <v>1.2442611397300452</v>
      </c>
      <c r="K29" s="87">
        <f>E29</f>
        <v>1.1848333278731662</v>
      </c>
      <c r="L29" s="87">
        <f>D29</f>
        <v>1.2442611397300452</v>
      </c>
      <c r="M29" s="694">
        <f>E29</f>
        <v>1.1848333278731662</v>
      </c>
      <c r="N29" s="41">
        <f>IF(InputTravel!$J$4="Baseline",D29,IF(InputTravel!$J$4="A",F29,IF(InputTravel!$J$4="B",H29,IF(InputTravel!$J$4="C",J29,IF(InputTravel!$J$4="D",L29,"")))))</f>
        <v>1.2442611397300452</v>
      </c>
      <c r="O29" s="41">
        <f>IF(InputTravel!$J$4="Baseline",E29,IF(InputTravel!$J$4="A",G29,IF(InputTravel!$J$4="B",I29,IF(InputTravel!$J$4="C",K29,IF(InputTravel!$J$4="D",M29,"")))))</f>
        <v>1.1848333278731662</v>
      </c>
      <c r="P29" s="24"/>
      <c r="Q29" s="614" t="s">
        <v>227</v>
      </c>
      <c r="R29" s="94" t="s">
        <v>6</v>
      </c>
      <c r="S29" s="87">
        <f t="shared" ref="S29:T36" si="1">S6/$T$8</f>
        <v>0.72201244280125276</v>
      </c>
      <c r="T29" s="87">
        <f t="shared" si="1"/>
        <v>1.3676594491885232</v>
      </c>
      <c r="U29" s="87">
        <f>S29</f>
        <v>0.72201244280125276</v>
      </c>
      <c r="V29" s="87">
        <f>T29</f>
        <v>1.3676594491885232</v>
      </c>
      <c r="W29" s="87">
        <f>S29</f>
        <v>0.72201244280125276</v>
      </c>
      <c r="X29" s="87">
        <f>T29</f>
        <v>1.3676594491885232</v>
      </c>
      <c r="Y29" s="87">
        <f>S29</f>
        <v>0.72201244280125276</v>
      </c>
      <c r="Z29" s="87">
        <f>T29</f>
        <v>1.3676594491885232</v>
      </c>
      <c r="AA29" s="87">
        <f>S29</f>
        <v>0.72201244280125276</v>
      </c>
      <c r="AB29" s="694">
        <f>T29</f>
        <v>1.3676594491885232</v>
      </c>
      <c r="AC29" s="41">
        <f>IF(InputTravel!$J$4="Baseline",S29,IF(InputTravel!$J$4="A",U29,IF(InputTravel!$J$4="B",W29,IF(InputTravel!$J$4="C",Y29,IF(InputTravel!$J$4="D",AA29,"")))))</f>
        <v>0.72201244280125276</v>
      </c>
      <c r="AD29" s="41">
        <f>IF(InputTravel!$J$4="Baseline",T29,IF(InputTravel!$J$4="A",V29,IF(InputTravel!$J$4="B",X29,IF(InputTravel!$J$4="C",Z29,IF(InputTravel!$J$4="D",AB29,"")))))</f>
        <v>1.3676594491885232</v>
      </c>
      <c r="AF29" s="102"/>
    </row>
    <row r="30" spans="1:32" x14ac:dyDescent="0.2">
      <c r="B30" s="614"/>
      <c r="C30" s="94" t="s">
        <v>53</v>
      </c>
      <c r="D30" s="87">
        <f t="shared" si="0"/>
        <v>1.0466576906809824</v>
      </c>
      <c r="E30" s="87">
        <f t="shared" si="0"/>
        <v>1.0631385253359023</v>
      </c>
      <c r="F30" s="87">
        <f t="shared" ref="F30:F36" si="2">D30</f>
        <v>1.0466576906809824</v>
      </c>
      <c r="G30" s="87">
        <f t="shared" ref="G30:G36" si="3">E30</f>
        <v>1.0631385253359023</v>
      </c>
      <c r="H30" s="87">
        <f t="shared" ref="H30:H36" si="4">D30</f>
        <v>1.0466576906809824</v>
      </c>
      <c r="I30" s="87">
        <f t="shared" ref="I30:I36" si="5">E30</f>
        <v>1.0631385253359023</v>
      </c>
      <c r="J30" s="87">
        <f t="shared" ref="J30:J36" si="6">D30</f>
        <v>1.0466576906809824</v>
      </c>
      <c r="K30" s="87">
        <f t="shared" ref="K30:K36" si="7">E30</f>
        <v>1.0631385253359023</v>
      </c>
      <c r="L30" s="87">
        <f t="shared" ref="L30:L36" si="8">D30</f>
        <v>1.0466576906809824</v>
      </c>
      <c r="M30" s="695">
        <f t="shared" ref="M30:M36" si="9">E30</f>
        <v>1.0631385253359023</v>
      </c>
      <c r="N30" s="41">
        <f>IF(InputTravel!$J$4="Baseline",D30,IF(InputTravel!$J$4="A",F30,IF(InputTravel!$J$4="B",H30,IF(InputTravel!$J$4="C",J30,IF(InputTravel!$J$4="D",L30,"")))))</f>
        <v>1.0466576906809824</v>
      </c>
      <c r="O30" s="41">
        <f>IF(InputTravel!$J$4="Baseline",E30,IF(InputTravel!$J$4="A",G30,IF(InputTravel!$J$4="B",I30,IF(InputTravel!$J$4="C",K30,IF(InputTravel!$J$4="D",M30,"")))))</f>
        <v>1.0631385253359023</v>
      </c>
      <c r="P30" s="24"/>
      <c r="Q30" s="614"/>
      <c r="R30" s="94" t="s">
        <v>53</v>
      </c>
      <c r="S30" s="87">
        <f t="shared" si="1"/>
        <v>1.0579246064363828</v>
      </c>
      <c r="T30" s="87">
        <f t="shared" si="1"/>
        <v>0.82771406236415135</v>
      </c>
      <c r="U30" s="87">
        <f t="shared" ref="U30:U36" si="10">S30</f>
        <v>1.0579246064363828</v>
      </c>
      <c r="V30" s="87">
        <f t="shared" ref="V30:V36" si="11">T30</f>
        <v>0.82771406236415135</v>
      </c>
      <c r="W30" s="87">
        <f t="shared" ref="W30:W36" si="12">S30</f>
        <v>1.0579246064363828</v>
      </c>
      <c r="X30" s="87">
        <f t="shared" ref="X30:X36" si="13">T30</f>
        <v>0.82771406236415135</v>
      </c>
      <c r="Y30" s="87">
        <f t="shared" ref="Y30:Y36" si="14">S30</f>
        <v>1.0579246064363828</v>
      </c>
      <c r="Z30" s="87">
        <f t="shared" ref="Z30:Z36" si="15">T30</f>
        <v>0.82771406236415135</v>
      </c>
      <c r="AA30" s="87">
        <f t="shared" ref="AA30:AA36" si="16">S30</f>
        <v>1.0579246064363828</v>
      </c>
      <c r="AB30" s="695">
        <f t="shared" ref="AB30:AB36" si="17">T30</f>
        <v>0.82771406236415135</v>
      </c>
      <c r="AC30" s="41">
        <f>IF(InputTravel!$J$4="Baseline",S30,IF(InputTravel!$J$4="A",U30,IF(InputTravel!$J$4="B",W30,IF(InputTravel!$J$4="C",Y30,IF(InputTravel!$J$4="D",AA30,"")))))</f>
        <v>1.0579246064363828</v>
      </c>
      <c r="AD30" s="41">
        <f>IF(InputTravel!$J$4="Baseline",T30,IF(InputTravel!$J$4="A",V30,IF(InputTravel!$J$4="B",X30,IF(InputTravel!$J$4="C",Z30,IF(InputTravel!$J$4="D",AB30,"")))))</f>
        <v>0.82771406236415135</v>
      </c>
      <c r="AF30" s="102"/>
    </row>
    <row r="31" spans="1:32" x14ac:dyDescent="0.2">
      <c r="B31" s="614"/>
      <c r="C31" s="94" t="s">
        <v>30</v>
      </c>
      <c r="D31" s="87">
        <f t="shared" si="0"/>
        <v>0.73539655618359334</v>
      </c>
      <c r="E31" s="96">
        <f t="shared" si="0"/>
        <v>1</v>
      </c>
      <c r="F31" s="87">
        <f t="shared" si="2"/>
        <v>0.73539655618359334</v>
      </c>
      <c r="G31" s="96">
        <f t="shared" si="3"/>
        <v>1</v>
      </c>
      <c r="H31" s="87">
        <f t="shared" si="4"/>
        <v>0.73539655618359334</v>
      </c>
      <c r="I31" s="96">
        <f t="shared" si="5"/>
        <v>1</v>
      </c>
      <c r="J31" s="87">
        <f t="shared" si="6"/>
        <v>0.73539655618359334</v>
      </c>
      <c r="K31" s="96">
        <f t="shared" si="7"/>
        <v>1</v>
      </c>
      <c r="L31" s="87">
        <f t="shared" si="8"/>
        <v>0.73539655618359334</v>
      </c>
      <c r="M31" s="696">
        <f t="shared" si="9"/>
        <v>1</v>
      </c>
      <c r="N31" s="41">
        <f>IF(InputTravel!$J$4="Baseline",D31,IF(InputTravel!$J$4="A",F31,IF(InputTravel!$J$4="B",H31,IF(InputTravel!$J$4="C",J31,IF(InputTravel!$J$4="D",L31,"")))))</f>
        <v>0.73539655618359334</v>
      </c>
      <c r="O31" s="328">
        <f>IF(InputTravel!$J$4="Baseline",E31,IF(InputTravel!$J$4="A",G31,IF(InputTravel!$J$4="B",I31,IF(InputTravel!$J$4="C",K31,IF(InputTravel!$J$4="D",M31,"")))))</f>
        <v>1</v>
      </c>
      <c r="P31" s="24"/>
      <c r="Q31" s="614"/>
      <c r="R31" s="94" t="s">
        <v>30</v>
      </c>
      <c r="S31" s="87">
        <f t="shared" si="1"/>
        <v>0.69743449595390872</v>
      </c>
      <c r="T31" s="96">
        <f t="shared" si="1"/>
        <v>1</v>
      </c>
      <c r="U31" s="87">
        <f t="shared" si="10"/>
        <v>0.69743449595390872</v>
      </c>
      <c r="V31" s="96">
        <f t="shared" si="11"/>
        <v>1</v>
      </c>
      <c r="W31" s="87">
        <f t="shared" si="12"/>
        <v>0.69743449595390872</v>
      </c>
      <c r="X31" s="96">
        <f t="shared" si="13"/>
        <v>1</v>
      </c>
      <c r="Y31" s="87">
        <f t="shared" si="14"/>
        <v>0.69743449595390872</v>
      </c>
      <c r="Z31" s="96">
        <f t="shared" si="15"/>
        <v>1</v>
      </c>
      <c r="AA31" s="87">
        <f t="shared" si="16"/>
        <v>0.69743449595390872</v>
      </c>
      <c r="AB31" s="696">
        <f t="shared" si="17"/>
        <v>1</v>
      </c>
      <c r="AC31" s="41">
        <f>IF(InputTravel!$J$4="Baseline",S31,IF(InputTravel!$J$4="A",U31,IF(InputTravel!$J$4="B",W31,IF(InputTravel!$J$4="C",Y31,IF(InputTravel!$J$4="D",AA31,"")))))</f>
        <v>0.69743449595390872</v>
      </c>
      <c r="AD31" s="41">
        <f>IF(InputTravel!$J$4="Baseline",T31,IF(InputTravel!$J$4="A",V31,IF(InputTravel!$J$4="B",X31,IF(InputTravel!$J$4="C",Z31,IF(InputTravel!$J$4="D",AB31,"")))))</f>
        <v>1</v>
      </c>
      <c r="AF31" s="102"/>
    </row>
    <row r="32" spans="1:32" x14ac:dyDescent="0.2">
      <c r="B32" s="614"/>
      <c r="C32" s="94" t="s">
        <v>31</v>
      </c>
      <c r="D32" s="87">
        <f t="shared" si="0"/>
        <v>0.63290173065606392</v>
      </c>
      <c r="E32" s="87">
        <f t="shared" si="0"/>
        <v>1.0934346459852222</v>
      </c>
      <c r="F32" s="87">
        <f t="shared" si="2"/>
        <v>0.63290173065606392</v>
      </c>
      <c r="G32" s="87">
        <f t="shared" si="3"/>
        <v>1.0934346459852222</v>
      </c>
      <c r="H32" s="87">
        <f t="shared" si="4"/>
        <v>0.63290173065606392</v>
      </c>
      <c r="I32" s="87">
        <f t="shared" si="5"/>
        <v>1.0934346459852222</v>
      </c>
      <c r="J32" s="87">
        <f t="shared" si="6"/>
        <v>0.63290173065606392</v>
      </c>
      <c r="K32" s="87">
        <f t="shared" si="7"/>
        <v>1.0934346459852222</v>
      </c>
      <c r="L32" s="87">
        <f t="shared" si="8"/>
        <v>0.63290173065606392</v>
      </c>
      <c r="M32" s="695">
        <f t="shared" si="9"/>
        <v>1.0934346459852222</v>
      </c>
      <c r="N32" s="41">
        <f>IF(InputTravel!$J$4="Baseline",D32,IF(InputTravel!$J$4="A",F32,IF(InputTravel!$J$4="B",H32,IF(InputTravel!$J$4="C",J32,IF(InputTravel!$J$4="D",L32,"")))))</f>
        <v>0.63290173065606392</v>
      </c>
      <c r="O32" s="41">
        <f>IF(InputTravel!$J$4="Baseline",E32,IF(InputTravel!$J$4="A",G32,IF(InputTravel!$J$4="B",I32,IF(InputTravel!$J$4="C",K32,IF(InputTravel!$J$4="D",M32,"")))))</f>
        <v>1.0934346459852222</v>
      </c>
      <c r="P32" s="24"/>
      <c r="Q32" s="614"/>
      <c r="R32" s="94" t="s">
        <v>31</v>
      </c>
      <c r="S32" s="87">
        <f t="shared" si="1"/>
        <v>0.61020796764142826</v>
      </c>
      <c r="T32" s="87">
        <f t="shared" si="1"/>
        <v>0.84829147302570207</v>
      </c>
      <c r="U32" s="87">
        <f t="shared" si="10"/>
        <v>0.61020796764142826</v>
      </c>
      <c r="V32" s="87">
        <f t="shared" si="11"/>
        <v>0.84829147302570207</v>
      </c>
      <c r="W32" s="87">
        <f t="shared" si="12"/>
        <v>0.61020796764142826</v>
      </c>
      <c r="X32" s="87">
        <f t="shared" si="13"/>
        <v>0.84829147302570207</v>
      </c>
      <c r="Y32" s="87">
        <f t="shared" si="14"/>
        <v>0.61020796764142826</v>
      </c>
      <c r="Z32" s="87">
        <f t="shared" si="15"/>
        <v>0.84829147302570207</v>
      </c>
      <c r="AA32" s="87">
        <f t="shared" si="16"/>
        <v>0.61020796764142826</v>
      </c>
      <c r="AB32" s="695">
        <f t="shared" si="17"/>
        <v>0.84829147302570207</v>
      </c>
      <c r="AC32" s="41">
        <f>IF(InputTravel!$J$4="Baseline",S32,IF(InputTravel!$J$4="A",U32,IF(InputTravel!$J$4="B",W32,IF(InputTravel!$J$4="C",Y32,IF(InputTravel!$J$4="D",AA32,"")))))</f>
        <v>0.61020796764142826</v>
      </c>
      <c r="AD32" s="41">
        <f>IF(InputTravel!$J$4="Baseline",T32,IF(InputTravel!$J$4="A",V32,IF(InputTravel!$J$4="B",X32,IF(InputTravel!$J$4="C",Z32,IF(InputTravel!$J$4="D",AB32,"")))))</f>
        <v>0.84829147302570207</v>
      </c>
      <c r="AF32" s="102"/>
    </row>
    <row r="33" spans="2:32" x14ac:dyDescent="0.2">
      <c r="B33" s="614"/>
      <c r="C33" s="94" t="s">
        <v>32</v>
      </c>
      <c r="D33" s="87">
        <f t="shared" si="0"/>
        <v>0.43320769038424295</v>
      </c>
      <c r="E33" s="87">
        <f t="shared" si="0"/>
        <v>0.62864440907318142</v>
      </c>
      <c r="F33" s="87">
        <f t="shared" si="2"/>
        <v>0.43320769038424295</v>
      </c>
      <c r="G33" s="87">
        <f t="shared" si="3"/>
        <v>0.62864440907318142</v>
      </c>
      <c r="H33" s="87">
        <f t="shared" si="4"/>
        <v>0.43320769038424295</v>
      </c>
      <c r="I33" s="87">
        <f t="shared" si="5"/>
        <v>0.62864440907318142</v>
      </c>
      <c r="J33" s="87">
        <f t="shared" si="6"/>
        <v>0.43320769038424295</v>
      </c>
      <c r="K33" s="87">
        <f t="shared" si="7"/>
        <v>0.62864440907318142</v>
      </c>
      <c r="L33" s="87">
        <f t="shared" si="8"/>
        <v>0.43320769038424295</v>
      </c>
      <c r="M33" s="695">
        <f t="shared" si="9"/>
        <v>0.62864440907318142</v>
      </c>
      <c r="N33" s="41">
        <f>IF(InputTravel!$J$4="Baseline",D33,IF(InputTravel!$J$4="A",F33,IF(InputTravel!$J$4="B",H33,IF(InputTravel!$J$4="C",J33,IF(InputTravel!$J$4="D",L33,"")))))</f>
        <v>0.43320769038424295</v>
      </c>
      <c r="O33" s="41">
        <f>IF(InputTravel!$J$4="Baseline",E33,IF(InputTravel!$J$4="A",G33,IF(InputTravel!$J$4="B",I33,IF(InputTravel!$J$4="C",K33,IF(InputTravel!$J$4="D",M33,"")))))</f>
        <v>0.62864440907318142</v>
      </c>
      <c r="P33" s="24"/>
      <c r="Q33" s="614"/>
      <c r="R33" s="94" t="s">
        <v>32</v>
      </c>
      <c r="S33" s="87">
        <f t="shared" si="1"/>
        <v>0.34667325053239095</v>
      </c>
      <c r="T33" s="87">
        <f t="shared" si="1"/>
        <v>0.46207558373875701</v>
      </c>
      <c r="U33" s="87">
        <f t="shared" si="10"/>
        <v>0.34667325053239095</v>
      </c>
      <c r="V33" s="87">
        <f t="shared" si="11"/>
        <v>0.46207558373875701</v>
      </c>
      <c r="W33" s="87">
        <f t="shared" si="12"/>
        <v>0.34667325053239095</v>
      </c>
      <c r="X33" s="87">
        <f t="shared" si="13"/>
        <v>0.46207558373875701</v>
      </c>
      <c r="Y33" s="87">
        <f t="shared" si="14"/>
        <v>0.34667325053239095</v>
      </c>
      <c r="Z33" s="87">
        <f t="shared" si="15"/>
        <v>0.46207558373875701</v>
      </c>
      <c r="AA33" s="87">
        <f t="shared" si="16"/>
        <v>0.34667325053239095</v>
      </c>
      <c r="AB33" s="695">
        <f t="shared" si="17"/>
        <v>0.46207558373875701</v>
      </c>
      <c r="AC33" s="41">
        <f>IF(InputTravel!$J$4="Baseline",S33,IF(InputTravel!$J$4="A",U33,IF(InputTravel!$J$4="B",W33,IF(InputTravel!$J$4="C",Y33,IF(InputTravel!$J$4="D",AA33,"")))))</f>
        <v>0.34667325053239095</v>
      </c>
      <c r="AD33" s="41">
        <f>IF(InputTravel!$J$4="Baseline",T33,IF(InputTravel!$J$4="A",V33,IF(InputTravel!$J$4="B",X33,IF(InputTravel!$J$4="C",Z33,IF(InputTravel!$J$4="D",AB33,"")))))</f>
        <v>0.46207558373875701</v>
      </c>
      <c r="AF33" s="102"/>
    </row>
    <row r="34" spans="2:32" x14ac:dyDescent="0.2">
      <c r="B34" s="614"/>
      <c r="C34" s="94" t="s">
        <v>33</v>
      </c>
      <c r="D34" s="87">
        <f t="shared" si="0"/>
        <v>0.55228351942404919</v>
      </c>
      <c r="E34" s="87">
        <f t="shared" si="0"/>
        <v>0.61938043592938763</v>
      </c>
      <c r="F34" s="87">
        <f t="shared" si="2"/>
        <v>0.55228351942404919</v>
      </c>
      <c r="G34" s="87">
        <f t="shared" si="3"/>
        <v>0.61938043592938763</v>
      </c>
      <c r="H34" s="87">
        <f t="shared" si="4"/>
        <v>0.55228351942404919</v>
      </c>
      <c r="I34" s="87">
        <f t="shared" si="5"/>
        <v>0.61938043592938763</v>
      </c>
      <c r="J34" s="87">
        <f t="shared" si="6"/>
        <v>0.55228351942404919</v>
      </c>
      <c r="K34" s="87">
        <f t="shared" si="7"/>
        <v>0.61938043592938763</v>
      </c>
      <c r="L34" s="87">
        <f t="shared" si="8"/>
        <v>0.55228351942404919</v>
      </c>
      <c r="M34" s="695">
        <f t="shared" si="9"/>
        <v>0.61938043592938763</v>
      </c>
      <c r="N34" s="41">
        <f>IF(InputTravel!$J$4="Baseline",D34,IF(InputTravel!$J$4="A",F34,IF(InputTravel!$J$4="B",H34,IF(InputTravel!$J$4="C",J34,IF(InputTravel!$J$4="D",L34,"")))))</f>
        <v>0.55228351942404919</v>
      </c>
      <c r="O34" s="41">
        <f>IF(InputTravel!$J$4="Baseline",E34,IF(InputTravel!$J$4="A",G34,IF(InputTravel!$J$4="B",I34,IF(InputTravel!$J$4="C",K34,IF(InputTravel!$J$4="D",M34,"")))))</f>
        <v>0.61938043592938763</v>
      </c>
      <c r="P34" s="24"/>
      <c r="Q34" s="614"/>
      <c r="R34" s="94" t="s">
        <v>33</v>
      </c>
      <c r="S34" s="87">
        <f t="shared" si="1"/>
        <v>0.37502206911587044</v>
      </c>
      <c r="T34" s="87">
        <f t="shared" si="1"/>
        <v>0.40100304010466736</v>
      </c>
      <c r="U34" s="87">
        <f t="shared" si="10"/>
        <v>0.37502206911587044</v>
      </c>
      <c r="V34" s="87">
        <f t="shared" si="11"/>
        <v>0.40100304010466736</v>
      </c>
      <c r="W34" s="87">
        <f t="shared" si="12"/>
        <v>0.37502206911587044</v>
      </c>
      <c r="X34" s="87">
        <f t="shared" si="13"/>
        <v>0.40100304010466736</v>
      </c>
      <c r="Y34" s="87">
        <f t="shared" si="14"/>
        <v>0.37502206911587044</v>
      </c>
      <c r="Z34" s="87">
        <f t="shared" si="15"/>
        <v>0.40100304010466736</v>
      </c>
      <c r="AA34" s="87">
        <f t="shared" si="16"/>
        <v>0.37502206911587044</v>
      </c>
      <c r="AB34" s="695">
        <f t="shared" si="17"/>
        <v>0.40100304010466736</v>
      </c>
      <c r="AC34" s="41">
        <f>IF(InputTravel!$J$4="Baseline",S34,IF(InputTravel!$J$4="A",U34,IF(InputTravel!$J$4="B",W34,IF(InputTravel!$J$4="C",Y34,IF(InputTravel!$J$4="D",AA34,"")))))</f>
        <v>0.37502206911587044</v>
      </c>
      <c r="AD34" s="41">
        <f>IF(InputTravel!$J$4="Baseline",T34,IF(InputTravel!$J$4="A",V34,IF(InputTravel!$J$4="B",X34,IF(InputTravel!$J$4="C",Z34,IF(InputTravel!$J$4="D",AB34,"")))))</f>
        <v>0.40100304010466736</v>
      </c>
      <c r="AF34" s="102"/>
    </row>
    <row r="35" spans="2:32" x14ac:dyDescent="0.2">
      <c r="B35" s="614"/>
      <c r="C35" s="94" t="s">
        <v>34</v>
      </c>
      <c r="D35" s="87">
        <f t="shared" si="0"/>
        <v>0.30408627982523373</v>
      </c>
      <c r="E35" s="87">
        <f t="shared" si="0"/>
        <v>0.44737895573459707</v>
      </c>
      <c r="F35" s="87">
        <f t="shared" si="2"/>
        <v>0.30408627982523373</v>
      </c>
      <c r="G35" s="87">
        <f t="shared" si="3"/>
        <v>0.44737895573459707</v>
      </c>
      <c r="H35" s="87">
        <f t="shared" si="4"/>
        <v>0.30408627982523373</v>
      </c>
      <c r="I35" s="87">
        <f t="shared" si="5"/>
        <v>0.44737895573459707</v>
      </c>
      <c r="J35" s="87">
        <f t="shared" si="6"/>
        <v>0.30408627982523373</v>
      </c>
      <c r="K35" s="87">
        <f t="shared" si="7"/>
        <v>0.44737895573459707</v>
      </c>
      <c r="L35" s="87">
        <f t="shared" si="8"/>
        <v>0.30408627982523373</v>
      </c>
      <c r="M35" s="695">
        <f t="shared" si="9"/>
        <v>0.44737895573459707</v>
      </c>
      <c r="N35" s="41">
        <f>IF(InputTravel!$J$4="Baseline",D35,IF(InputTravel!$J$4="A",F35,IF(InputTravel!$J$4="B",H35,IF(InputTravel!$J$4="C",J35,IF(InputTravel!$J$4="D",L35,"")))))</f>
        <v>0.30408627982523373</v>
      </c>
      <c r="O35" s="41">
        <f>IF(InputTravel!$J$4="Baseline",E35,IF(InputTravel!$J$4="A",G35,IF(InputTravel!$J$4="B",I35,IF(InputTravel!$J$4="C",K35,IF(InputTravel!$J$4="D",M35,"")))))</f>
        <v>0.44737895573459707</v>
      </c>
      <c r="P35" s="24"/>
      <c r="Q35" s="614"/>
      <c r="R35" s="94" t="s">
        <v>34</v>
      </c>
      <c r="S35" s="87">
        <f t="shared" si="1"/>
        <v>0.20024475498097025</v>
      </c>
      <c r="T35" s="87">
        <f t="shared" si="1"/>
        <v>0.238247790598686</v>
      </c>
      <c r="U35" s="87">
        <f t="shared" si="10"/>
        <v>0.20024475498097025</v>
      </c>
      <c r="V35" s="87">
        <f t="shared" si="11"/>
        <v>0.238247790598686</v>
      </c>
      <c r="W35" s="87">
        <f t="shared" si="12"/>
        <v>0.20024475498097025</v>
      </c>
      <c r="X35" s="87">
        <f t="shared" si="13"/>
        <v>0.238247790598686</v>
      </c>
      <c r="Y35" s="87">
        <f t="shared" si="14"/>
        <v>0.20024475498097025</v>
      </c>
      <c r="Z35" s="87">
        <f t="shared" si="15"/>
        <v>0.238247790598686</v>
      </c>
      <c r="AA35" s="87">
        <f t="shared" si="16"/>
        <v>0.20024475498097025</v>
      </c>
      <c r="AB35" s="695">
        <f t="shared" si="17"/>
        <v>0.238247790598686</v>
      </c>
      <c r="AC35" s="41">
        <f>IF(InputTravel!$J$4="Baseline",S35,IF(InputTravel!$J$4="A",U35,IF(InputTravel!$J$4="B",W35,IF(InputTravel!$J$4="C",Y35,IF(InputTravel!$J$4="D",AA35,"")))))</f>
        <v>0.20024475498097025</v>
      </c>
      <c r="AD35" s="41">
        <f>IF(InputTravel!$J$4="Baseline",T35,IF(InputTravel!$J$4="A",V35,IF(InputTravel!$J$4="B",X35,IF(InputTravel!$J$4="C",Z35,IF(InputTravel!$J$4="D",AB35,"")))))</f>
        <v>0.238247790598686</v>
      </c>
      <c r="AF35" s="102"/>
    </row>
    <row r="36" spans="2:32" x14ac:dyDescent="0.2">
      <c r="B36" s="614"/>
      <c r="C36" s="94" t="s">
        <v>35</v>
      </c>
      <c r="D36" s="87">
        <f t="shared" si="0"/>
        <v>0.61399357815396693</v>
      </c>
      <c r="E36" s="87">
        <f t="shared" si="0"/>
        <v>0.52539302938939492</v>
      </c>
      <c r="F36" s="87">
        <f t="shared" si="2"/>
        <v>0.61399357815396693</v>
      </c>
      <c r="G36" s="87">
        <f t="shared" si="3"/>
        <v>0.52539302938939492</v>
      </c>
      <c r="H36" s="87">
        <f t="shared" si="4"/>
        <v>0.61399357815396693</v>
      </c>
      <c r="I36" s="87">
        <f t="shared" si="5"/>
        <v>0.52539302938939492</v>
      </c>
      <c r="J36" s="87">
        <f t="shared" si="6"/>
        <v>0.61399357815396693</v>
      </c>
      <c r="K36" s="87">
        <f t="shared" si="7"/>
        <v>0.52539302938939492</v>
      </c>
      <c r="L36" s="87">
        <f t="shared" si="8"/>
        <v>0.61399357815396693</v>
      </c>
      <c r="M36" s="695">
        <f t="shared" si="9"/>
        <v>0.52539302938939492</v>
      </c>
      <c r="N36" s="41">
        <f>IF(InputTravel!$J$4="Baseline",D36,IF(InputTravel!$J$4="A",F36,IF(InputTravel!$J$4="B",H36,IF(InputTravel!$J$4="C",J36,IF(InputTravel!$J$4="D",L36,"")))))</f>
        <v>0.61399357815396693</v>
      </c>
      <c r="O36" s="41">
        <f>IF(InputTravel!$J$4="Baseline",E36,IF(InputTravel!$J$4="A",G36,IF(InputTravel!$J$4="B",I36,IF(InputTravel!$J$4="C",K36,IF(InputTravel!$J$4="D",M36,"")))))</f>
        <v>0.52539302938939492</v>
      </c>
      <c r="P36" s="24"/>
      <c r="Q36" s="614"/>
      <c r="R36" s="94" t="s">
        <v>35</v>
      </c>
      <c r="S36" s="87">
        <f t="shared" si="1"/>
        <v>0.28707008415257856</v>
      </c>
      <c r="T36" s="87">
        <f t="shared" si="1"/>
        <v>0.38396622537171893</v>
      </c>
      <c r="U36" s="87">
        <f t="shared" si="10"/>
        <v>0.28707008415257856</v>
      </c>
      <c r="V36" s="87">
        <f t="shared" si="11"/>
        <v>0.38396622537171893</v>
      </c>
      <c r="W36" s="87">
        <f t="shared" si="12"/>
        <v>0.28707008415257856</v>
      </c>
      <c r="X36" s="87">
        <f t="shared" si="13"/>
        <v>0.38396622537171893</v>
      </c>
      <c r="Y36" s="87">
        <f t="shared" si="14"/>
        <v>0.28707008415257856</v>
      </c>
      <c r="Z36" s="87">
        <f t="shared" si="15"/>
        <v>0.38396622537171893</v>
      </c>
      <c r="AA36" s="87">
        <f t="shared" si="16"/>
        <v>0.28707008415257856</v>
      </c>
      <c r="AB36" s="695">
        <f t="shared" si="17"/>
        <v>0.38396622537171893</v>
      </c>
      <c r="AC36" s="41">
        <f>IF(InputTravel!$J$4="Baseline",S36,IF(InputTravel!$J$4="A",U36,IF(InputTravel!$J$4="B",W36,IF(InputTravel!$J$4="C",Y36,IF(InputTravel!$J$4="D",AA36,"")))))</f>
        <v>0.28707008415257856</v>
      </c>
      <c r="AD36" s="41">
        <f>IF(InputTravel!$J$4="Baseline",T36,IF(InputTravel!$J$4="A",V36,IF(InputTravel!$J$4="B",X36,IF(InputTravel!$J$4="C",Z36,IF(InputTravel!$J$4="D",AB36,"")))))</f>
        <v>0.38396622537171893</v>
      </c>
      <c r="AF36" s="102"/>
    </row>
    <row r="37" spans="2:32" x14ac:dyDescent="0.2">
      <c r="B37" s="394"/>
      <c r="C37" s="391"/>
      <c r="D37" s="395"/>
      <c r="E37" s="395"/>
      <c r="F37" s="395"/>
      <c r="G37" s="584"/>
      <c r="H37" s="584"/>
      <c r="I37" s="584"/>
      <c r="J37" s="584"/>
      <c r="K37" s="584"/>
      <c r="L37" s="584"/>
      <c r="M37" s="699"/>
      <c r="N37" s="392"/>
      <c r="O37" s="393"/>
      <c r="P37" s="24"/>
      <c r="Q37" s="91"/>
      <c r="R37" s="94"/>
      <c r="S37" s="87"/>
      <c r="T37" s="87"/>
      <c r="U37" s="583"/>
      <c r="V37" s="583"/>
      <c r="W37" s="583"/>
      <c r="X37" s="583"/>
      <c r="Y37" s="583"/>
      <c r="Z37" s="583"/>
      <c r="AA37" s="583"/>
      <c r="AB37" s="697"/>
      <c r="AC37" s="41"/>
      <c r="AD37" s="41"/>
      <c r="AF37" s="42"/>
    </row>
    <row r="38" spans="2:32" ht="12.75" customHeight="1" x14ac:dyDescent="0.2">
      <c r="B38" s="614" t="s">
        <v>61</v>
      </c>
      <c r="C38" s="94" t="s">
        <v>6</v>
      </c>
      <c r="D38" s="89">
        <f t="shared" ref="D38:E45" si="18">D15/$E$17</f>
        <v>0.24082955855864754</v>
      </c>
      <c r="E38" s="89">
        <f t="shared" si="18"/>
        <v>1.5535027699118202</v>
      </c>
      <c r="F38" s="87">
        <f>D38</f>
        <v>0.24082955855864754</v>
      </c>
      <c r="G38" s="87">
        <f>E38</f>
        <v>1.5535027699118202</v>
      </c>
      <c r="H38" s="87">
        <f>D38</f>
        <v>0.24082955855864754</v>
      </c>
      <c r="I38" s="87">
        <f>E38</f>
        <v>1.5535027699118202</v>
      </c>
      <c r="J38" s="87">
        <f>D38</f>
        <v>0.24082955855864754</v>
      </c>
      <c r="K38" s="87">
        <f>E38</f>
        <v>1.5535027699118202</v>
      </c>
      <c r="L38" s="87">
        <f>D38</f>
        <v>0.24082955855864754</v>
      </c>
      <c r="M38" s="695">
        <f>E38</f>
        <v>1.5535027699118202</v>
      </c>
      <c r="N38" s="41">
        <f>IF(InputTravel!$J$4="Baseline",D38,IF(InputTravel!$J$4="A",F38,IF(InputTravel!$J$4="B",H38,IF(InputTravel!$J$4="C",J38,IF(InputTravel!$J$4="D",L38,"")))))</f>
        <v>0.24082955855864754</v>
      </c>
      <c r="O38" s="41">
        <f>IF(InputTravel!$J$4="Baseline",E38,IF(InputTravel!$J$4="A",G38,IF(InputTravel!$J$4="B",I38,IF(InputTravel!$J$4="C",K38,IF(InputTravel!$J$4="D",M38,"")))))</f>
        <v>1.5535027699118202</v>
      </c>
      <c r="P38" s="24"/>
      <c r="Q38" s="614" t="s">
        <v>228</v>
      </c>
      <c r="R38" s="94" t="s">
        <v>6</v>
      </c>
      <c r="S38" s="89">
        <f t="shared" ref="S38:T45" si="19">S15/$T$17</f>
        <v>0.14287233563721177</v>
      </c>
      <c r="T38" s="89">
        <f t="shared" si="19"/>
        <v>0.89072851809547682</v>
      </c>
      <c r="U38" s="87">
        <f>S38</f>
        <v>0.14287233563721177</v>
      </c>
      <c r="V38" s="87">
        <f>T38</f>
        <v>0.89072851809547682</v>
      </c>
      <c r="W38" s="87">
        <f>S38</f>
        <v>0.14287233563721177</v>
      </c>
      <c r="X38" s="87">
        <f>T38</f>
        <v>0.89072851809547682</v>
      </c>
      <c r="Y38" s="87">
        <f>S38</f>
        <v>0.14287233563721177</v>
      </c>
      <c r="Z38" s="87">
        <f>T38</f>
        <v>0.89072851809547682</v>
      </c>
      <c r="AA38" s="87">
        <f>S38</f>
        <v>0.14287233563721177</v>
      </c>
      <c r="AB38" s="695">
        <f>T38</f>
        <v>0.89072851809547682</v>
      </c>
      <c r="AC38" s="41">
        <f>IF(InputTravel!$J$4="Baseline",S38,IF(InputTravel!$J$4="A",U38,IF(InputTravel!$J$4="B",W38,IF(InputTravel!$J$4="C",Y38,IF(InputTravel!$J$4="D",AA38,"")))))</f>
        <v>0.14287233563721177</v>
      </c>
      <c r="AD38" s="41">
        <v>0.89072851809547682</v>
      </c>
      <c r="AF38" s="102"/>
    </row>
    <row r="39" spans="2:32" x14ac:dyDescent="0.2">
      <c r="B39" s="614"/>
      <c r="C39" s="94" t="s">
        <v>53</v>
      </c>
      <c r="D39" s="89">
        <f t="shared" si="18"/>
        <v>4.6300177019618589</v>
      </c>
      <c r="E39" s="89">
        <f t="shared" si="18"/>
        <v>2.1702480915035403</v>
      </c>
      <c r="F39" s="87">
        <f t="shared" ref="F39:F45" si="20">D39</f>
        <v>4.6300177019618589</v>
      </c>
      <c r="G39" s="87">
        <f t="shared" ref="G39:G45" si="21">E39</f>
        <v>2.1702480915035403</v>
      </c>
      <c r="H39" s="87">
        <f t="shared" ref="H39:H45" si="22">D39</f>
        <v>4.6300177019618589</v>
      </c>
      <c r="I39" s="87">
        <f t="shared" ref="I39:I45" si="23">E39</f>
        <v>2.1702480915035403</v>
      </c>
      <c r="J39" s="87">
        <f t="shared" ref="J39:J45" si="24">D39</f>
        <v>4.6300177019618589</v>
      </c>
      <c r="K39" s="87">
        <f t="shared" ref="K39:K45" si="25">E39</f>
        <v>2.1702480915035403</v>
      </c>
      <c r="L39" s="87">
        <f t="shared" ref="L39:L45" si="26">D39</f>
        <v>4.6300177019618589</v>
      </c>
      <c r="M39" s="695">
        <f t="shared" ref="M39:M45" si="27">E39</f>
        <v>2.1702480915035403</v>
      </c>
      <c r="N39" s="41">
        <f>IF(InputTravel!$J$4="Baseline",D39,IF(InputTravel!$J$4="A",F39,IF(InputTravel!$J$4="B",H39,IF(InputTravel!$J$4="C",J39,IF(InputTravel!$J$4="D",L39,"")))))</f>
        <v>4.6300177019618589</v>
      </c>
      <c r="O39" s="41">
        <f>IF(InputTravel!$J$4="Baseline",E39,IF(InputTravel!$J$4="A",G39,IF(InputTravel!$J$4="B",I39,IF(InputTravel!$J$4="C",K39,IF(InputTravel!$J$4="D",M39,"")))))</f>
        <v>2.1702480915035403</v>
      </c>
      <c r="P39" s="24"/>
      <c r="Q39" s="614"/>
      <c r="R39" s="94" t="s">
        <v>53</v>
      </c>
      <c r="S39" s="89">
        <f t="shared" si="19"/>
        <v>4.1056758192350893</v>
      </c>
      <c r="T39" s="89">
        <f t="shared" si="19"/>
        <v>0.62920512676133533</v>
      </c>
      <c r="U39" s="87">
        <f t="shared" ref="U39:U45" si="28">S39</f>
        <v>4.1056758192350893</v>
      </c>
      <c r="V39" s="87">
        <f t="shared" ref="V39:V45" si="29">T39</f>
        <v>0.62920512676133533</v>
      </c>
      <c r="W39" s="87">
        <f t="shared" ref="W39:W45" si="30">S39</f>
        <v>4.1056758192350893</v>
      </c>
      <c r="X39" s="87">
        <f t="shared" ref="X39:X45" si="31">T39</f>
        <v>0.62920512676133533</v>
      </c>
      <c r="Y39" s="87">
        <f t="shared" ref="Y39:Y45" si="32">S39</f>
        <v>4.1056758192350893</v>
      </c>
      <c r="Z39" s="87">
        <f t="shared" ref="Z39:Z45" si="33">T39</f>
        <v>0.62920512676133533</v>
      </c>
      <c r="AA39" s="87">
        <f t="shared" ref="AA39:AA45" si="34">S39</f>
        <v>4.1056758192350893</v>
      </c>
      <c r="AB39" s="695">
        <f t="shared" ref="AB39:AB45" si="35">T39</f>
        <v>0.62920512676133533</v>
      </c>
      <c r="AC39" s="41">
        <f>IF(InputTravel!$J$4="Baseline",S39,IF(InputTravel!$J$4="A",U39,IF(InputTravel!$J$4="B",W39,IF(InputTravel!$J$4="C",Y39,IF(InputTravel!$J$4="D",AA39,"")))))</f>
        <v>4.1056758192350893</v>
      </c>
      <c r="AD39" s="41">
        <v>0.62920512676133533</v>
      </c>
      <c r="AF39" s="102"/>
    </row>
    <row r="40" spans="2:32" x14ac:dyDescent="0.2">
      <c r="B40" s="614"/>
      <c r="C40" s="94" t="s">
        <v>30</v>
      </c>
      <c r="D40" s="89">
        <f t="shared" si="18"/>
        <v>4.2572172845957521</v>
      </c>
      <c r="E40" s="97">
        <f t="shared" si="18"/>
        <v>1</v>
      </c>
      <c r="F40" s="87">
        <f t="shared" si="20"/>
        <v>4.2572172845957521</v>
      </c>
      <c r="G40" s="96">
        <f t="shared" si="21"/>
        <v>1</v>
      </c>
      <c r="H40" s="87">
        <f t="shared" si="22"/>
        <v>4.2572172845957521</v>
      </c>
      <c r="I40" s="96">
        <f t="shared" si="23"/>
        <v>1</v>
      </c>
      <c r="J40" s="87">
        <f t="shared" si="24"/>
        <v>4.2572172845957521</v>
      </c>
      <c r="K40" s="96">
        <f t="shared" si="25"/>
        <v>1</v>
      </c>
      <c r="L40" s="87">
        <f t="shared" si="26"/>
        <v>4.2572172845957521</v>
      </c>
      <c r="M40" s="696">
        <f t="shared" si="27"/>
        <v>1</v>
      </c>
      <c r="N40" s="41">
        <f>IF(InputTravel!$J$4="Baseline",D40,IF(InputTravel!$J$4="A",F40,IF(InputTravel!$J$4="B",H40,IF(InputTravel!$J$4="C",J40,IF(InputTravel!$J$4="D",L40,"")))))</f>
        <v>4.2572172845957521</v>
      </c>
      <c r="O40" s="328">
        <f>IF(InputTravel!$J$4="Baseline",E40,IF(InputTravel!$J$4="A",G40,IF(InputTravel!$J$4="B",I40,IF(InputTravel!$J$4="C",K40,IF(InputTravel!$J$4="D",M40,"")))))</f>
        <v>1</v>
      </c>
      <c r="P40" s="24"/>
      <c r="Q40" s="614"/>
      <c r="R40" s="94" t="s">
        <v>30</v>
      </c>
      <c r="S40" s="89">
        <f t="shared" si="19"/>
        <v>3.9945006441280286</v>
      </c>
      <c r="T40" s="97">
        <f t="shared" si="19"/>
        <v>1</v>
      </c>
      <c r="U40" s="87">
        <f t="shared" si="28"/>
        <v>3.9945006441280286</v>
      </c>
      <c r="V40" s="96">
        <f t="shared" si="29"/>
        <v>1</v>
      </c>
      <c r="W40" s="87">
        <f t="shared" si="30"/>
        <v>3.9945006441280286</v>
      </c>
      <c r="X40" s="96">
        <f t="shared" si="31"/>
        <v>1</v>
      </c>
      <c r="Y40" s="87">
        <f t="shared" si="32"/>
        <v>3.9945006441280286</v>
      </c>
      <c r="Z40" s="96">
        <f t="shared" si="33"/>
        <v>1</v>
      </c>
      <c r="AA40" s="87">
        <f t="shared" si="34"/>
        <v>3.9945006441280286</v>
      </c>
      <c r="AB40" s="696">
        <f t="shared" si="35"/>
        <v>1</v>
      </c>
      <c r="AC40" s="41">
        <f>IF(InputTravel!$J$4="Baseline",S40,IF(InputTravel!$J$4="A",U40,IF(InputTravel!$J$4="B",W40,IF(InputTravel!$J$4="C",Y40,IF(InputTravel!$J$4="D",AA40,"")))))</f>
        <v>3.9945006441280286</v>
      </c>
      <c r="AD40" s="41">
        <v>1</v>
      </c>
      <c r="AF40" s="102"/>
    </row>
    <row r="41" spans="2:32" x14ac:dyDescent="0.2">
      <c r="B41" s="614"/>
      <c r="C41" s="94" t="s">
        <v>31</v>
      </c>
      <c r="D41" s="89">
        <f t="shared" si="18"/>
        <v>3.619264903178347</v>
      </c>
      <c r="E41" s="89">
        <f t="shared" si="18"/>
        <v>0.77780071464373512</v>
      </c>
      <c r="F41" s="87">
        <f t="shared" si="20"/>
        <v>3.619264903178347</v>
      </c>
      <c r="G41" s="87">
        <f t="shared" si="21"/>
        <v>0.77780071464373512</v>
      </c>
      <c r="H41" s="87">
        <f t="shared" si="22"/>
        <v>3.619264903178347</v>
      </c>
      <c r="I41" s="87">
        <f t="shared" si="23"/>
        <v>0.77780071464373512</v>
      </c>
      <c r="J41" s="87">
        <f t="shared" si="24"/>
        <v>3.619264903178347</v>
      </c>
      <c r="K41" s="87">
        <f t="shared" si="25"/>
        <v>0.77780071464373512</v>
      </c>
      <c r="L41" s="87">
        <f t="shared" si="26"/>
        <v>3.619264903178347</v>
      </c>
      <c r="M41" s="695">
        <f t="shared" si="27"/>
        <v>0.77780071464373512</v>
      </c>
      <c r="N41" s="41">
        <f>IF(InputTravel!$J$4="Baseline",D41,IF(InputTravel!$J$4="A",F41,IF(InputTravel!$J$4="B",H41,IF(InputTravel!$J$4="C",J41,IF(InputTravel!$J$4="D",L41,"")))))</f>
        <v>3.619264903178347</v>
      </c>
      <c r="O41" s="41">
        <f>IF(InputTravel!$J$4="Baseline",E41,IF(InputTravel!$J$4="A",G41,IF(InputTravel!$J$4="B",I41,IF(InputTravel!$J$4="C",K41,IF(InputTravel!$J$4="D",M41,"")))))</f>
        <v>0.77780071464373512</v>
      </c>
      <c r="P41" s="24"/>
      <c r="Q41" s="614"/>
      <c r="R41" s="94" t="s">
        <v>31</v>
      </c>
      <c r="S41" s="89">
        <f t="shared" si="19"/>
        <v>3.4731171119276643</v>
      </c>
      <c r="T41" s="89">
        <f t="shared" si="19"/>
        <v>0.67214222576642479</v>
      </c>
      <c r="U41" s="87">
        <f t="shared" si="28"/>
        <v>3.4731171119276643</v>
      </c>
      <c r="V41" s="87">
        <f t="shared" si="29"/>
        <v>0.67214222576642479</v>
      </c>
      <c r="W41" s="87">
        <f t="shared" si="30"/>
        <v>3.4731171119276643</v>
      </c>
      <c r="X41" s="87">
        <f t="shared" si="31"/>
        <v>0.67214222576642479</v>
      </c>
      <c r="Y41" s="87">
        <f t="shared" si="32"/>
        <v>3.4731171119276643</v>
      </c>
      <c r="Z41" s="87">
        <f t="shared" si="33"/>
        <v>0.67214222576642479</v>
      </c>
      <c r="AA41" s="87">
        <f t="shared" si="34"/>
        <v>3.4731171119276643</v>
      </c>
      <c r="AB41" s="695">
        <f t="shared" si="35"/>
        <v>0.67214222576642479</v>
      </c>
      <c r="AC41" s="41">
        <f>IF(InputTravel!$J$4="Baseline",S41,IF(InputTravel!$J$4="A",U41,IF(InputTravel!$J$4="B",W41,IF(InputTravel!$J$4="C",Y41,IF(InputTravel!$J$4="D",AA41,"")))))</f>
        <v>3.4731171119276643</v>
      </c>
      <c r="AD41" s="41">
        <v>0.67214222576642479</v>
      </c>
      <c r="AF41" s="102"/>
    </row>
    <row r="42" spans="2:32" x14ac:dyDescent="0.2">
      <c r="B42" s="614"/>
      <c r="C42" s="94" t="s">
        <v>32</v>
      </c>
      <c r="D42" s="89">
        <f t="shared" si="18"/>
        <v>4.0335264093771777</v>
      </c>
      <c r="E42" s="89">
        <f t="shared" si="18"/>
        <v>1.571589463272435</v>
      </c>
      <c r="F42" s="87">
        <f t="shared" si="20"/>
        <v>4.0335264093771777</v>
      </c>
      <c r="G42" s="87">
        <f t="shared" si="21"/>
        <v>1.571589463272435</v>
      </c>
      <c r="H42" s="87">
        <f t="shared" si="22"/>
        <v>4.0335264093771777</v>
      </c>
      <c r="I42" s="87">
        <f t="shared" si="23"/>
        <v>1.571589463272435</v>
      </c>
      <c r="J42" s="87">
        <f t="shared" si="24"/>
        <v>4.0335264093771777</v>
      </c>
      <c r="K42" s="87">
        <f t="shared" si="25"/>
        <v>1.571589463272435</v>
      </c>
      <c r="L42" s="87">
        <f t="shared" si="26"/>
        <v>4.0335264093771777</v>
      </c>
      <c r="M42" s="695">
        <f t="shared" si="27"/>
        <v>1.571589463272435</v>
      </c>
      <c r="N42" s="41">
        <f>IF(InputTravel!$J$4="Baseline",D42,IF(InputTravel!$J$4="A",F42,IF(InputTravel!$J$4="B",H42,IF(InputTravel!$J$4="C",J42,IF(InputTravel!$J$4="D",L42,"")))))</f>
        <v>4.0335264093771777</v>
      </c>
      <c r="O42" s="41">
        <f>IF(InputTravel!$J$4="Baseline",E42,IF(InputTravel!$J$4="A",G42,IF(InputTravel!$J$4="B",I42,IF(InputTravel!$J$4="C",K42,IF(InputTravel!$J$4="D",M42,"")))))</f>
        <v>1.571589463272435</v>
      </c>
      <c r="P42" s="24"/>
      <c r="Q42" s="614"/>
      <c r="R42" s="94" t="s">
        <v>32</v>
      </c>
      <c r="S42" s="89">
        <f t="shared" si="19"/>
        <v>4.0058255728618546</v>
      </c>
      <c r="T42" s="89">
        <f t="shared" si="19"/>
        <v>1.5500717598094129</v>
      </c>
      <c r="U42" s="87">
        <f t="shared" si="28"/>
        <v>4.0058255728618546</v>
      </c>
      <c r="V42" s="87">
        <f t="shared" si="29"/>
        <v>1.5500717598094129</v>
      </c>
      <c r="W42" s="87">
        <f t="shared" si="30"/>
        <v>4.0058255728618546</v>
      </c>
      <c r="X42" s="87">
        <f t="shared" si="31"/>
        <v>1.5500717598094129</v>
      </c>
      <c r="Y42" s="87">
        <f t="shared" si="32"/>
        <v>4.0058255728618546</v>
      </c>
      <c r="Z42" s="87">
        <f t="shared" si="33"/>
        <v>1.5500717598094129</v>
      </c>
      <c r="AA42" s="87">
        <f t="shared" si="34"/>
        <v>4.0058255728618546</v>
      </c>
      <c r="AB42" s="695">
        <f t="shared" si="35"/>
        <v>1.5500717598094129</v>
      </c>
      <c r="AC42" s="41">
        <f>IF(InputTravel!$J$4="Baseline",S42,IF(InputTravel!$J$4="A",U42,IF(InputTravel!$J$4="B",W42,IF(InputTravel!$J$4="C",Y42,IF(InputTravel!$J$4="D",AA42,"")))))</f>
        <v>4.0058255728618546</v>
      </c>
      <c r="AD42" s="41">
        <v>1.5500717598094129</v>
      </c>
      <c r="AF42" s="102"/>
    </row>
    <row r="43" spans="2:32" x14ac:dyDescent="0.2">
      <c r="B43" s="614"/>
      <c r="C43" s="94" t="s">
        <v>33</v>
      </c>
      <c r="D43" s="89">
        <f t="shared" si="18"/>
        <v>2.7003475790656961</v>
      </c>
      <c r="E43" s="89">
        <f t="shared" si="18"/>
        <v>0.34795950341788229</v>
      </c>
      <c r="F43" s="87">
        <f t="shared" si="20"/>
        <v>2.7003475790656961</v>
      </c>
      <c r="G43" s="87">
        <f t="shared" si="21"/>
        <v>0.34795950341788229</v>
      </c>
      <c r="H43" s="87">
        <f t="shared" si="22"/>
        <v>2.7003475790656961</v>
      </c>
      <c r="I43" s="87">
        <f t="shared" si="23"/>
        <v>0.34795950341788229</v>
      </c>
      <c r="J43" s="87">
        <f t="shared" si="24"/>
        <v>2.7003475790656961</v>
      </c>
      <c r="K43" s="87">
        <f t="shared" si="25"/>
        <v>0.34795950341788229</v>
      </c>
      <c r="L43" s="87">
        <f t="shared" si="26"/>
        <v>2.7003475790656961</v>
      </c>
      <c r="M43" s="695">
        <f t="shared" si="27"/>
        <v>0.34795950341788229</v>
      </c>
      <c r="N43" s="41">
        <f>IF(InputTravel!$J$4="Baseline",D43,IF(InputTravel!$J$4="A",F43,IF(InputTravel!$J$4="B",H43,IF(InputTravel!$J$4="C",J43,IF(InputTravel!$J$4="D",L43,"")))))</f>
        <v>2.7003475790656961</v>
      </c>
      <c r="O43" s="41">
        <f>IF(InputTravel!$J$4="Baseline",E43,IF(InputTravel!$J$4="A",G43,IF(InputTravel!$J$4="B",I43,IF(InputTravel!$J$4="C",K43,IF(InputTravel!$J$4="D",M43,"")))))</f>
        <v>0.34795950341788229</v>
      </c>
      <c r="P43" s="24"/>
      <c r="Q43" s="614"/>
      <c r="R43" s="94" t="s">
        <v>33</v>
      </c>
      <c r="S43" s="89">
        <f t="shared" si="19"/>
        <v>4.1656647025461622</v>
      </c>
      <c r="T43" s="89">
        <f t="shared" si="19"/>
        <v>0.56704662893085733</v>
      </c>
      <c r="U43" s="87">
        <f t="shared" si="28"/>
        <v>4.1656647025461622</v>
      </c>
      <c r="V43" s="87">
        <f t="shared" si="29"/>
        <v>0.56704662893085733</v>
      </c>
      <c r="W43" s="87">
        <f t="shared" si="30"/>
        <v>4.1656647025461622</v>
      </c>
      <c r="X43" s="87">
        <f t="shared" si="31"/>
        <v>0.56704662893085733</v>
      </c>
      <c r="Y43" s="87">
        <f t="shared" si="32"/>
        <v>4.1656647025461622</v>
      </c>
      <c r="Z43" s="87">
        <f t="shared" si="33"/>
        <v>0.56704662893085733</v>
      </c>
      <c r="AA43" s="87">
        <f t="shared" si="34"/>
        <v>4.1656647025461622</v>
      </c>
      <c r="AB43" s="695">
        <f t="shared" si="35"/>
        <v>0.56704662893085733</v>
      </c>
      <c r="AC43" s="41">
        <f>IF(InputTravel!$J$4="Baseline",S43,IF(InputTravel!$J$4="A",U43,IF(InputTravel!$J$4="B",W43,IF(InputTravel!$J$4="C",Y43,IF(InputTravel!$J$4="D",AA43,"")))))</f>
        <v>4.1656647025461622</v>
      </c>
      <c r="AD43" s="41">
        <v>0.56704662893085733</v>
      </c>
      <c r="AF43" s="102"/>
    </row>
    <row r="44" spans="2:32" x14ac:dyDescent="0.2">
      <c r="B44" s="614"/>
      <c r="C44" s="94" t="s">
        <v>34</v>
      </c>
      <c r="D44" s="89">
        <f t="shared" si="18"/>
        <v>1.6209065204740101</v>
      </c>
      <c r="E44" s="89">
        <f t="shared" si="18"/>
        <v>0</v>
      </c>
      <c r="F44" s="87">
        <f t="shared" si="20"/>
        <v>1.6209065204740101</v>
      </c>
      <c r="G44" s="87">
        <f t="shared" si="21"/>
        <v>0</v>
      </c>
      <c r="H44" s="87">
        <f t="shared" si="22"/>
        <v>1.6209065204740101</v>
      </c>
      <c r="I44" s="87">
        <f t="shared" si="23"/>
        <v>0</v>
      </c>
      <c r="J44" s="87">
        <f t="shared" si="24"/>
        <v>1.6209065204740101</v>
      </c>
      <c r="K44" s="87">
        <f t="shared" si="25"/>
        <v>0</v>
      </c>
      <c r="L44" s="87">
        <f t="shared" si="26"/>
        <v>1.6209065204740101</v>
      </c>
      <c r="M44" s="695">
        <f t="shared" si="27"/>
        <v>0</v>
      </c>
      <c r="N44" s="41">
        <f>IF(InputTravel!$J$4="Baseline",D44,IF(InputTravel!$J$4="A",F44,IF(InputTravel!$J$4="B",H44,IF(InputTravel!$J$4="C",J44,IF(InputTravel!$J$4="D",L44,"")))))</f>
        <v>1.6209065204740101</v>
      </c>
      <c r="O44" s="41">
        <f>IF(InputTravel!$J$4="Baseline",E44,IF(InputTravel!$J$4="A",G44,IF(InputTravel!$J$4="B",I44,IF(InputTravel!$J$4="C",K44,IF(InputTravel!$J$4="D",M44,"")))))</f>
        <v>0</v>
      </c>
      <c r="P44" s="24"/>
      <c r="Q44" s="614"/>
      <c r="R44" s="94" t="s">
        <v>34</v>
      </c>
      <c r="S44" s="89">
        <f t="shared" si="19"/>
        <v>2.2498891746588798</v>
      </c>
      <c r="T44" s="89">
        <f t="shared" si="19"/>
        <v>0</v>
      </c>
      <c r="U44" s="87">
        <f t="shared" si="28"/>
        <v>2.2498891746588798</v>
      </c>
      <c r="V44" s="87">
        <f t="shared" si="29"/>
        <v>0</v>
      </c>
      <c r="W44" s="87">
        <f t="shared" si="30"/>
        <v>2.2498891746588798</v>
      </c>
      <c r="X44" s="87">
        <f t="shared" si="31"/>
        <v>0</v>
      </c>
      <c r="Y44" s="87">
        <f t="shared" si="32"/>
        <v>2.2498891746588798</v>
      </c>
      <c r="Z44" s="87">
        <f t="shared" si="33"/>
        <v>0</v>
      </c>
      <c r="AA44" s="87">
        <f t="shared" si="34"/>
        <v>2.2498891746588798</v>
      </c>
      <c r="AB44" s="695">
        <f t="shared" si="35"/>
        <v>0</v>
      </c>
      <c r="AC44" s="312">
        <f>IF(InputTravel!$J$4="Baseline",S44,IF(InputTravel!$J$4="A",U44,IF(InputTravel!$J$4="B",W44,IF(InputTravel!$J$4="C",Y44,IF(InputTravel!$J$4="D",AA44,"")))))</f>
        <v>2.2498891746588798</v>
      </c>
      <c r="AD44" s="312">
        <v>0</v>
      </c>
      <c r="AF44" s="102"/>
    </row>
    <row r="45" spans="2:32" x14ac:dyDescent="0.2">
      <c r="B45" s="616"/>
      <c r="C45" s="585" t="s">
        <v>35</v>
      </c>
      <c r="D45" s="691">
        <f t="shared" si="18"/>
        <v>0.19906232193167198</v>
      </c>
      <c r="E45" s="692">
        <f t="shared" si="18"/>
        <v>0</v>
      </c>
      <c r="F45" s="693">
        <f t="shared" si="20"/>
        <v>0.19906232193167198</v>
      </c>
      <c r="G45" s="693">
        <f t="shared" si="21"/>
        <v>0</v>
      </c>
      <c r="H45" s="693">
        <f t="shared" si="22"/>
        <v>0.19906232193167198</v>
      </c>
      <c r="I45" s="693">
        <f t="shared" si="23"/>
        <v>0</v>
      </c>
      <c r="J45" s="693">
        <f t="shared" si="24"/>
        <v>0.19906232193167198</v>
      </c>
      <c r="K45" s="693">
        <f t="shared" si="25"/>
        <v>0</v>
      </c>
      <c r="L45" s="693">
        <f t="shared" si="26"/>
        <v>0.19906232193167198</v>
      </c>
      <c r="M45" s="698">
        <f t="shared" si="27"/>
        <v>0</v>
      </c>
      <c r="N45" s="313">
        <f>IF(InputTravel!$J$4="Baseline",D45,IF(InputTravel!$J$4="A",F45,IF(InputTravel!$J$4="B",H45,IF(InputTravel!$J$4="C",J45,IF(InputTravel!$J$4="D",L45,"")))))</f>
        <v>0.19906232193167198</v>
      </c>
      <c r="O45" s="313">
        <f>IF(InputTravel!$J$4="Baseline",E45,IF(InputTravel!$J$4="A",G45,IF(InputTravel!$J$4="B",I45,IF(InputTravel!$J$4="C",K45,IF(InputTravel!$J$4="D",M45,"")))))</f>
        <v>0</v>
      </c>
      <c r="P45" s="24"/>
      <c r="Q45" s="616"/>
      <c r="R45" s="585" t="s">
        <v>35</v>
      </c>
      <c r="S45" s="691">
        <f t="shared" si="19"/>
        <v>0.1373937576569885</v>
      </c>
      <c r="T45" s="692">
        <f t="shared" si="19"/>
        <v>0</v>
      </c>
      <c r="U45" s="693">
        <f t="shared" si="28"/>
        <v>0.1373937576569885</v>
      </c>
      <c r="V45" s="693">
        <f t="shared" si="29"/>
        <v>0</v>
      </c>
      <c r="W45" s="693">
        <f t="shared" si="30"/>
        <v>0.1373937576569885</v>
      </c>
      <c r="X45" s="693">
        <f t="shared" si="31"/>
        <v>0</v>
      </c>
      <c r="Y45" s="693">
        <f t="shared" si="32"/>
        <v>0.1373937576569885</v>
      </c>
      <c r="Z45" s="693">
        <f t="shared" si="33"/>
        <v>0</v>
      </c>
      <c r="AA45" s="693">
        <f t="shared" si="34"/>
        <v>0.1373937576569885</v>
      </c>
      <c r="AB45" s="698">
        <f t="shared" si="35"/>
        <v>0</v>
      </c>
      <c r="AC45" s="313">
        <f>IF(InputTravel!$J$4="Baseline",S45,IF(InputTravel!$J$4="A",U45,IF(InputTravel!$J$4="B",W45,IF(InputTravel!$J$4="C",Y45,IF(InputTravel!$J$4="D",AA45,"")))))</f>
        <v>0.1373937576569885</v>
      </c>
      <c r="AD45" s="313">
        <v>0</v>
      </c>
      <c r="AF45" s="102"/>
    </row>
    <row r="51" spans="4:5" x14ac:dyDescent="0.2">
      <c r="D51" s="23"/>
      <c r="E51" s="23"/>
    </row>
  </sheetData>
  <mergeCells count="36">
    <mergeCell ref="B38:B45"/>
    <mergeCell ref="D27:E27"/>
    <mergeCell ref="J27:K27"/>
    <mergeCell ref="L27:M27"/>
    <mergeCell ref="B6:B13"/>
    <mergeCell ref="B15:B22"/>
    <mergeCell ref="H27:I27"/>
    <mergeCell ref="AA27:AB27"/>
    <mergeCell ref="AC27:AD27"/>
    <mergeCell ref="B29:B36"/>
    <mergeCell ref="C4:C5"/>
    <mergeCell ref="C27:C28"/>
    <mergeCell ref="R4:R5"/>
    <mergeCell ref="S4:T4"/>
    <mergeCell ref="D4:E4"/>
    <mergeCell ref="F4:G4"/>
    <mergeCell ref="H4:I4"/>
    <mergeCell ref="J4:K4"/>
    <mergeCell ref="L4:M4"/>
    <mergeCell ref="N27:O27"/>
    <mergeCell ref="AA4:AB4"/>
    <mergeCell ref="AC4:AD4"/>
    <mergeCell ref="F27:G27"/>
    <mergeCell ref="Q29:Q36"/>
    <mergeCell ref="N4:O4"/>
    <mergeCell ref="Q38:Q45"/>
    <mergeCell ref="Y4:Z4"/>
    <mergeCell ref="Q6:Q13"/>
    <mergeCell ref="Q15:Q22"/>
    <mergeCell ref="R27:R28"/>
    <mergeCell ref="S27:T27"/>
    <mergeCell ref="U27:V27"/>
    <mergeCell ref="W27:X27"/>
    <mergeCell ref="Y27:Z27"/>
    <mergeCell ref="W4:X4"/>
    <mergeCell ref="U4:V4"/>
  </mergeCells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3" tint="-0.249977111117893"/>
  </sheetPr>
  <dimension ref="A2:AT65"/>
  <sheetViews>
    <sheetView showGridLines="0" zoomScaleNormal="100" workbookViewId="0"/>
  </sheetViews>
  <sheetFormatPr defaultColWidth="9.140625" defaultRowHeight="12.75" x14ac:dyDescent="0.2"/>
  <cols>
    <col min="1" max="1" width="3.42578125" style="28" customWidth="1"/>
    <col min="2" max="2" width="11" style="28" customWidth="1"/>
    <col min="3" max="3" width="9.85546875" style="28" customWidth="1"/>
    <col min="4" max="4" width="7.140625" style="28" customWidth="1"/>
    <col min="5" max="5" width="7.42578125" style="105" customWidth="1"/>
    <col min="6" max="6" width="8.7109375" style="105" customWidth="1"/>
    <col min="7" max="7" width="5.28515625" style="105" customWidth="1"/>
    <col min="8" max="8" width="6" style="105" customWidth="1"/>
    <col min="9" max="9" width="7.140625" style="27" customWidth="1"/>
    <col min="10" max="11" width="6.85546875" style="105" customWidth="1"/>
    <col min="12" max="12" width="6.28515625" style="105" customWidth="1"/>
    <col min="13" max="13" width="6.7109375" style="105" customWidth="1"/>
    <col min="14" max="14" width="6.7109375" style="28" customWidth="1"/>
    <col min="15" max="16" width="8.7109375" style="28" customWidth="1"/>
    <col min="17" max="17" width="7.42578125" style="28" customWidth="1"/>
    <col min="18" max="18" width="7.140625" style="28" customWidth="1"/>
    <col min="19" max="19" width="6.7109375" style="28" customWidth="1"/>
    <col min="20" max="22" width="7.7109375" style="28" customWidth="1"/>
    <col min="23" max="23" width="6.140625" style="28" customWidth="1"/>
    <col min="24" max="24" width="5.42578125" style="28" customWidth="1"/>
    <col min="25" max="25" width="6.7109375" style="28" customWidth="1"/>
    <col min="26" max="27" width="7.5703125" style="28" customWidth="1"/>
    <col min="28" max="28" width="5.28515625" style="28" customWidth="1"/>
    <col min="29" max="29" width="5.85546875" style="28" customWidth="1"/>
    <col min="30" max="30" width="7.28515625" style="28" customWidth="1"/>
    <col min="31" max="31" width="5.28515625" style="28" customWidth="1"/>
    <col min="32" max="32" width="7.85546875" style="28" customWidth="1"/>
    <col min="33" max="33" width="5.28515625" style="28" customWidth="1"/>
    <col min="34" max="35" width="7.28515625" style="28" customWidth="1"/>
    <col min="36" max="36" width="6.42578125" style="28" customWidth="1"/>
    <col min="37" max="37" width="7" style="28" customWidth="1"/>
    <col min="38" max="39" width="6.5703125" style="28" customWidth="1"/>
    <col min="40" max="40" width="9" style="28" customWidth="1"/>
    <col min="41" max="41" width="6.28515625" style="28" customWidth="1"/>
    <col min="42" max="50" width="5.28515625" style="28" customWidth="1"/>
    <col min="51" max="16384" width="9.140625" style="28"/>
  </cols>
  <sheetData>
    <row r="2" spans="2:46" x14ac:dyDescent="0.2">
      <c r="B2" s="106" t="s">
        <v>116</v>
      </c>
    </row>
    <row r="3" spans="2:46" x14ac:dyDescent="0.2">
      <c r="B3" s="106"/>
    </row>
    <row r="4" spans="2:46" x14ac:dyDescent="0.2">
      <c r="B4" s="109" t="s">
        <v>105</v>
      </c>
    </row>
    <row r="5" spans="2:46" x14ac:dyDescent="0.2">
      <c r="B5" s="107" t="s">
        <v>106</v>
      </c>
      <c r="G5" s="146">
        <f>InputTravel!D5*7</f>
        <v>49.154273184050027</v>
      </c>
    </row>
    <row r="6" spans="2:46" x14ac:dyDescent="0.2">
      <c r="B6" s="107" t="s">
        <v>107</v>
      </c>
      <c r="G6" s="146">
        <f>InputTravel!D6*7</f>
        <v>15.001043807076785</v>
      </c>
    </row>
    <row r="7" spans="2:46" x14ac:dyDescent="0.2">
      <c r="B7" s="107" t="s">
        <v>108</v>
      </c>
      <c r="G7" s="146">
        <f>G5+G6</f>
        <v>64.15531699112681</v>
      </c>
    </row>
    <row r="8" spans="2:46" x14ac:dyDescent="0.2">
      <c r="B8" s="107" t="s">
        <v>109</v>
      </c>
      <c r="G8" s="147">
        <f>InputTravel!D11</f>
        <v>1.8492175109279758</v>
      </c>
    </row>
    <row r="9" spans="2:46" x14ac:dyDescent="0.2">
      <c r="B9" s="107" t="s">
        <v>110</v>
      </c>
      <c r="G9" s="147">
        <f>InputTravel!D9*7</f>
        <v>2.016</v>
      </c>
    </row>
    <row r="10" spans="2:46" x14ac:dyDescent="0.2">
      <c r="B10" s="107" t="s">
        <v>111</v>
      </c>
      <c r="G10" s="147">
        <f>InputTravel!D10*7</f>
        <v>1.3720000000000001</v>
      </c>
    </row>
    <row r="11" spans="2:46" x14ac:dyDescent="0.2">
      <c r="B11" s="107" t="s">
        <v>112</v>
      </c>
      <c r="G11" s="147">
        <f>G9+G10</f>
        <v>3.3879999999999999</v>
      </c>
    </row>
    <row r="12" spans="2:46" x14ac:dyDescent="0.2">
      <c r="B12" s="131"/>
      <c r="C12" s="108"/>
      <c r="D12" s="108"/>
      <c r="AQ12" s="108"/>
      <c r="AR12" s="108"/>
      <c r="AS12" s="108"/>
      <c r="AT12" s="108"/>
    </row>
    <row r="13" spans="2:46" x14ac:dyDescent="0.2">
      <c r="B13" s="645"/>
      <c r="C13" s="645"/>
      <c r="D13" s="645"/>
      <c r="E13" s="637" t="s">
        <v>125</v>
      </c>
      <c r="F13" s="638"/>
      <c r="G13" s="638"/>
      <c r="H13" s="638"/>
      <c r="I13" s="638"/>
      <c r="J13" s="638"/>
      <c r="K13" s="638"/>
      <c r="L13" s="638"/>
      <c r="M13" s="638"/>
      <c r="N13" s="638"/>
      <c r="O13" s="638"/>
      <c r="P13" s="638"/>
      <c r="Q13" s="638"/>
      <c r="R13" s="638"/>
      <c r="S13" s="637" t="s">
        <v>126</v>
      </c>
      <c r="T13" s="638"/>
      <c r="U13" s="638"/>
      <c r="V13" s="638"/>
      <c r="W13" s="638"/>
      <c r="X13" s="638"/>
      <c r="Y13" s="638"/>
      <c r="Z13" s="638"/>
      <c r="AA13" s="638"/>
      <c r="AB13" s="638"/>
      <c r="AC13" s="638"/>
      <c r="AD13" s="639"/>
      <c r="AE13" s="651" t="s">
        <v>127</v>
      </c>
      <c r="AF13" s="651"/>
      <c r="AG13" s="651"/>
      <c r="AH13" s="652"/>
      <c r="AI13" s="638" t="s">
        <v>229</v>
      </c>
      <c r="AJ13" s="638"/>
      <c r="AK13" s="638"/>
      <c r="AL13" s="639"/>
      <c r="AM13" s="645"/>
      <c r="AN13" s="645"/>
      <c r="AO13" s="645"/>
      <c r="AP13" s="645"/>
    </row>
    <row r="14" spans="2:46" s="113" customFormat="1" ht="13.15" customHeight="1" x14ac:dyDescent="0.2">
      <c r="B14" s="157"/>
      <c r="C14" s="157"/>
      <c r="D14" s="158"/>
      <c r="E14" s="640" t="s">
        <v>42</v>
      </c>
      <c r="F14" s="640"/>
      <c r="G14" s="640"/>
      <c r="H14" s="640"/>
      <c r="I14" s="640"/>
      <c r="J14" s="641"/>
      <c r="K14" s="635" t="s">
        <v>43</v>
      </c>
      <c r="L14" s="635"/>
      <c r="M14" s="635"/>
      <c r="N14" s="635"/>
      <c r="O14" s="635"/>
      <c r="P14" s="635"/>
      <c r="Q14" s="635"/>
      <c r="R14" s="636"/>
      <c r="S14" s="642" t="s">
        <v>117</v>
      </c>
      <c r="T14" s="643"/>
      <c r="U14" s="643"/>
      <c r="V14" s="643"/>
      <c r="W14" s="643"/>
      <c r="X14" s="644"/>
      <c r="Y14" s="622" t="s">
        <v>43</v>
      </c>
      <c r="Z14" s="622"/>
      <c r="AA14" s="622"/>
      <c r="AB14" s="622"/>
      <c r="AC14" s="622"/>
      <c r="AD14" s="634"/>
      <c r="AE14" s="648" t="s">
        <v>117</v>
      </c>
      <c r="AF14" s="648"/>
      <c r="AG14" s="649" t="s">
        <v>43</v>
      </c>
      <c r="AH14" s="650"/>
      <c r="AI14" s="29" t="s">
        <v>44</v>
      </c>
      <c r="AJ14" s="137"/>
      <c r="AK14" s="29" t="s">
        <v>44</v>
      </c>
      <c r="AL14" s="135">
        <v>6</v>
      </c>
      <c r="AM14" s="40"/>
      <c r="AN14" s="40"/>
      <c r="AO14" s="40"/>
      <c r="AP14" s="40"/>
    </row>
    <row r="15" spans="2:46" ht="13.15" customHeight="1" x14ac:dyDescent="0.2">
      <c r="B15" s="635"/>
      <c r="C15" s="635"/>
      <c r="D15" s="636"/>
      <c r="E15" s="622" t="s">
        <v>45</v>
      </c>
      <c r="F15" s="622"/>
      <c r="G15" s="622" t="s">
        <v>46</v>
      </c>
      <c r="H15" s="622"/>
      <c r="I15" s="622" t="s">
        <v>47</v>
      </c>
      <c r="J15" s="634"/>
      <c r="K15" s="622" t="s">
        <v>48</v>
      </c>
      <c r="L15" s="622"/>
      <c r="M15" s="622" t="s">
        <v>46</v>
      </c>
      <c r="N15" s="622"/>
      <c r="O15" s="622" t="s">
        <v>49</v>
      </c>
      <c r="P15" s="622"/>
      <c r="Q15" s="622" t="s">
        <v>50</v>
      </c>
      <c r="R15" s="634"/>
      <c r="S15" s="622" t="s">
        <v>103</v>
      </c>
      <c r="T15" s="622"/>
      <c r="U15" s="622" t="s">
        <v>46</v>
      </c>
      <c r="V15" s="622"/>
      <c r="W15" s="622" t="s">
        <v>49</v>
      </c>
      <c r="X15" s="634" t="s">
        <v>51</v>
      </c>
      <c r="Y15" s="622" t="s">
        <v>104</v>
      </c>
      <c r="Z15" s="622"/>
      <c r="AA15" s="622" t="s">
        <v>52</v>
      </c>
      <c r="AB15" s="622"/>
      <c r="AC15" s="622" t="s">
        <v>49</v>
      </c>
      <c r="AD15" s="634"/>
      <c r="AH15" s="134"/>
      <c r="AI15" s="622" t="s">
        <v>42</v>
      </c>
      <c r="AJ15" s="622"/>
      <c r="AK15" s="622" t="s">
        <v>43</v>
      </c>
      <c r="AL15" s="634"/>
      <c r="AM15" s="622"/>
      <c r="AN15" s="622"/>
      <c r="AO15" s="622"/>
      <c r="AP15" s="622"/>
    </row>
    <row r="16" spans="2:46" ht="13.15" customHeight="1" x14ac:dyDescent="0.2">
      <c r="B16" s="27" t="s">
        <v>0</v>
      </c>
      <c r="C16" s="27" t="s">
        <v>39</v>
      </c>
      <c r="D16" s="99" t="s">
        <v>40</v>
      </c>
      <c r="E16" s="29" t="s">
        <v>39</v>
      </c>
      <c r="F16" s="29" t="s">
        <v>40</v>
      </c>
      <c r="G16" s="29" t="s">
        <v>39</v>
      </c>
      <c r="H16" s="29" t="s">
        <v>40</v>
      </c>
      <c r="I16" s="29" t="s">
        <v>39</v>
      </c>
      <c r="J16" s="124" t="s">
        <v>40</v>
      </c>
      <c r="K16" s="29" t="s">
        <v>39</v>
      </c>
      <c r="L16" s="29" t="s">
        <v>40</v>
      </c>
      <c r="M16" s="29" t="s">
        <v>39</v>
      </c>
      <c r="N16" s="29" t="s">
        <v>40</v>
      </c>
      <c r="O16" s="29" t="s">
        <v>39</v>
      </c>
      <c r="P16" s="29" t="s">
        <v>40</v>
      </c>
      <c r="Q16" s="29" t="s">
        <v>39</v>
      </c>
      <c r="R16" s="124" t="s">
        <v>40</v>
      </c>
      <c r="S16" s="29" t="s">
        <v>39</v>
      </c>
      <c r="T16" s="29" t="s">
        <v>40</v>
      </c>
      <c r="U16" s="29" t="s">
        <v>39</v>
      </c>
      <c r="V16" s="29" t="s">
        <v>40</v>
      </c>
      <c r="W16" s="29" t="s">
        <v>39</v>
      </c>
      <c r="X16" s="124" t="s">
        <v>40</v>
      </c>
      <c r="Y16" s="29" t="s">
        <v>39</v>
      </c>
      <c r="Z16" s="29" t="s">
        <v>40</v>
      </c>
      <c r="AA16" s="29" t="s">
        <v>39</v>
      </c>
      <c r="AB16" s="29" t="s">
        <v>40</v>
      </c>
      <c r="AC16" s="29" t="s">
        <v>39</v>
      </c>
      <c r="AD16" s="124" t="s">
        <v>40</v>
      </c>
      <c r="AE16" s="45" t="s">
        <v>39</v>
      </c>
      <c r="AF16" s="132" t="s">
        <v>40</v>
      </c>
      <c r="AG16" s="132" t="s">
        <v>39</v>
      </c>
      <c r="AH16" s="133" t="s">
        <v>40</v>
      </c>
      <c r="AI16" s="29" t="s">
        <v>39</v>
      </c>
      <c r="AJ16" s="29" t="s">
        <v>40</v>
      </c>
      <c r="AK16" s="29" t="s">
        <v>39</v>
      </c>
      <c r="AL16" s="124" t="s">
        <v>40</v>
      </c>
      <c r="AM16" s="29"/>
      <c r="AN16" s="29"/>
      <c r="AO16" s="29"/>
      <c r="AP16" s="29"/>
    </row>
    <row r="17" spans="1:44" ht="13.15" customHeight="1" x14ac:dyDescent="0.2">
      <c r="B17" s="27" t="s">
        <v>6</v>
      </c>
      <c r="C17" s="518">
        <f>IF(GBDUS!$J$4=1,InputPopulationDeaths!E119,InputPopulationDeaths!F119)</f>
        <v>4.1382126927830616E-2</v>
      </c>
      <c r="D17" s="519">
        <f>IF(GBDUS!$J$4=1,InputPopulationDeaths!E127,InputPopulationDeaths!F127)</f>
        <v>4.3501531517007898E-2</v>
      </c>
      <c r="E17" s="146">
        <f>'Active transport'!D29</f>
        <v>1.2442611397300452</v>
      </c>
      <c r="F17" s="146">
        <f>'Active transport'!E29</f>
        <v>1.1848333278731662</v>
      </c>
      <c r="G17" s="34">
        <f t="shared" ref="G17:H24" si="0">E17*C17</f>
        <v>5.1490172415675911E-2</v>
      </c>
      <c r="H17" s="34">
        <f t="shared" si="0"/>
        <v>5.1542064354875891E-2</v>
      </c>
      <c r="I17" s="30">
        <f t="shared" ref="I17:J24" si="1">G17/($G$25+$H$25)*$G$5/C17</f>
        <v>74.673984332067278</v>
      </c>
      <c r="J17" s="116">
        <f t="shared" si="1"/>
        <v>71.107440822999394</v>
      </c>
      <c r="K17" s="146">
        <f>'Active transport'!D38</f>
        <v>0.24082955855864754</v>
      </c>
      <c r="L17" s="146">
        <f>'Active transport'!E38</f>
        <v>1.5535027699118202</v>
      </c>
      <c r="M17" s="34">
        <f t="shared" ref="M17:N24" si="2">K17*C17</f>
        <v>9.9660393602473696E-3</v>
      </c>
      <c r="N17" s="34">
        <f t="shared" si="2"/>
        <v>6.7579749707078113E-2</v>
      </c>
      <c r="O17" s="34">
        <f t="shared" ref="O17:P24" si="3">M17/($M$25+$N$25)*$G$6/C17</f>
        <v>1.5581440402149134</v>
      </c>
      <c r="P17" s="34">
        <f t="shared" si="3"/>
        <v>10.051013243069145</v>
      </c>
      <c r="Q17" s="145">
        <f t="shared" ref="Q17:R24" si="4">O17/(I17+O17)</f>
        <v>2.0439466580359188E-2</v>
      </c>
      <c r="R17" s="148">
        <f t="shared" si="4"/>
        <v>0.12384431614341657</v>
      </c>
      <c r="S17" s="146">
        <f>'Active transport'!S29</f>
        <v>0.72201244280125276</v>
      </c>
      <c r="T17" s="146">
        <f>'Active transport'!T29</f>
        <v>1.3676594491885232</v>
      </c>
      <c r="U17" s="110">
        <f t="shared" ref="U17:V24" si="5">S17*C17</f>
        <v>2.9878410551474485E-2</v>
      </c>
      <c r="V17" s="110">
        <f t="shared" si="5"/>
        <v>5.9495280633408205E-2</v>
      </c>
      <c r="W17" s="136">
        <f>U17/($U$25+$V$25)*$G$9/C17</f>
        <v>2.0607550199199163</v>
      </c>
      <c r="X17" s="139">
        <f>V17/($U$25+$V$25)*$G$9/D17</f>
        <v>3.9035491750271354</v>
      </c>
      <c r="Y17" s="146">
        <f>'Active transport'!S38</f>
        <v>0.14287233563721177</v>
      </c>
      <c r="Z17" s="146">
        <f>'Active transport'!T38</f>
        <v>0.89072851809547682</v>
      </c>
      <c r="AA17" s="110">
        <f t="shared" ref="AA17:AB24" si="6">Y17*C17</f>
        <v>5.9123611278147151E-3</v>
      </c>
      <c r="AB17" s="110">
        <f t="shared" si="6"/>
        <v>3.8748054703028126E-2</v>
      </c>
      <c r="AC17" s="110">
        <f>AA17/($AA$25+$AB$25)*$G$10/C17</f>
        <v>9.1840234218122624E-2</v>
      </c>
      <c r="AD17" s="138">
        <f>AB17/($AA$25+$AB$25)*$G$10/D17</f>
        <v>0.57257211735078162</v>
      </c>
      <c r="AE17" s="289">
        <f>W17/(I17/60)</f>
        <v>1.6558015793741159</v>
      </c>
      <c r="AF17" s="289">
        <f>X17/(J17/60)</f>
        <v>3.293789620197848</v>
      </c>
      <c r="AG17" s="289">
        <f t="shared" ref="AG17:AH24" si="7">AC17/(O17/60)</f>
        <v>3.5365241664867586</v>
      </c>
      <c r="AH17" s="290">
        <f t="shared" si="7"/>
        <v>3.417996396008784</v>
      </c>
      <c r="AI17" s="30">
        <f>MAX(2.5,1.2216*AE17+0.0838)</f>
        <v>2.5</v>
      </c>
      <c r="AJ17" s="30">
        <f>MAX(2.5,1.2216*AF17+0.0838)</f>
        <v>4.1074934000336913</v>
      </c>
      <c r="AK17" s="29">
        <f t="shared" ref="AK17:AL24" si="8">$AL$14</f>
        <v>6</v>
      </c>
      <c r="AL17" s="124">
        <f t="shared" si="8"/>
        <v>6</v>
      </c>
      <c r="AM17" s="34"/>
      <c r="AN17" s="34"/>
      <c r="AO17" s="34"/>
      <c r="AP17" s="34"/>
    </row>
    <row r="18" spans="1:44" ht="13.15" customHeight="1" x14ac:dyDescent="0.2">
      <c r="B18" s="27" t="s">
        <v>53</v>
      </c>
      <c r="C18" s="518">
        <f>IF(GBDUS!$J$4=1,InputPopulationDeaths!E120,InputPopulationDeaths!F120)</f>
        <v>7.9354075984738565E-2</v>
      </c>
      <c r="D18" s="519">
        <f>IF(GBDUS!$J$4=1,InputPopulationDeaths!E128,InputPopulationDeaths!F128)</f>
        <v>8.2340802837336774E-2</v>
      </c>
      <c r="E18" s="146">
        <f>'Active transport'!D30</f>
        <v>1.0466576906809824</v>
      </c>
      <c r="F18" s="146">
        <f>'Active transport'!E30</f>
        <v>1.0631385253359023</v>
      </c>
      <c r="G18" s="34">
        <f t="shared" si="0"/>
        <v>8.3056553916309672E-2</v>
      </c>
      <c r="H18" s="34">
        <f t="shared" si="0"/>
        <v>8.7539679703460493E-2</v>
      </c>
      <c r="I18" s="30">
        <f t="shared" si="1"/>
        <v>62.814868598971586</v>
      </c>
      <c r="J18" s="116">
        <f t="shared" si="1"/>
        <v>63.803961281772793</v>
      </c>
      <c r="K18" s="146">
        <f>'Active transport'!D39</f>
        <v>4.6300177019618589</v>
      </c>
      <c r="L18" s="146">
        <f>'Active transport'!E39</f>
        <v>2.1702480915035403</v>
      </c>
      <c r="M18" s="34">
        <f t="shared" si="2"/>
        <v>0.36741077653216597</v>
      </c>
      <c r="N18" s="34">
        <f t="shared" si="2"/>
        <v>0.17869997021059941</v>
      </c>
      <c r="O18" s="34">
        <f t="shared" si="3"/>
        <v>29.955768434648309</v>
      </c>
      <c r="P18" s="34">
        <f t="shared" si="3"/>
        <v>14.041296051043267</v>
      </c>
      <c r="Q18" s="145">
        <f t="shared" si="4"/>
        <v>0.32290139846503801</v>
      </c>
      <c r="R18" s="148">
        <f t="shared" si="4"/>
        <v>0.18037445738038671</v>
      </c>
      <c r="S18" s="146">
        <f>'Active transport'!S30</f>
        <v>1.0579246064363828</v>
      </c>
      <c r="T18" s="146">
        <f>'Active transport'!T30</f>
        <v>0.82771406236415135</v>
      </c>
      <c r="U18" s="110">
        <f t="shared" si="5"/>
        <v>8.3950629605277355E-2</v>
      </c>
      <c r="V18" s="110">
        <f t="shared" si="5"/>
        <v>6.8154640414817655E-2</v>
      </c>
      <c r="W18" s="136">
        <f t="shared" ref="W18:W24" si="9">U18/($U$25+$V$25)*$G$9/C18</f>
        <v>3.0195095183570082</v>
      </c>
      <c r="X18" s="139">
        <f t="shared" ref="X18:X24" si="10">V18/($U$25+$V$25)*$G$9/D18</f>
        <v>2.3624466947652887</v>
      </c>
      <c r="Y18" s="146">
        <f>'Active transport'!S39</f>
        <v>4.1056758192350893</v>
      </c>
      <c r="Z18" s="146">
        <f>'Active transport'!T39</f>
        <v>0.62920512676133533</v>
      </c>
      <c r="AA18" s="110">
        <f t="shared" si="6"/>
        <v>0.32580211092828504</v>
      </c>
      <c r="AB18" s="110">
        <f t="shared" si="6"/>
        <v>5.1809255286896602E-2</v>
      </c>
      <c r="AC18" s="110">
        <f t="shared" ref="AC18:AC24" si="11">AA18/($AA$25+$AB$25)*$G$10/C18</f>
        <v>2.6391829263552995</v>
      </c>
      <c r="AD18" s="138">
        <f t="shared" ref="AD18:AD24" si="12">AB18/($AA$25+$AB$25)*$G$10/D18</f>
        <v>0.40446140923837354</v>
      </c>
      <c r="AE18" s="289">
        <f t="shared" ref="AE18:AE24" si="13">W18/(I18/60)</f>
        <v>2.8841988392599558</v>
      </c>
      <c r="AF18" s="289">
        <f t="shared" ref="AF18:AF24" si="14">X18/(J18/60)</f>
        <v>2.2215987665707968</v>
      </c>
      <c r="AG18" s="289">
        <f t="shared" si="7"/>
        <v>5.2861596899701455</v>
      </c>
      <c r="AH18" s="290">
        <f t="shared" si="7"/>
        <v>1.7283080184396031</v>
      </c>
      <c r="AI18" s="429">
        <f t="shared" ref="AI18:AI24" si="15">MAX(2.5,1.2216*AE18+0.0838)</f>
        <v>3.6071373020399622</v>
      </c>
      <c r="AJ18" s="429">
        <f t="shared" ref="AJ18:AJ24" si="16">MAX(2.5,1.2216*AF18+0.0838)</f>
        <v>2.7977050532428853</v>
      </c>
      <c r="AK18" s="29">
        <f t="shared" si="8"/>
        <v>6</v>
      </c>
      <c r="AL18" s="124">
        <f t="shared" si="8"/>
        <v>6</v>
      </c>
      <c r="AM18" s="34"/>
      <c r="AN18" s="34"/>
      <c r="AO18" s="34"/>
      <c r="AP18" s="34"/>
    </row>
    <row r="19" spans="1:44" ht="13.15" customHeight="1" x14ac:dyDescent="0.2">
      <c r="B19" s="27" t="s">
        <v>30</v>
      </c>
      <c r="C19" s="518">
        <f>IF(GBDUS!$J$4=1,InputPopulationDeaths!E121,InputPopulationDeaths!F121)</f>
        <v>0.11863184480627653</v>
      </c>
      <c r="D19" s="519">
        <f>IF(GBDUS!$J$4=1,InputPopulationDeaths!E129,InputPopulationDeaths!F129)</f>
        <v>0.12543392981890483</v>
      </c>
      <c r="E19" s="146">
        <f>'Active transport'!D31</f>
        <v>0.73539655618359334</v>
      </c>
      <c r="F19" s="146">
        <f>'Active transport'!E31</f>
        <v>1</v>
      </c>
      <c r="G19" s="34">
        <f t="shared" si="0"/>
        <v>8.7241450124242267E-2</v>
      </c>
      <c r="H19" s="34">
        <f t="shared" si="0"/>
        <v>0.12543392981890483</v>
      </c>
      <c r="I19" s="30">
        <f t="shared" si="1"/>
        <v>44.134618659089725</v>
      </c>
      <c r="J19" s="116">
        <f t="shared" si="1"/>
        <v>60.014720340995737</v>
      </c>
      <c r="K19" s="146">
        <f>'Active transport'!D40</f>
        <v>4.2572172845957521</v>
      </c>
      <c r="L19" s="146">
        <f>'Active transport'!E40</f>
        <v>1</v>
      </c>
      <c r="M19" s="34">
        <f t="shared" si="2"/>
        <v>0.50504154021276126</v>
      </c>
      <c r="N19" s="34">
        <f t="shared" si="2"/>
        <v>0.12543392981890483</v>
      </c>
      <c r="O19" s="34">
        <f t="shared" si="3"/>
        <v>27.543785653194284</v>
      </c>
      <c r="P19" s="34">
        <f t="shared" si="3"/>
        <v>6.4699036511146097</v>
      </c>
      <c r="Q19" s="145">
        <f t="shared" si="4"/>
        <v>0.38426895684219242</v>
      </c>
      <c r="R19" s="148">
        <f t="shared" si="4"/>
        <v>9.7314285057585437E-2</v>
      </c>
      <c r="S19" s="146">
        <f>'Active transport'!S31</f>
        <v>0.69743449595390872</v>
      </c>
      <c r="T19" s="146">
        <f>'Active transport'!T31</f>
        <v>1</v>
      </c>
      <c r="U19" s="110">
        <f t="shared" si="5"/>
        <v>8.2737940886547803E-2</v>
      </c>
      <c r="V19" s="110">
        <f t="shared" si="5"/>
        <v>0.12543392981890483</v>
      </c>
      <c r="W19" s="136">
        <f t="shared" si="9"/>
        <v>1.9906050829624851</v>
      </c>
      <c r="X19" s="139">
        <f t="shared" si="10"/>
        <v>2.8541821411340651</v>
      </c>
      <c r="Y19" s="146">
        <f>'Active transport'!S40</f>
        <v>3.9945006441280286</v>
      </c>
      <c r="Z19" s="146">
        <f>'Active transport'!T40</f>
        <v>1</v>
      </c>
      <c r="AA19" s="110">
        <f t="shared" si="6"/>
        <v>0.47387498049276794</v>
      </c>
      <c r="AB19" s="110">
        <f t="shared" si="6"/>
        <v>0.12543392981890483</v>
      </c>
      <c r="AC19" s="110">
        <f t="shared" si="11"/>
        <v>2.5677180477590689</v>
      </c>
      <c r="AD19" s="138">
        <f t="shared" si="12"/>
        <v>0.6428132766816923</v>
      </c>
      <c r="AE19" s="289">
        <f t="shared" si="13"/>
        <v>2.7061818727904803</v>
      </c>
      <c r="AF19" s="289">
        <f t="shared" si="14"/>
        <v>2.8534820706489792</v>
      </c>
      <c r="AG19" s="289">
        <f t="shared" si="7"/>
        <v>5.5933880986935893</v>
      </c>
      <c r="AH19" s="290">
        <f t="shared" si="7"/>
        <v>5.9612628998357744</v>
      </c>
      <c r="AI19" s="429">
        <f t="shared" si="15"/>
        <v>3.389671775800851</v>
      </c>
      <c r="AJ19" s="429">
        <f t="shared" si="16"/>
        <v>3.569613697504793</v>
      </c>
      <c r="AK19" s="29">
        <f t="shared" si="8"/>
        <v>6</v>
      </c>
      <c r="AL19" s="124">
        <f t="shared" si="8"/>
        <v>6</v>
      </c>
      <c r="AM19" s="34"/>
      <c r="AN19" s="34"/>
      <c r="AO19" s="34"/>
      <c r="AP19" s="34"/>
    </row>
    <row r="20" spans="1:44" ht="13.15" customHeight="1" x14ac:dyDescent="0.2">
      <c r="B20" s="27" t="s">
        <v>31</v>
      </c>
      <c r="C20" s="518">
        <f>IF(GBDUS!$J$4=1,InputPopulationDeaths!E122,InputPopulationDeaths!F122)</f>
        <v>9.3628889247138483E-2</v>
      </c>
      <c r="D20" s="519">
        <f>IF(GBDUS!$J$4=1,InputPopulationDeaths!E130,InputPopulationDeaths!F130)</f>
        <v>9.6174969100972646E-2</v>
      </c>
      <c r="E20" s="146">
        <f>'Active transport'!D32</f>
        <v>0.63290173065606392</v>
      </c>
      <c r="F20" s="146">
        <f>'Active transport'!E32</f>
        <v>1.0934346459852222</v>
      </c>
      <c r="G20" s="34">
        <f t="shared" si="0"/>
        <v>5.9257886043918878E-2</v>
      </c>
      <c r="H20" s="34">
        <f t="shared" si="0"/>
        <v>0.10516104329156171</v>
      </c>
      <c r="I20" s="30">
        <f t="shared" si="1"/>
        <v>37.983420368655892</v>
      </c>
      <c r="J20" s="116">
        <f t="shared" si="1"/>
        <v>65.622174489958795</v>
      </c>
      <c r="K20" s="146">
        <f>'Active transport'!D41</f>
        <v>3.619264903178347</v>
      </c>
      <c r="L20" s="146">
        <f>'Active transport'!E41</f>
        <v>0.77780071464373512</v>
      </c>
      <c r="M20" s="34">
        <f t="shared" si="2"/>
        <v>0.33886775277574083</v>
      </c>
      <c r="N20" s="34">
        <f t="shared" si="2"/>
        <v>7.4804959697575668E-2</v>
      </c>
      <c r="O20" s="34">
        <f t="shared" si="3"/>
        <v>23.416295211424551</v>
      </c>
      <c r="P20" s="34">
        <f t="shared" si="3"/>
        <v>5.0322956835130555</v>
      </c>
      <c r="Q20" s="145">
        <f t="shared" si="4"/>
        <v>0.38137465280085703</v>
      </c>
      <c r="R20" s="148">
        <f t="shared" si="4"/>
        <v>7.1224024059025448E-2</v>
      </c>
      <c r="S20" s="146">
        <f>'Active transport'!S32</f>
        <v>0.61020796764142826</v>
      </c>
      <c r="T20" s="146">
        <f>'Active transport'!T32</f>
        <v>0.84829147302570207</v>
      </c>
      <c r="U20" s="110">
        <f t="shared" si="5"/>
        <v>5.7133094220020747E-2</v>
      </c>
      <c r="V20" s="110">
        <f t="shared" si="5"/>
        <v>8.1584406206865467E-2</v>
      </c>
      <c r="W20" s="136">
        <f t="shared" si="9"/>
        <v>1.741644683619878</v>
      </c>
      <c r="X20" s="139">
        <f t="shared" si="10"/>
        <v>2.4211783727862684</v>
      </c>
      <c r="Y20" s="146">
        <f>'Active transport'!S41</f>
        <v>3.4731171119276643</v>
      </c>
      <c r="Z20" s="146">
        <f>'Active transport'!T41</f>
        <v>0.67214222576642479</v>
      </c>
      <c r="AA20" s="110">
        <f t="shared" si="6"/>
        <v>0.32518409741501675</v>
      </c>
      <c r="AB20" s="110">
        <f t="shared" si="6"/>
        <v>6.4643257794544884E-2</v>
      </c>
      <c r="AC20" s="110">
        <f t="shared" si="11"/>
        <v>2.2325657910174779</v>
      </c>
      <c r="AD20" s="138">
        <f t="shared" si="12"/>
        <v>0.43206194654104135</v>
      </c>
      <c r="AE20" s="289">
        <f t="shared" si="13"/>
        <v>2.7511656402440661</v>
      </c>
      <c r="AF20" s="289">
        <f t="shared" si="14"/>
        <v>2.2137441115945458</v>
      </c>
      <c r="AG20" s="289">
        <f t="shared" si="7"/>
        <v>5.7205440165314458</v>
      </c>
      <c r="AH20" s="290">
        <f t="shared" si="7"/>
        <v>5.1514693139742302</v>
      </c>
      <c r="AI20" s="429">
        <f t="shared" si="15"/>
        <v>3.4446239461221513</v>
      </c>
      <c r="AJ20" s="429">
        <f t="shared" si="16"/>
        <v>2.7881098067238974</v>
      </c>
      <c r="AK20" s="29">
        <f t="shared" si="8"/>
        <v>6</v>
      </c>
      <c r="AL20" s="124">
        <f t="shared" si="8"/>
        <v>6</v>
      </c>
      <c r="AM20" s="34"/>
      <c r="AN20" s="34"/>
      <c r="AO20" s="34"/>
      <c r="AP20" s="34"/>
    </row>
    <row r="21" spans="1:44" ht="13.15" customHeight="1" x14ac:dyDescent="0.2">
      <c r="B21" s="27" t="s">
        <v>32</v>
      </c>
      <c r="C21" s="518">
        <f>IF(GBDUS!$J$4=1,InputPopulationDeaths!E123,InputPopulationDeaths!F123)</f>
        <v>8.8875275404374232E-2</v>
      </c>
      <c r="D21" s="519">
        <f>IF(GBDUS!$J$4=1,InputPopulationDeaths!E131,InputPopulationDeaths!F131)</f>
        <v>8.7339459401364936E-2</v>
      </c>
      <c r="E21" s="146">
        <f>'Active transport'!D33</f>
        <v>0.43320769038424295</v>
      </c>
      <c r="F21" s="146">
        <f>'Active transport'!E33</f>
        <v>0.62864440907318142</v>
      </c>
      <c r="G21" s="34">
        <f t="shared" si="0"/>
        <v>3.8501452790192472E-2</v>
      </c>
      <c r="H21" s="34">
        <f t="shared" si="0"/>
        <v>5.4905462844142182E-2</v>
      </c>
      <c r="I21" s="30">
        <f t="shared" si="1"/>
        <v>25.99883838797901</v>
      </c>
      <c r="J21" s="116">
        <f t="shared" si="1"/>
        <v>37.727918404457519</v>
      </c>
      <c r="K21" s="146">
        <f>'Active transport'!D42</f>
        <v>4.0335264093771777</v>
      </c>
      <c r="L21" s="146">
        <f>'Active transport'!E42</f>
        <v>1.571589463272435</v>
      </c>
      <c r="M21" s="34">
        <f t="shared" si="2"/>
        <v>0.3584807704842134</v>
      </c>
      <c r="N21" s="34">
        <f t="shared" si="2"/>
        <v>0.13726177412309573</v>
      </c>
      <c r="O21" s="34">
        <f t="shared" si="3"/>
        <v>26.096527242896602</v>
      </c>
      <c r="P21" s="34">
        <f t="shared" si="3"/>
        <v>10.168032406479577</v>
      </c>
      <c r="Q21" s="145">
        <f t="shared" si="4"/>
        <v>0.50093759640358193</v>
      </c>
      <c r="R21" s="148">
        <f t="shared" si="4"/>
        <v>0.21229419678119629</v>
      </c>
      <c r="S21" s="146">
        <f>'Active transport'!S33</f>
        <v>0.34667325053239095</v>
      </c>
      <c r="T21" s="146">
        <f>'Active transport'!T33</f>
        <v>0.46207558373875701</v>
      </c>
      <c r="U21" s="110">
        <f t="shared" si="5"/>
        <v>3.0810680616395872E-2</v>
      </c>
      <c r="V21" s="110">
        <f t="shared" si="5"/>
        <v>4.0357431686313172E-2</v>
      </c>
      <c r="W21" s="136">
        <f t="shared" si="9"/>
        <v>0.98946860047844576</v>
      </c>
      <c r="X21" s="139">
        <f t="shared" si="10"/>
        <v>1.3188478789612588</v>
      </c>
      <c r="Y21" s="146">
        <f>'Active transport'!S42</f>
        <v>4.0058255728618546</v>
      </c>
      <c r="Z21" s="146">
        <f>'Active transport'!T42</f>
        <v>1.5500717598094129</v>
      </c>
      <c r="AA21" s="110">
        <f t="shared" si="6"/>
        <v>0.35601885100998248</v>
      </c>
      <c r="AB21" s="110">
        <f t="shared" si="6"/>
        <v>0.13538242953507651</v>
      </c>
      <c r="AC21" s="110">
        <f t="shared" si="11"/>
        <v>2.5749978623066458</v>
      </c>
      <c r="AD21" s="138">
        <f t="shared" si="12"/>
        <v>0.99640670701484579</v>
      </c>
      <c r="AE21" s="289">
        <f t="shared" si="13"/>
        <v>2.283491098439097</v>
      </c>
      <c r="AF21" s="289">
        <f t="shared" si="14"/>
        <v>2.0974089237938527</v>
      </c>
      <c r="AG21" s="289">
        <f t="shared" si="7"/>
        <v>5.9203230491311123</v>
      </c>
      <c r="AH21" s="290">
        <f t="shared" si="7"/>
        <v>5.8796431827649513</v>
      </c>
      <c r="AI21" s="429">
        <f t="shared" si="15"/>
        <v>2.873312725853201</v>
      </c>
      <c r="AJ21" s="429">
        <f t="shared" si="16"/>
        <v>2.6459947413065708</v>
      </c>
      <c r="AK21" s="29">
        <f t="shared" si="8"/>
        <v>6</v>
      </c>
      <c r="AL21" s="124">
        <f t="shared" si="8"/>
        <v>6</v>
      </c>
      <c r="AM21" s="34"/>
      <c r="AN21" s="34"/>
      <c r="AO21" s="34"/>
      <c r="AP21" s="34"/>
    </row>
    <row r="22" spans="1:44" ht="13.15" customHeight="1" x14ac:dyDescent="0.2">
      <c r="B22" s="27" t="s">
        <v>33</v>
      </c>
      <c r="C22" s="518">
        <f>IF(GBDUS!$J$4=1,InputPopulationDeaths!E124,InputPopulationDeaths!F124)</f>
        <v>3.8045031973776129E-2</v>
      </c>
      <c r="D22" s="519">
        <f>IF(GBDUS!$J$4=1,InputPopulationDeaths!E132,InputPopulationDeaths!F132)</f>
        <v>3.5549465312483208E-2</v>
      </c>
      <c r="E22" s="146">
        <f>'Active transport'!D34</f>
        <v>0.55228351942404919</v>
      </c>
      <c r="F22" s="146">
        <f>'Active transport'!E34</f>
        <v>0.61938043592938763</v>
      </c>
      <c r="G22" s="34">
        <f t="shared" si="0"/>
        <v>2.1011644155077561E-2</v>
      </c>
      <c r="H22" s="34">
        <f t="shared" si="0"/>
        <v>2.2018643322302495E-2</v>
      </c>
      <c r="I22" s="30">
        <f t="shared" si="1"/>
        <v>33.145140967175202</v>
      </c>
      <c r="J22" s="116">
        <f t="shared" si="1"/>
        <v>37.171943646986236</v>
      </c>
      <c r="K22" s="146">
        <f>'Active transport'!D43</f>
        <v>2.7003475790656961</v>
      </c>
      <c r="L22" s="146">
        <f>'Active transport'!E43</f>
        <v>0.34795950341788229</v>
      </c>
      <c r="M22" s="34">
        <f t="shared" si="2"/>
        <v>0.10273480998586337</v>
      </c>
      <c r="N22" s="34">
        <f t="shared" si="2"/>
        <v>1.2369774296902889E-2</v>
      </c>
      <c r="O22" s="34">
        <f t="shared" si="3"/>
        <v>17.470988661075644</v>
      </c>
      <c r="P22" s="34">
        <f t="shared" si="3"/>
        <v>2.251264461603383</v>
      </c>
      <c r="Q22" s="145">
        <f t="shared" si="4"/>
        <v>0.34516642796260744</v>
      </c>
      <c r="R22" s="148">
        <f t="shared" si="4"/>
        <v>5.7105054855058138E-2</v>
      </c>
      <c r="S22" s="146">
        <f>'Active transport'!S34</f>
        <v>0.37502206911587044</v>
      </c>
      <c r="T22" s="146">
        <f>'Active transport'!T34</f>
        <v>0.40100304010466736</v>
      </c>
      <c r="U22" s="110">
        <f t="shared" si="5"/>
        <v>1.4267726610384971E-2</v>
      </c>
      <c r="V22" s="110">
        <f t="shared" si="5"/>
        <v>1.4255443664401185E-2</v>
      </c>
      <c r="W22" s="136">
        <f t="shared" si="9"/>
        <v>1.0703812922016624</v>
      </c>
      <c r="X22" s="139">
        <f t="shared" si="10"/>
        <v>1.1445357156072089</v>
      </c>
      <c r="Y22" s="146">
        <f>'Active transport'!S43</f>
        <v>4.1656647025461622</v>
      </c>
      <c r="Z22" s="146">
        <f>'Active transport'!T43</f>
        <v>0.56704662893085733</v>
      </c>
      <c r="AA22" s="110">
        <f t="shared" si="6"/>
        <v>0.15848284680039937</v>
      </c>
      <c r="AB22" s="110">
        <f t="shared" si="6"/>
        <v>2.0158204465738051E-2</v>
      </c>
      <c r="AC22" s="110">
        <f t="shared" si="11"/>
        <v>2.6777445770009658</v>
      </c>
      <c r="AD22" s="138">
        <f t="shared" si="12"/>
        <v>0.36450510157435217</v>
      </c>
      <c r="AE22" s="289">
        <f t="shared" si="13"/>
        <v>1.9376257170154119</v>
      </c>
      <c r="AF22" s="289">
        <f t="shared" si="14"/>
        <v>1.8474186765318692</v>
      </c>
      <c r="AG22" s="289">
        <f t="shared" si="7"/>
        <v>9.1960837326859224</v>
      </c>
      <c r="AH22" s="290">
        <f t="shared" si="7"/>
        <v>9.7146765595388036</v>
      </c>
      <c r="AI22" s="429">
        <f t="shared" si="15"/>
        <v>2.5</v>
      </c>
      <c r="AJ22" s="429">
        <f t="shared" si="16"/>
        <v>2.5</v>
      </c>
      <c r="AK22" s="29">
        <f t="shared" si="8"/>
        <v>6</v>
      </c>
      <c r="AL22" s="124">
        <f t="shared" si="8"/>
        <v>6</v>
      </c>
      <c r="AM22" s="34"/>
      <c r="AN22" s="34"/>
      <c r="AO22" s="34"/>
      <c r="AP22" s="34"/>
    </row>
    <row r="23" spans="1:44" ht="13.15" customHeight="1" x14ac:dyDescent="0.2">
      <c r="B23" s="27" t="s">
        <v>34</v>
      </c>
      <c r="C23" s="518">
        <f>IF(GBDUS!$J$4=1,InputPopulationDeaths!E125,InputPopulationDeaths!F125)</f>
        <v>2.2413885754204953E-2</v>
      </c>
      <c r="D23" s="519">
        <f>IF(GBDUS!$J$4=1,InputPopulationDeaths!E133,InputPopulationDeaths!F133)</f>
        <v>1.8071900693212961E-2</v>
      </c>
      <c r="E23" s="146">
        <f>'Active transport'!D35</f>
        <v>0.30408627982523373</v>
      </c>
      <c r="F23" s="146">
        <f>'Active transport'!E35</f>
        <v>0.44737895573459707</v>
      </c>
      <c r="G23" s="34">
        <f t="shared" si="0"/>
        <v>6.8157551354239877E-3</v>
      </c>
      <c r="H23" s="34">
        <f t="shared" si="0"/>
        <v>8.084988060268956E-3</v>
      </c>
      <c r="I23" s="30">
        <f t="shared" si="1"/>
        <v>18.249653043245178</v>
      </c>
      <c r="J23" s="116">
        <f t="shared" si="1"/>
        <v>26.849322914858561</v>
      </c>
      <c r="K23" s="146">
        <f>'Active transport'!D44</f>
        <v>1.6209065204740101</v>
      </c>
      <c r="L23" s="146">
        <f>'Active transport'!E44</f>
        <v>0</v>
      </c>
      <c r="M23" s="34">
        <f t="shared" si="2"/>
        <v>3.6330813568150336E-2</v>
      </c>
      <c r="N23" s="34">
        <f t="shared" si="2"/>
        <v>0</v>
      </c>
      <c r="O23" s="34">
        <f t="shared" si="3"/>
        <v>10.487109014930276</v>
      </c>
      <c r="P23" s="34">
        <f t="shared" si="3"/>
        <v>0</v>
      </c>
      <c r="Q23" s="145">
        <f t="shared" si="4"/>
        <v>0.36493704453201437</v>
      </c>
      <c r="R23" s="148">
        <f t="shared" si="4"/>
        <v>0</v>
      </c>
      <c r="S23" s="146">
        <f>'Active transport'!S35</f>
        <v>0.20024475498097025</v>
      </c>
      <c r="T23" s="146">
        <f>'Active transport'!T35</f>
        <v>0.238247790598686</v>
      </c>
      <c r="U23" s="110">
        <f t="shared" si="5"/>
        <v>4.4882630610222308E-3</v>
      </c>
      <c r="V23" s="110">
        <f t="shared" si="5"/>
        <v>4.3055904120768498E-3</v>
      </c>
      <c r="W23" s="136">
        <f t="shared" si="9"/>
        <v>0.57153500352245201</v>
      </c>
      <c r="X23" s="139">
        <f t="shared" si="10"/>
        <v>0.68000258909141809</v>
      </c>
      <c r="Y23" s="146">
        <f>'Active transport'!S44</f>
        <v>2.2498891746588798</v>
      </c>
      <c r="Z23" s="146">
        <f>'Active transport'!T44</f>
        <v>0</v>
      </c>
      <c r="AA23" s="110">
        <f t="shared" si="6"/>
        <v>5.0428758920426607E-2</v>
      </c>
      <c r="AB23" s="110">
        <f t="shared" si="6"/>
        <v>0</v>
      </c>
      <c r="AC23" s="110">
        <f t="shared" si="11"/>
        <v>1.4462586325331428</v>
      </c>
      <c r="AD23" s="138">
        <f t="shared" si="12"/>
        <v>0</v>
      </c>
      <c r="AE23" s="289">
        <f t="shared" si="13"/>
        <v>1.8790549129940748</v>
      </c>
      <c r="AF23" s="289">
        <f t="shared" si="14"/>
        <v>1.5195971784787936</v>
      </c>
      <c r="AG23" s="289">
        <f>AC23/(O23/60)</f>
        <v>8.2744937454591252</v>
      </c>
      <c r="AH23" s="290" t="e">
        <f t="shared" si="7"/>
        <v>#DIV/0!</v>
      </c>
      <c r="AI23" s="429">
        <f t="shared" si="15"/>
        <v>2.5</v>
      </c>
      <c r="AJ23" s="429">
        <f t="shared" si="16"/>
        <v>2.5</v>
      </c>
      <c r="AK23" s="29">
        <f t="shared" si="8"/>
        <v>6</v>
      </c>
      <c r="AL23" s="124">
        <f t="shared" si="8"/>
        <v>6</v>
      </c>
      <c r="AM23" s="34"/>
      <c r="AN23" s="34"/>
      <c r="AO23" s="34"/>
      <c r="AP23" s="34"/>
    </row>
    <row r="24" spans="1:44" ht="13.15" customHeight="1" x14ac:dyDescent="0.2">
      <c r="B24" s="90" t="s">
        <v>35</v>
      </c>
      <c r="C24" s="520">
        <f>IF(GBDUS!$J$4=1,InputPopulationDeaths!E126,InputPopulationDeaths!F126)</f>
        <v>1.8113815895534419E-2</v>
      </c>
      <c r="D24" s="521">
        <f>IF(GBDUS!$J$4=1,InputPopulationDeaths!E134,InputPopulationDeaths!F134)</f>
        <v>1.1142995324842819E-2</v>
      </c>
      <c r="E24" s="149">
        <f>'Active transport'!D36</f>
        <v>0.61399357815396693</v>
      </c>
      <c r="F24" s="149">
        <f>'Active transport'!E36</f>
        <v>0.52539302938939492</v>
      </c>
      <c r="G24" s="93">
        <f t="shared" si="0"/>
        <v>1.1121766635721382E-2</v>
      </c>
      <c r="H24" s="93">
        <f t="shared" si="0"/>
        <v>5.8544520701910331E-3</v>
      </c>
      <c r="I24" s="92">
        <f t="shared" si="1"/>
        <v>36.848652884077644</v>
      </c>
      <c r="J24" s="117">
        <f t="shared" si="1"/>
        <v>31.531315727913093</v>
      </c>
      <c r="K24" s="149">
        <f>'Active transport'!D45</f>
        <v>0.19906232193167198</v>
      </c>
      <c r="L24" s="149">
        <f>'Active transport'!E45</f>
        <v>0</v>
      </c>
      <c r="M24" s="93">
        <f t="shared" si="2"/>
        <v>3.6057782512079095E-3</v>
      </c>
      <c r="N24" s="93">
        <f t="shared" si="2"/>
        <v>0</v>
      </c>
      <c r="O24" s="93">
        <f t="shared" si="3"/>
        <v>1.2879140434650764</v>
      </c>
      <c r="P24" s="93">
        <f t="shared" si="3"/>
        <v>0</v>
      </c>
      <c r="Q24" s="150">
        <f t="shared" si="4"/>
        <v>3.3771105981092606E-2</v>
      </c>
      <c r="R24" s="151">
        <f t="shared" si="4"/>
        <v>0</v>
      </c>
      <c r="S24" s="152">
        <f>'Active transport'!S36</f>
        <v>0.28707008415257856</v>
      </c>
      <c r="T24" s="149">
        <f>'Active transport'!T36</f>
        <v>0.38396622537171893</v>
      </c>
      <c r="U24" s="153">
        <f t="shared" si="5"/>
        <v>5.1999346534553808E-3</v>
      </c>
      <c r="V24" s="153">
        <f t="shared" si="5"/>
        <v>4.2785338542146081E-3</v>
      </c>
      <c r="W24" s="154">
        <f t="shared" si="9"/>
        <v>0.81935030744214299</v>
      </c>
      <c r="X24" s="155">
        <f t="shared" si="10"/>
        <v>1.0959095432546178</v>
      </c>
      <c r="Y24" s="149">
        <f>'Active transport'!S45</f>
        <v>0.1373937576569885</v>
      </c>
      <c r="Z24" s="149">
        <f>'Active transport'!T45</f>
        <v>0</v>
      </c>
      <c r="AA24" s="153">
        <f t="shared" si="6"/>
        <v>2.4887252313943622E-3</v>
      </c>
      <c r="AB24" s="153">
        <f t="shared" si="6"/>
        <v>0</v>
      </c>
      <c r="AC24" s="153">
        <f t="shared" si="11"/>
        <v>8.8318531555099125E-2</v>
      </c>
      <c r="AD24" s="156">
        <f t="shared" si="12"/>
        <v>0</v>
      </c>
      <c r="AE24" s="291">
        <f t="shared" si="13"/>
        <v>1.3341333969842659</v>
      </c>
      <c r="AF24" s="291">
        <f t="shared" si="14"/>
        <v>2.0853735747242492</v>
      </c>
      <c r="AG24" s="291">
        <f>AC24/(O24/60)</f>
        <v>4.1144918950094826</v>
      </c>
      <c r="AH24" s="290" t="e">
        <f t="shared" si="7"/>
        <v>#DIV/0!</v>
      </c>
      <c r="AI24" s="429">
        <f t="shared" si="15"/>
        <v>2.5</v>
      </c>
      <c r="AJ24" s="429">
        <f t="shared" si="16"/>
        <v>2.6312923588831429</v>
      </c>
      <c r="AK24" s="122">
        <f t="shared" si="8"/>
        <v>6</v>
      </c>
      <c r="AL24" s="124">
        <f t="shared" si="8"/>
        <v>6</v>
      </c>
      <c r="AM24" s="34"/>
      <c r="AN24" s="34"/>
      <c r="AO24" s="34"/>
      <c r="AP24" s="34"/>
    </row>
    <row r="25" spans="1:44" ht="13.15" customHeight="1" x14ac:dyDescent="0.2">
      <c r="B25" s="27" t="s">
        <v>124</v>
      </c>
      <c r="C25" s="38">
        <f t="shared" ref="C25:P25" si="17">SUM(C17:C24)</f>
        <v>0.5004449459938739</v>
      </c>
      <c r="D25" s="38">
        <f t="shared" si="17"/>
        <v>0.49955505400612604</v>
      </c>
      <c r="E25" s="29">
        <f t="shared" si="17"/>
        <v>5.562788185038178</v>
      </c>
      <c r="F25" s="29">
        <f t="shared" si="17"/>
        <v>6.5622033293208508</v>
      </c>
      <c r="G25" s="34">
        <f t="shared" si="17"/>
        <v>0.35849668121656214</v>
      </c>
      <c r="H25" s="34">
        <f t="shared" si="17"/>
        <v>0.46054026346570764</v>
      </c>
      <c r="I25" s="29"/>
      <c r="J25" s="29"/>
      <c r="K25" s="29">
        <f t="shared" si="17"/>
        <v>21.301172279143159</v>
      </c>
      <c r="L25" s="29">
        <f t="shared" si="17"/>
        <v>7.4211005427494126</v>
      </c>
      <c r="M25" s="29">
        <f t="shared" si="17"/>
        <v>1.7224382811703507</v>
      </c>
      <c r="N25" s="29">
        <f t="shared" si="17"/>
        <v>0.5961501578541567</v>
      </c>
      <c r="O25" s="29">
        <f t="shared" si="17"/>
        <v>137.81653230184963</v>
      </c>
      <c r="P25" s="29">
        <f t="shared" si="17"/>
        <v>48.013805496823032</v>
      </c>
      <c r="Q25" s="29"/>
      <c r="R25" s="29"/>
      <c r="S25" s="29"/>
      <c r="T25" s="29"/>
      <c r="U25" s="34">
        <f>SUM(U17:U24)</f>
        <v>0.30846668020457879</v>
      </c>
      <c r="V25" s="34">
        <f>SUM(V17:V24)</f>
        <v>0.39786525669100198</v>
      </c>
      <c r="W25" s="108"/>
      <c r="X25" s="29"/>
      <c r="Y25" s="29"/>
      <c r="Z25" s="29"/>
      <c r="AA25" s="29">
        <f>SUM(AA17:AA24)</f>
        <v>1.6981927319260872</v>
      </c>
      <c r="AB25" s="34">
        <f>SUM(AB17:AB24)</f>
        <v>0.43617513160418903</v>
      </c>
      <c r="AC25" s="108"/>
      <c r="AD25" s="29"/>
      <c r="AE25" s="108"/>
      <c r="AI25" s="29"/>
      <c r="AJ25" s="112"/>
      <c r="AK25" s="29"/>
      <c r="AL25" s="112"/>
      <c r="AM25" s="29"/>
      <c r="AN25" s="29"/>
      <c r="AO25" s="29"/>
      <c r="AP25" s="29"/>
    </row>
    <row r="26" spans="1:44" ht="13.15" customHeight="1" x14ac:dyDescent="0.2">
      <c r="C26" s="38"/>
      <c r="D26" s="38"/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30"/>
      <c r="X26" s="29"/>
      <c r="Y26" s="29"/>
      <c r="Z26" s="29"/>
      <c r="AA26" s="29"/>
      <c r="AB26" s="29"/>
      <c r="AC26" s="30"/>
      <c r="AD26" s="29"/>
      <c r="AE26" s="29"/>
      <c r="AF26" s="29"/>
      <c r="AG26" s="29"/>
      <c r="AH26" s="29"/>
      <c r="AI26" s="29"/>
      <c r="AJ26" s="29"/>
      <c r="AK26" s="29"/>
      <c r="AL26" s="29"/>
      <c r="AQ26" s="108"/>
      <c r="AR26" s="108"/>
    </row>
    <row r="27" spans="1:44" ht="13.15" customHeight="1" x14ac:dyDescent="0.2">
      <c r="B27" s="134"/>
      <c r="C27" s="646" t="s">
        <v>114</v>
      </c>
      <c r="D27" s="646"/>
      <c r="E27" s="646"/>
      <c r="F27" s="646"/>
      <c r="G27" s="646"/>
      <c r="H27" s="646"/>
      <c r="I27" s="646"/>
      <c r="J27" s="646"/>
      <c r="K27" s="646"/>
      <c r="L27" s="646"/>
      <c r="M27" s="646"/>
      <c r="N27" s="646"/>
      <c r="O27" s="646"/>
      <c r="P27" s="646"/>
      <c r="Q27" s="647"/>
      <c r="R27" s="631" t="s">
        <v>121</v>
      </c>
      <c r="S27" s="627"/>
      <c r="T27" s="627"/>
      <c r="U27" s="627"/>
      <c r="V27" s="628"/>
      <c r="W27" s="627" t="s">
        <v>122</v>
      </c>
      <c r="X27" s="627"/>
      <c r="Y27" s="627"/>
      <c r="Z27" s="627"/>
      <c r="AA27" s="628"/>
      <c r="AB27" s="631" t="s">
        <v>230</v>
      </c>
      <c r="AC27" s="627"/>
      <c r="AD27" s="627"/>
      <c r="AE27" s="627"/>
      <c r="AF27" s="628"/>
      <c r="AG27" s="627" t="s">
        <v>231</v>
      </c>
      <c r="AH27" s="627"/>
      <c r="AI27" s="627"/>
      <c r="AJ27" s="627"/>
      <c r="AK27" s="628"/>
      <c r="AL27" s="631" t="s">
        <v>232</v>
      </c>
      <c r="AM27" s="627"/>
      <c r="AN27" s="627"/>
      <c r="AO27" s="627"/>
      <c r="AP27" s="628"/>
    </row>
    <row r="28" spans="1:44" ht="13.15" customHeight="1" x14ac:dyDescent="0.2">
      <c r="B28" s="99"/>
      <c r="C28" s="653" t="s">
        <v>0</v>
      </c>
      <c r="D28" s="655" t="s">
        <v>47</v>
      </c>
      <c r="E28" s="655" t="s">
        <v>123</v>
      </c>
      <c r="F28" s="657" t="s">
        <v>119</v>
      </c>
      <c r="G28" s="659" t="s">
        <v>120</v>
      </c>
      <c r="H28" s="632" t="s">
        <v>118</v>
      </c>
      <c r="I28" s="632"/>
      <c r="J28" s="632"/>
      <c r="K28" s="632"/>
      <c r="L28" s="633"/>
      <c r="M28" s="632" t="s">
        <v>115</v>
      </c>
      <c r="N28" s="632"/>
      <c r="O28" s="632"/>
      <c r="P28" s="632"/>
      <c r="Q28" s="633"/>
      <c r="R28" s="661">
        <v>0.1</v>
      </c>
      <c r="S28" s="625">
        <v>0.3</v>
      </c>
      <c r="T28" s="625">
        <v>0.5</v>
      </c>
      <c r="U28" s="625">
        <v>0.7</v>
      </c>
      <c r="V28" s="629">
        <v>0.9</v>
      </c>
      <c r="W28" s="623">
        <v>0.1</v>
      </c>
      <c r="X28" s="625">
        <v>0.3</v>
      </c>
      <c r="Y28" s="625">
        <v>0.5</v>
      </c>
      <c r="Z28" s="625">
        <v>0.7</v>
      </c>
      <c r="AA28" s="629">
        <v>0.9</v>
      </c>
      <c r="AB28" s="623">
        <v>0.1</v>
      </c>
      <c r="AC28" s="625">
        <v>0.3</v>
      </c>
      <c r="AD28" s="625">
        <v>0.5</v>
      </c>
      <c r="AE28" s="625">
        <v>0.7</v>
      </c>
      <c r="AF28" s="629">
        <v>0.9</v>
      </c>
      <c r="AG28" s="623">
        <v>0.1</v>
      </c>
      <c r="AH28" s="625">
        <v>0.3</v>
      </c>
      <c r="AI28" s="625">
        <v>0.5</v>
      </c>
      <c r="AJ28" s="625">
        <v>0.7</v>
      </c>
      <c r="AK28" s="629">
        <v>0.9</v>
      </c>
      <c r="AL28" s="623">
        <v>0.1</v>
      </c>
      <c r="AM28" s="625">
        <v>0.3</v>
      </c>
      <c r="AN28" s="625">
        <v>0.5</v>
      </c>
      <c r="AO28" s="625">
        <v>0.7</v>
      </c>
      <c r="AP28" s="629">
        <v>0.9</v>
      </c>
    </row>
    <row r="29" spans="1:44" ht="13.15" customHeight="1" x14ac:dyDescent="0.2">
      <c r="A29" s="108"/>
      <c r="B29" s="51"/>
      <c r="C29" s="654"/>
      <c r="D29" s="656"/>
      <c r="E29" s="656"/>
      <c r="F29" s="658"/>
      <c r="G29" s="660"/>
      <c r="H29" s="119">
        <v>0.1</v>
      </c>
      <c r="I29" s="119">
        <v>0.3</v>
      </c>
      <c r="J29" s="119">
        <v>0.5</v>
      </c>
      <c r="K29" s="119">
        <v>0.7</v>
      </c>
      <c r="L29" s="120">
        <v>0.9</v>
      </c>
      <c r="M29" s="119">
        <v>0.1</v>
      </c>
      <c r="N29" s="119">
        <v>0.3</v>
      </c>
      <c r="O29" s="119">
        <v>0.5</v>
      </c>
      <c r="P29" s="119">
        <v>0.7</v>
      </c>
      <c r="Q29" s="120">
        <v>0.9</v>
      </c>
      <c r="R29" s="662"/>
      <c r="S29" s="626"/>
      <c r="T29" s="626"/>
      <c r="U29" s="626"/>
      <c r="V29" s="630"/>
      <c r="W29" s="624"/>
      <c r="X29" s="626"/>
      <c r="Y29" s="626"/>
      <c r="Z29" s="626"/>
      <c r="AA29" s="630"/>
      <c r="AB29" s="624"/>
      <c r="AC29" s="626"/>
      <c r="AD29" s="626"/>
      <c r="AE29" s="626"/>
      <c r="AF29" s="630"/>
      <c r="AG29" s="624"/>
      <c r="AH29" s="626"/>
      <c r="AI29" s="626"/>
      <c r="AJ29" s="626"/>
      <c r="AK29" s="630"/>
      <c r="AL29" s="624"/>
      <c r="AM29" s="626"/>
      <c r="AN29" s="626"/>
      <c r="AO29" s="626"/>
      <c r="AP29" s="630"/>
    </row>
    <row r="30" spans="1:44" ht="13.15" customHeight="1" x14ac:dyDescent="0.2">
      <c r="A30" s="108"/>
      <c r="B30" s="99" t="s">
        <v>113</v>
      </c>
      <c r="C30" s="108"/>
      <c r="D30" s="29">
        <f>G7</f>
        <v>64.15531699112681</v>
      </c>
      <c r="E30" s="29">
        <f t="shared" ref="E30:E46" si="18">D30*$G$8</f>
        <v>118.63713559912679</v>
      </c>
      <c r="F30" s="34">
        <f t="shared" ref="F30:F46" si="19">LN(D30)-(1/2*(LN(1+(E30/D30)^2)))</f>
        <v>3.4182817630034954</v>
      </c>
      <c r="G30" s="159">
        <f t="shared" ref="G30:G46" si="20">SQRT((LN(1+(E30/D30)^2)))</f>
        <v>1.2190366757002054</v>
      </c>
      <c r="H30" s="30">
        <f t="shared" ref="H30:H46" si="21">NORMINV(M$29,$F30,$G30)</f>
        <v>1.8560234028036118</v>
      </c>
      <c r="I30" s="30">
        <f t="shared" ref="I30:I46" si="22">NORMINV(N$29,$F30,$G30)</f>
        <v>2.7790183052564021</v>
      </c>
      <c r="J30" s="30">
        <f t="shared" ref="J30:J46" si="23">NORMINV(O$29,$F30,$G30)</f>
        <v>3.4182817630034954</v>
      </c>
      <c r="K30" s="30">
        <f t="shared" ref="K30:K46" si="24">NORMINV(P$29,$F30,$G30)</f>
        <v>4.0575452207505887</v>
      </c>
      <c r="L30" s="116">
        <f t="shared" ref="L30:L46" si="25">NORMINV(Q$29,$F30,$G30)</f>
        <v>4.9805401232033795</v>
      </c>
      <c r="M30" s="30">
        <f t="shared" ref="M30:Q46" si="26">EXP(H30)</f>
        <v>6.3982428808556788</v>
      </c>
      <c r="N30" s="30">
        <f t="shared" si="26"/>
        <v>16.103204754498154</v>
      </c>
      <c r="O30" s="30">
        <f t="shared" si="26"/>
        <v>30.51693462099368</v>
      </c>
      <c r="P30" s="30">
        <f t="shared" si="26"/>
        <v>57.832171475175755</v>
      </c>
      <c r="Q30" s="116">
        <f t="shared" si="26"/>
        <v>145.55297696630367</v>
      </c>
      <c r="R30" s="29">
        <f>M30*(1-($G$6/$G$7))</f>
        <v>4.9021810383538629</v>
      </c>
      <c r="S30" s="29">
        <f>N30*(1-($G$6/$G$7))</f>
        <v>12.33789127331055</v>
      </c>
      <c r="T30" s="29">
        <f>O30*(1-($G$6/$G$7))</f>
        <v>23.381347196953055</v>
      </c>
      <c r="U30" s="29">
        <f>P30*(1-($G$6/$G$7))</f>
        <v>44.309629954923018</v>
      </c>
      <c r="V30" s="130">
        <f>Q30*(1-($G$6/$G$7))</f>
        <v>111.51921817396621</v>
      </c>
      <c r="W30" s="30">
        <f t="shared" ref="W30:AA46" si="27">M30-R30</f>
        <v>1.496061842501816</v>
      </c>
      <c r="X30" s="30">
        <f t="shared" si="27"/>
        <v>3.7653134811876043</v>
      </c>
      <c r="Y30" s="30">
        <f t="shared" si="27"/>
        <v>7.1355874240406258</v>
      </c>
      <c r="Z30" s="30">
        <f t="shared" si="27"/>
        <v>13.522541520252737</v>
      </c>
      <c r="AA30" s="116">
        <f t="shared" si="27"/>
        <v>34.033758792337466</v>
      </c>
      <c r="AB30" s="161"/>
      <c r="AC30" s="161"/>
      <c r="AD30" s="161"/>
      <c r="AE30" s="161"/>
      <c r="AF30" s="162"/>
      <c r="AG30" s="161"/>
      <c r="AH30" s="161"/>
      <c r="AI30" s="161"/>
      <c r="AJ30" s="161"/>
      <c r="AK30" s="162"/>
      <c r="AL30" s="161"/>
      <c r="AM30" s="161"/>
      <c r="AN30" s="161"/>
      <c r="AO30" s="161"/>
      <c r="AP30" s="162"/>
    </row>
    <row r="31" spans="1:44" ht="13.15" customHeight="1" x14ac:dyDescent="0.2">
      <c r="A31" s="108"/>
      <c r="B31" s="618" t="s">
        <v>57</v>
      </c>
      <c r="C31" s="98" t="s">
        <v>6</v>
      </c>
      <c r="D31" s="29">
        <f t="shared" ref="D31:D38" si="28">I17+O17</f>
        <v>76.23212837228219</v>
      </c>
      <c r="E31" s="29">
        <f t="shared" si="18"/>
        <v>140.9697866813336</v>
      </c>
      <c r="F31" s="34">
        <f t="shared" si="19"/>
        <v>3.5907577976618068</v>
      </c>
      <c r="G31" s="118">
        <f t="shared" si="20"/>
        <v>1.2190366757002054</v>
      </c>
      <c r="H31" s="30">
        <f t="shared" si="21"/>
        <v>2.0284994374619232</v>
      </c>
      <c r="I31" s="30">
        <f t="shared" si="22"/>
        <v>2.9514943399147135</v>
      </c>
      <c r="J31" s="30">
        <f t="shared" si="23"/>
        <v>3.5907577976618068</v>
      </c>
      <c r="K31" s="30">
        <f t="shared" si="24"/>
        <v>4.2300212554089001</v>
      </c>
      <c r="L31" s="116">
        <f t="shared" si="25"/>
        <v>5.1530161578616909</v>
      </c>
      <c r="M31" s="30">
        <f t="shared" si="26"/>
        <v>7.60266951401535</v>
      </c>
      <c r="N31" s="30">
        <f t="shared" si="26"/>
        <v>19.134525860418282</v>
      </c>
      <c r="O31" s="30">
        <f t="shared" si="26"/>
        <v>36.261544430961017</v>
      </c>
      <c r="P31" s="30">
        <f t="shared" si="26"/>
        <v>68.718692802237868</v>
      </c>
      <c r="Q31" s="116">
        <f t="shared" si="26"/>
        <v>172.95235602370624</v>
      </c>
      <c r="R31" s="29">
        <f t="shared" ref="R31:V38" si="29">M31*(1-$Q17)</f>
        <v>7.4472750045621172</v>
      </c>
      <c r="S31" s="29">
        <f t="shared" si="29"/>
        <v>18.743426358563244</v>
      </c>
      <c r="T31" s="29">
        <f t="shared" si="29"/>
        <v>35.520377805412181</v>
      </c>
      <c r="U31" s="29">
        <f t="shared" si="29"/>
        <v>67.314119377260553</v>
      </c>
      <c r="V31" s="124">
        <f t="shared" si="29"/>
        <v>169.41730212276531</v>
      </c>
      <c r="W31" s="30">
        <f t="shared" si="27"/>
        <v>0.15539450945323274</v>
      </c>
      <c r="X31" s="30">
        <f t="shared" si="27"/>
        <v>0.39109950185503806</v>
      </c>
      <c r="Y31" s="30">
        <f t="shared" si="27"/>
        <v>0.74116662554883561</v>
      </c>
      <c r="Z31" s="30">
        <f t="shared" si="27"/>
        <v>1.4045734249773147</v>
      </c>
      <c r="AA31" s="116">
        <f t="shared" si="27"/>
        <v>3.5350539009409374</v>
      </c>
      <c r="AB31" s="163">
        <f t="shared" ref="AB31:AF38" si="30">R31*$AI17/60</f>
        <v>0.31030312519008818</v>
      </c>
      <c r="AC31" s="163">
        <f t="shared" si="30"/>
        <v>0.78097609827346848</v>
      </c>
      <c r="AD31" s="163">
        <f t="shared" si="30"/>
        <v>1.4800157418921742</v>
      </c>
      <c r="AE31" s="163">
        <f t="shared" si="30"/>
        <v>2.8047549740525231</v>
      </c>
      <c r="AF31" s="164">
        <f t="shared" si="30"/>
        <v>7.0590542551152202</v>
      </c>
      <c r="AG31" s="163">
        <f t="shared" ref="AG31:AK38" si="31">W31*$AK17/60</f>
        <v>1.5539450945323274E-2</v>
      </c>
      <c r="AH31" s="163">
        <f t="shared" si="31"/>
        <v>3.9109950185503804E-2</v>
      </c>
      <c r="AI31" s="163">
        <f t="shared" si="31"/>
        <v>7.4116662554883556E-2</v>
      </c>
      <c r="AJ31" s="163">
        <f t="shared" si="31"/>
        <v>0.14045734249773148</v>
      </c>
      <c r="AK31" s="164">
        <f t="shared" si="31"/>
        <v>0.35350539009409376</v>
      </c>
      <c r="AL31" s="165">
        <f>AB31+AG31</f>
        <v>0.32584257613541145</v>
      </c>
      <c r="AM31" s="165">
        <f t="shared" ref="AM31:AP46" si="32">AC31+AH31</f>
        <v>0.82008604845897226</v>
      </c>
      <c r="AN31" s="165">
        <f t="shared" si="32"/>
        <v>1.5541324044470577</v>
      </c>
      <c r="AO31" s="165">
        <f t="shared" si="32"/>
        <v>2.9452123165502546</v>
      </c>
      <c r="AP31" s="166">
        <f t="shared" si="32"/>
        <v>7.4125596452093143</v>
      </c>
    </row>
    <row r="32" spans="1:44" ht="13.15" customHeight="1" x14ac:dyDescent="0.2">
      <c r="A32" s="108"/>
      <c r="B32" s="618"/>
      <c r="C32" s="98" t="s">
        <v>53</v>
      </c>
      <c r="D32" s="29">
        <f t="shared" si="28"/>
        <v>92.770637033619892</v>
      </c>
      <c r="E32" s="29">
        <f t="shared" si="18"/>
        <v>171.55308650251328</v>
      </c>
      <c r="F32" s="34">
        <f t="shared" si="19"/>
        <v>3.7871049700967943</v>
      </c>
      <c r="G32" s="118">
        <f t="shared" si="20"/>
        <v>1.2190366757002054</v>
      </c>
      <c r="H32" s="30">
        <f t="shared" si="21"/>
        <v>2.2248466098969106</v>
      </c>
      <c r="I32" s="30">
        <f t="shared" si="22"/>
        <v>3.147841512349701</v>
      </c>
      <c r="J32" s="30">
        <f t="shared" si="23"/>
        <v>3.7871049700967943</v>
      </c>
      <c r="K32" s="30">
        <f t="shared" si="24"/>
        <v>4.4263684278438875</v>
      </c>
      <c r="L32" s="116">
        <f t="shared" si="25"/>
        <v>5.3493633302966774</v>
      </c>
      <c r="M32" s="30">
        <f t="shared" si="26"/>
        <v>9.2520635200804957</v>
      </c>
      <c r="N32" s="30">
        <f t="shared" si="26"/>
        <v>23.285748296812706</v>
      </c>
      <c r="O32" s="30">
        <f t="shared" si="26"/>
        <v>44.12846195576391</v>
      </c>
      <c r="P32" s="30">
        <f t="shared" si="26"/>
        <v>83.6271667012671</v>
      </c>
      <c r="Q32" s="116">
        <f t="shared" si="26"/>
        <v>210.47425261995605</v>
      </c>
      <c r="R32" s="29">
        <f t="shared" si="29"/>
        <v>6.2645592707591415</v>
      </c>
      <c r="S32" s="29">
        <f t="shared" si="29"/>
        <v>15.766747607467007</v>
      </c>
      <c r="T32" s="29">
        <f t="shared" si="29"/>
        <v>29.879319878136521</v>
      </c>
      <c r="U32" s="29">
        <f t="shared" si="29"/>
        <v>56.623837623759101</v>
      </c>
      <c r="V32" s="124">
        <f t="shared" si="29"/>
        <v>142.51182210808855</v>
      </c>
      <c r="W32" s="30">
        <f t="shared" si="27"/>
        <v>2.9875042493213542</v>
      </c>
      <c r="X32" s="30">
        <f t="shared" si="27"/>
        <v>7.5190006893456989</v>
      </c>
      <c r="Y32" s="30">
        <f t="shared" si="27"/>
        <v>14.24914207762739</v>
      </c>
      <c r="Z32" s="30">
        <f t="shared" si="27"/>
        <v>27.003329077507999</v>
      </c>
      <c r="AA32" s="116">
        <f t="shared" si="27"/>
        <v>67.962430511867495</v>
      </c>
      <c r="AB32" s="163">
        <f t="shared" si="30"/>
        <v>0.37661875710659276</v>
      </c>
      <c r="AC32" s="163">
        <f t="shared" si="30"/>
        <v>0.94788039044572614</v>
      </c>
      <c r="AD32" s="163">
        <f t="shared" si="30"/>
        <v>1.796313488200173</v>
      </c>
      <c r="AE32" s="163">
        <f t="shared" si="30"/>
        <v>3.4041659479552551</v>
      </c>
      <c r="AF32" s="164">
        <f t="shared" si="30"/>
        <v>8.5676618251294929</v>
      </c>
      <c r="AG32" s="163">
        <f t="shared" si="31"/>
        <v>0.29875042493213544</v>
      </c>
      <c r="AH32" s="163">
        <f t="shared" si="31"/>
        <v>0.75190006893456984</v>
      </c>
      <c r="AI32" s="163">
        <f t="shared" si="31"/>
        <v>1.424914207762739</v>
      </c>
      <c r="AJ32" s="163">
        <f t="shared" si="31"/>
        <v>2.7003329077507998</v>
      </c>
      <c r="AK32" s="164">
        <f t="shared" si="31"/>
        <v>6.7962430511867495</v>
      </c>
      <c r="AL32" s="165">
        <f t="shared" ref="AL32:AL46" si="33">AB32+AG32</f>
        <v>0.6753691820387282</v>
      </c>
      <c r="AM32" s="165">
        <f t="shared" si="32"/>
        <v>1.6997804593802961</v>
      </c>
      <c r="AN32" s="165">
        <f t="shared" si="32"/>
        <v>3.221227695962912</v>
      </c>
      <c r="AO32" s="165">
        <f t="shared" si="32"/>
        <v>6.1044988557060549</v>
      </c>
      <c r="AP32" s="166">
        <f t="shared" si="32"/>
        <v>15.363904876316242</v>
      </c>
    </row>
    <row r="33" spans="1:42" ht="13.15" customHeight="1" x14ac:dyDescent="0.2">
      <c r="A33" s="108"/>
      <c r="B33" s="618"/>
      <c r="C33" s="98" t="s">
        <v>30</v>
      </c>
      <c r="D33" s="29">
        <f t="shared" si="28"/>
        <v>71.678404312284016</v>
      </c>
      <c r="E33" s="29">
        <f t="shared" si="18"/>
        <v>132.54896040965093</v>
      </c>
      <c r="F33" s="34">
        <f t="shared" si="19"/>
        <v>3.5291642987994267</v>
      </c>
      <c r="G33" s="118">
        <f t="shared" si="20"/>
        <v>1.2190366757002054</v>
      </c>
      <c r="H33" s="30">
        <f t="shared" si="21"/>
        <v>1.9669059385995431</v>
      </c>
      <c r="I33" s="30">
        <f t="shared" si="22"/>
        <v>2.8899008410523335</v>
      </c>
      <c r="J33" s="30">
        <f t="shared" si="23"/>
        <v>3.5291642987994267</v>
      </c>
      <c r="K33" s="30">
        <f t="shared" si="24"/>
        <v>4.16842775654652</v>
      </c>
      <c r="L33" s="116">
        <f t="shared" si="25"/>
        <v>5.0914226589993099</v>
      </c>
      <c r="M33" s="30">
        <f t="shared" si="26"/>
        <v>7.1485242628541048</v>
      </c>
      <c r="N33" s="30">
        <f t="shared" si="26"/>
        <v>17.991525492361845</v>
      </c>
      <c r="O33" s="30">
        <f t="shared" si="26"/>
        <v>34.095462086761387</v>
      </c>
      <c r="P33" s="30">
        <f t="shared" si="26"/>
        <v>64.613783606249143</v>
      </c>
      <c r="Q33" s="116">
        <f t="shared" si="26"/>
        <v>162.6210518652762</v>
      </c>
      <c r="R33" s="29">
        <f t="shared" si="29"/>
        <v>4.4015683014060558</v>
      </c>
      <c r="S33" s="29">
        <f t="shared" si="29"/>
        <v>11.077940759412247</v>
      </c>
      <c r="T33" s="29">
        <f t="shared" si="29"/>
        <v>20.993634437629069</v>
      </c>
      <c r="U33" s="29">
        <f t="shared" si="29"/>
        <v>39.784712382248628</v>
      </c>
      <c r="V33" s="124">
        <f t="shared" si="29"/>
        <v>100.13082990442645</v>
      </c>
      <c r="W33" s="30">
        <f t="shared" si="27"/>
        <v>2.746955961448049</v>
      </c>
      <c r="X33" s="30">
        <f t="shared" si="27"/>
        <v>6.9135847329495981</v>
      </c>
      <c r="Y33" s="30">
        <f t="shared" si="27"/>
        <v>13.101827649132318</v>
      </c>
      <c r="Z33" s="30">
        <f t="shared" si="27"/>
        <v>24.829071224000515</v>
      </c>
      <c r="AA33" s="116">
        <f t="shared" si="27"/>
        <v>62.490221960849752</v>
      </c>
      <c r="AB33" s="163">
        <f t="shared" si="30"/>
        <v>0.24866453067559666</v>
      </c>
      <c r="AC33" s="163">
        <f t="shared" si="30"/>
        <v>0.62584305210289226</v>
      </c>
      <c r="AD33" s="163">
        <f t="shared" si="30"/>
        <v>1.1860255020785337</v>
      </c>
      <c r="AE33" s="163">
        <f t="shared" si="30"/>
        <v>2.2476186111743801</v>
      </c>
      <c r="AF33" s="164">
        <f t="shared" si="30"/>
        <v>5.6568441335758353</v>
      </c>
      <c r="AG33" s="163">
        <f t="shared" si="31"/>
        <v>0.27469559614480493</v>
      </c>
      <c r="AH33" s="163">
        <f t="shared" si="31"/>
        <v>0.69135847329495981</v>
      </c>
      <c r="AI33" s="163">
        <f t="shared" si="31"/>
        <v>1.3101827649132318</v>
      </c>
      <c r="AJ33" s="163">
        <f t="shared" si="31"/>
        <v>2.4829071224000514</v>
      </c>
      <c r="AK33" s="164">
        <f t="shared" si="31"/>
        <v>6.2490221960849759</v>
      </c>
      <c r="AL33" s="165">
        <f t="shared" si="33"/>
        <v>0.52336012682040156</v>
      </c>
      <c r="AM33" s="165">
        <f t="shared" si="32"/>
        <v>1.3172015253978522</v>
      </c>
      <c r="AN33" s="165">
        <f t="shared" si="32"/>
        <v>2.4962082669917658</v>
      </c>
      <c r="AO33" s="165">
        <f t="shared" si="32"/>
        <v>4.7305257335744315</v>
      </c>
      <c r="AP33" s="166">
        <f t="shared" si="32"/>
        <v>11.90586632966081</v>
      </c>
    </row>
    <row r="34" spans="1:42" ht="13.15" customHeight="1" x14ac:dyDescent="0.2">
      <c r="A34" s="108"/>
      <c r="B34" s="618"/>
      <c r="C34" s="98" t="s">
        <v>31</v>
      </c>
      <c r="D34" s="29">
        <f t="shared" si="28"/>
        <v>61.399715580080439</v>
      </c>
      <c r="E34" s="29">
        <f t="shared" si="18"/>
        <v>113.541429216682</v>
      </c>
      <c r="F34" s="34">
        <f t="shared" si="19"/>
        <v>3.3743799945450172</v>
      </c>
      <c r="G34" s="118">
        <f t="shared" si="20"/>
        <v>1.2190366757002054</v>
      </c>
      <c r="H34" s="30">
        <f t="shared" si="21"/>
        <v>1.8121216343451336</v>
      </c>
      <c r="I34" s="30">
        <f t="shared" si="22"/>
        <v>2.735116536797924</v>
      </c>
      <c r="J34" s="30">
        <f t="shared" si="23"/>
        <v>3.3743799945450172</v>
      </c>
      <c r="K34" s="30">
        <f t="shared" si="24"/>
        <v>4.0136434522921105</v>
      </c>
      <c r="L34" s="116">
        <f t="shared" si="25"/>
        <v>4.9366383547449004</v>
      </c>
      <c r="M34" s="30">
        <f t="shared" si="26"/>
        <v>6.1234253296752845</v>
      </c>
      <c r="N34" s="30">
        <f t="shared" si="26"/>
        <v>15.411539342728755</v>
      </c>
      <c r="O34" s="30">
        <f t="shared" si="26"/>
        <v>29.206170181718115</v>
      </c>
      <c r="P34" s="30">
        <f t="shared" si="26"/>
        <v>55.348162030675432</v>
      </c>
      <c r="Q34" s="116">
        <f t="shared" si="26"/>
        <v>139.30118042750971</v>
      </c>
      <c r="R34" s="29">
        <f t="shared" si="29"/>
        <v>3.7881061206183992</v>
      </c>
      <c r="S34" s="29">
        <f t="shared" si="29"/>
        <v>9.533968876768828</v>
      </c>
      <c r="T34" s="29">
        <f t="shared" si="29"/>
        <v>18.067677169022627</v>
      </c>
      <c r="U34" s="29">
        <f t="shared" si="29"/>
        <v>34.239775953061013</v>
      </c>
      <c r="V34" s="124">
        <f t="shared" si="29"/>
        <v>86.175241107218653</v>
      </c>
      <c r="W34" s="30">
        <f t="shared" si="27"/>
        <v>2.3353192090568853</v>
      </c>
      <c r="X34" s="30">
        <f t="shared" si="27"/>
        <v>5.877570465959927</v>
      </c>
      <c r="Y34" s="30">
        <f t="shared" si="27"/>
        <v>11.138493012695488</v>
      </c>
      <c r="Z34" s="30">
        <f t="shared" si="27"/>
        <v>21.108386077614419</v>
      </c>
      <c r="AA34" s="116">
        <f t="shared" si="27"/>
        <v>53.125939320291053</v>
      </c>
      <c r="AB34" s="163">
        <f t="shared" si="30"/>
        <v>0.21747668422556707</v>
      </c>
      <c r="AC34" s="163">
        <f t="shared" si="30"/>
        <v>0.54734895824168683</v>
      </c>
      <c r="AD34" s="163">
        <f t="shared" si="30"/>
        <v>1.0372725571203303</v>
      </c>
      <c r="AE34" s="163">
        <f t="shared" si="30"/>
        <v>1.9657192026295227</v>
      </c>
      <c r="AF34" s="164">
        <f t="shared" si="30"/>
        <v>4.9473549846795892</v>
      </c>
      <c r="AG34" s="163">
        <f t="shared" si="31"/>
        <v>0.2335319209056885</v>
      </c>
      <c r="AH34" s="163">
        <f t="shared" si="31"/>
        <v>0.5877570465959927</v>
      </c>
      <c r="AI34" s="163">
        <f t="shared" si="31"/>
        <v>1.1138493012695487</v>
      </c>
      <c r="AJ34" s="163">
        <f t="shared" si="31"/>
        <v>2.1108386077614418</v>
      </c>
      <c r="AK34" s="164">
        <f t="shared" si="31"/>
        <v>5.3125939320291051</v>
      </c>
      <c r="AL34" s="165">
        <f t="shared" si="33"/>
        <v>0.45100860513125557</v>
      </c>
      <c r="AM34" s="165">
        <f t="shared" si="32"/>
        <v>1.1351060048376795</v>
      </c>
      <c r="AN34" s="165">
        <f t="shared" si="32"/>
        <v>2.151121858389879</v>
      </c>
      <c r="AO34" s="165">
        <f t="shared" si="32"/>
        <v>4.0765578103909643</v>
      </c>
      <c r="AP34" s="166">
        <f t="shared" si="32"/>
        <v>10.259948916708694</v>
      </c>
    </row>
    <row r="35" spans="1:42" ht="13.15" customHeight="1" x14ac:dyDescent="0.2">
      <c r="A35" s="108"/>
      <c r="B35" s="618"/>
      <c r="C35" s="98" t="s">
        <v>32</v>
      </c>
      <c r="D35" s="29">
        <f t="shared" si="28"/>
        <v>52.095365630875612</v>
      </c>
      <c r="E35" s="29">
        <f t="shared" si="18"/>
        <v>96.335662362810623</v>
      </c>
      <c r="F35" s="34">
        <f t="shared" si="19"/>
        <v>3.2100507850290723</v>
      </c>
      <c r="G35" s="118">
        <f t="shared" si="20"/>
        <v>1.2190366757002054</v>
      </c>
      <c r="H35" s="30">
        <f t="shared" si="21"/>
        <v>1.6477924248291886</v>
      </c>
      <c r="I35" s="30">
        <f t="shared" si="22"/>
        <v>2.5707873272819786</v>
      </c>
      <c r="J35" s="30">
        <f t="shared" si="23"/>
        <v>3.2100507850290723</v>
      </c>
      <c r="K35" s="30">
        <f t="shared" si="24"/>
        <v>3.8493142427761655</v>
      </c>
      <c r="L35" s="116">
        <f t="shared" si="25"/>
        <v>4.7723091452289559</v>
      </c>
      <c r="M35" s="30">
        <f t="shared" si="26"/>
        <v>5.1954977062840184</v>
      </c>
      <c r="N35" s="30">
        <f t="shared" si="26"/>
        <v>13.076115571690844</v>
      </c>
      <c r="O35" s="30">
        <f t="shared" si="26"/>
        <v>24.780344663156644</v>
      </c>
      <c r="P35" s="30">
        <f t="shared" si="26"/>
        <v>46.960848446021522</v>
      </c>
      <c r="Q35" s="116">
        <f t="shared" si="26"/>
        <v>118.19184923941285</v>
      </c>
      <c r="R35" s="29">
        <f t="shared" si="29"/>
        <v>2.5928775731777791</v>
      </c>
      <c r="S35" s="29">
        <f t="shared" si="29"/>
        <v>6.5257976669125828</v>
      </c>
      <c r="T35" s="29">
        <f t="shared" si="29"/>
        <v>12.366938369542625</v>
      </c>
      <c r="U35" s="29">
        <f t="shared" si="29"/>
        <v>23.436393900398617</v>
      </c>
      <c r="V35" s="124">
        <f t="shared" si="29"/>
        <v>58.985108366926852</v>
      </c>
      <c r="W35" s="30">
        <f t="shared" si="27"/>
        <v>2.6026201331062393</v>
      </c>
      <c r="X35" s="30">
        <f t="shared" si="27"/>
        <v>6.5503179047782609</v>
      </c>
      <c r="Y35" s="30">
        <f t="shared" si="27"/>
        <v>12.413406293614019</v>
      </c>
      <c r="Z35" s="30">
        <f t="shared" si="27"/>
        <v>23.524454545622905</v>
      </c>
      <c r="AA35" s="116">
        <f t="shared" si="27"/>
        <v>59.206740872485994</v>
      </c>
      <c r="AB35" s="163">
        <f t="shared" si="30"/>
        <v>0.12416913545985128</v>
      </c>
      <c r="AC35" s="163">
        <f t="shared" si="30"/>
        <v>0.31251095804471757</v>
      </c>
      <c r="AD35" s="163">
        <f t="shared" si="30"/>
        <v>0.59223468995081774</v>
      </c>
      <c r="AE35" s="163">
        <f t="shared" si="30"/>
        <v>1.1223348140353946</v>
      </c>
      <c r="AF35" s="164">
        <f t="shared" si="30"/>
        <v>2.8247110417753509</v>
      </c>
      <c r="AG35" s="163">
        <f t="shared" si="31"/>
        <v>0.26026201331062393</v>
      </c>
      <c r="AH35" s="163">
        <f t="shared" si="31"/>
        <v>0.65503179047782611</v>
      </c>
      <c r="AI35" s="163">
        <f t="shared" si="31"/>
        <v>1.241340629361402</v>
      </c>
      <c r="AJ35" s="163">
        <f t="shared" si="31"/>
        <v>2.3524454545622908</v>
      </c>
      <c r="AK35" s="164">
        <f t="shared" si="31"/>
        <v>5.9206740872485994</v>
      </c>
      <c r="AL35" s="165">
        <f t="shared" si="33"/>
        <v>0.38443114877047524</v>
      </c>
      <c r="AM35" s="165">
        <f t="shared" si="32"/>
        <v>0.96754274852254363</v>
      </c>
      <c r="AN35" s="165">
        <f t="shared" si="32"/>
        <v>1.8335753193122197</v>
      </c>
      <c r="AO35" s="165">
        <f t="shared" si="32"/>
        <v>3.4747802685976854</v>
      </c>
      <c r="AP35" s="166">
        <f t="shared" si="32"/>
        <v>8.7453851290239513</v>
      </c>
    </row>
    <row r="36" spans="1:42" ht="13.15" customHeight="1" x14ac:dyDescent="0.2">
      <c r="A36" s="108"/>
      <c r="B36" s="618"/>
      <c r="C36" s="98" t="s">
        <v>33</v>
      </c>
      <c r="D36" s="29">
        <f t="shared" si="28"/>
        <v>50.616129628250846</v>
      </c>
      <c r="E36" s="29">
        <f t="shared" si="18"/>
        <v>93.600233243961796</v>
      </c>
      <c r="F36" s="34">
        <f t="shared" si="19"/>
        <v>3.1812450845035327</v>
      </c>
      <c r="G36" s="118">
        <f t="shared" si="20"/>
        <v>1.2190366757002054</v>
      </c>
      <c r="H36" s="30">
        <f t="shared" si="21"/>
        <v>1.6189867243036491</v>
      </c>
      <c r="I36" s="30">
        <f t="shared" si="22"/>
        <v>2.5419816267564395</v>
      </c>
      <c r="J36" s="30">
        <f t="shared" si="23"/>
        <v>3.1812450845035327</v>
      </c>
      <c r="K36" s="30">
        <f t="shared" si="24"/>
        <v>3.820508542250626</v>
      </c>
      <c r="L36" s="116">
        <f t="shared" si="25"/>
        <v>4.7435034447034159</v>
      </c>
      <c r="M36" s="30">
        <f t="shared" si="26"/>
        <v>5.0479727361524178</v>
      </c>
      <c r="N36" s="30">
        <f t="shared" si="26"/>
        <v>12.704822258093994</v>
      </c>
      <c r="O36" s="30">
        <f t="shared" si="26"/>
        <v>24.076712439075145</v>
      </c>
      <c r="P36" s="30">
        <f t="shared" si="26"/>
        <v>45.627405885557181</v>
      </c>
      <c r="Q36" s="116">
        <f t="shared" si="26"/>
        <v>114.83581868862386</v>
      </c>
      <c r="R36" s="29">
        <f t="shared" si="29"/>
        <v>3.3055820183620579</v>
      </c>
      <c r="S36" s="29">
        <f t="shared" si="29"/>
        <v>8.3195441413678619</v>
      </c>
      <c r="T36" s="29">
        <f t="shared" si="29"/>
        <v>15.766239609396699</v>
      </c>
      <c r="U36" s="29">
        <f t="shared" si="29"/>
        <v>29.878357178839359</v>
      </c>
      <c r="V36" s="124">
        <f t="shared" si="29"/>
        <v>75.198349349709929</v>
      </c>
      <c r="W36" s="30">
        <f t="shared" si="27"/>
        <v>1.7423907177903599</v>
      </c>
      <c r="X36" s="30">
        <f t="shared" si="27"/>
        <v>4.3852781167261323</v>
      </c>
      <c r="Y36" s="30">
        <f t="shared" si="27"/>
        <v>8.3104728296784458</v>
      </c>
      <c r="Z36" s="30">
        <f t="shared" si="27"/>
        <v>15.749048706717822</v>
      </c>
      <c r="AA36" s="116">
        <f t="shared" si="27"/>
        <v>39.637469338913931</v>
      </c>
      <c r="AB36" s="163">
        <f t="shared" si="30"/>
        <v>0.1377325840984191</v>
      </c>
      <c r="AC36" s="163">
        <f t="shared" si="30"/>
        <v>0.34664767255699425</v>
      </c>
      <c r="AD36" s="163">
        <f t="shared" si="30"/>
        <v>0.6569266503915292</v>
      </c>
      <c r="AE36" s="163">
        <f t="shared" si="30"/>
        <v>1.2449315491183066</v>
      </c>
      <c r="AF36" s="164">
        <f t="shared" si="30"/>
        <v>3.1332645562379136</v>
      </c>
      <c r="AG36" s="163">
        <f t="shared" si="31"/>
        <v>0.174239071779036</v>
      </c>
      <c r="AH36" s="163">
        <f t="shared" si="31"/>
        <v>0.43852781167261323</v>
      </c>
      <c r="AI36" s="163">
        <f t="shared" si="31"/>
        <v>0.83104728296784458</v>
      </c>
      <c r="AJ36" s="163">
        <f t="shared" si="31"/>
        <v>1.5749048706717823</v>
      </c>
      <c r="AK36" s="164">
        <f t="shared" si="31"/>
        <v>3.9637469338913931</v>
      </c>
      <c r="AL36" s="165">
        <f t="shared" si="33"/>
        <v>0.31197165587745512</v>
      </c>
      <c r="AM36" s="165">
        <f t="shared" si="32"/>
        <v>0.78517548422960748</v>
      </c>
      <c r="AN36" s="165">
        <f t="shared" si="32"/>
        <v>1.4879739333593738</v>
      </c>
      <c r="AO36" s="165">
        <f t="shared" si="32"/>
        <v>2.8198364197900889</v>
      </c>
      <c r="AP36" s="166">
        <f t="shared" si="32"/>
        <v>7.0970114901293062</v>
      </c>
    </row>
    <row r="37" spans="1:42" ht="13.15" customHeight="1" x14ac:dyDescent="0.2">
      <c r="A37" s="108"/>
      <c r="B37" s="618"/>
      <c r="C37" s="98" t="s">
        <v>34</v>
      </c>
      <c r="D37" s="29">
        <f t="shared" si="28"/>
        <v>28.736762058175454</v>
      </c>
      <c r="E37" s="29">
        <f t="shared" si="18"/>
        <v>53.140523605348712</v>
      </c>
      <c r="F37" s="34">
        <f t="shared" si="19"/>
        <v>2.6151520027021142</v>
      </c>
      <c r="G37" s="118">
        <f t="shared" si="20"/>
        <v>1.2190366757002054</v>
      </c>
      <c r="H37" s="30">
        <f t="shared" si="21"/>
        <v>1.0528936425022306</v>
      </c>
      <c r="I37" s="30">
        <f t="shared" si="22"/>
        <v>1.9758885449550208</v>
      </c>
      <c r="J37" s="30">
        <f t="shared" si="23"/>
        <v>2.6151520027021142</v>
      </c>
      <c r="K37" s="30">
        <f t="shared" si="24"/>
        <v>3.2544154604492075</v>
      </c>
      <c r="L37" s="116">
        <f t="shared" si="25"/>
        <v>4.1774103629019983</v>
      </c>
      <c r="M37" s="30">
        <f t="shared" si="26"/>
        <v>2.86593211413786</v>
      </c>
      <c r="N37" s="30">
        <f t="shared" si="26"/>
        <v>7.2130259050562469</v>
      </c>
      <c r="O37" s="30">
        <f t="shared" si="26"/>
        <v>13.669293989610901</v>
      </c>
      <c r="P37" s="30">
        <f t="shared" si="26"/>
        <v>25.904467921490937</v>
      </c>
      <c r="Q37" s="116">
        <f t="shared" si="26"/>
        <v>65.196798365414722</v>
      </c>
      <c r="R37" s="29">
        <f t="shared" si="29"/>
        <v>1.8200473185750017</v>
      </c>
      <c r="S37" s="29">
        <f t="shared" si="29"/>
        <v>4.5807255491321621</v>
      </c>
      <c r="T37" s="29">
        <f t="shared" si="29"/>
        <v>8.6808622402030711</v>
      </c>
      <c r="U37" s="29">
        <f t="shared" si="29"/>
        <v>16.450967958047663</v>
      </c>
      <c r="V37" s="124">
        <f t="shared" si="29"/>
        <v>41.404071456990607</v>
      </c>
      <c r="W37" s="30">
        <f t="shared" si="27"/>
        <v>1.0458847955628583</v>
      </c>
      <c r="X37" s="30">
        <f t="shared" si="27"/>
        <v>2.6323003559240847</v>
      </c>
      <c r="Y37" s="30">
        <f t="shared" si="27"/>
        <v>4.9884317494078303</v>
      </c>
      <c r="Z37" s="30">
        <f t="shared" si="27"/>
        <v>9.4534999634432744</v>
      </c>
      <c r="AA37" s="116">
        <f t="shared" si="27"/>
        <v>23.792726908424115</v>
      </c>
      <c r="AB37" s="163">
        <f t="shared" si="30"/>
        <v>7.583530494062507E-2</v>
      </c>
      <c r="AC37" s="163">
        <f t="shared" si="30"/>
        <v>0.1908635645471734</v>
      </c>
      <c r="AD37" s="163">
        <f t="shared" si="30"/>
        <v>0.36170259334179461</v>
      </c>
      <c r="AE37" s="163">
        <f t="shared" si="30"/>
        <v>0.68545699825198603</v>
      </c>
      <c r="AF37" s="164">
        <f t="shared" si="30"/>
        <v>1.7251696440412754</v>
      </c>
      <c r="AG37" s="163">
        <f t="shared" si="31"/>
        <v>0.10458847955628583</v>
      </c>
      <c r="AH37" s="163">
        <f t="shared" si="31"/>
        <v>0.26323003559240848</v>
      </c>
      <c r="AI37" s="163">
        <f t="shared" si="31"/>
        <v>0.49884317494078301</v>
      </c>
      <c r="AJ37" s="163">
        <f t="shared" si="31"/>
        <v>0.94534999634432748</v>
      </c>
      <c r="AK37" s="164">
        <f t="shared" si="31"/>
        <v>2.3792726908424116</v>
      </c>
      <c r="AL37" s="165">
        <f t="shared" si="33"/>
        <v>0.18042378449691091</v>
      </c>
      <c r="AM37" s="165">
        <f t="shared" si="32"/>
        <v>0.45409360013958189</v>
      </c>
      <c r="AN37" s="165">
        <f t="shared" si="32"/>
        <v>0.86054576828257767</v>
      </c>
      <c r="AO37" s="165">
        <f t="shared" si="32"/>
        <v>1.6308069945963135</v>
      </c>
      <c r="AP37" s="166">
        <f t="shared" si="32"/>
        <v>4.1044423348836867</v>
      </c>
    </row>
    <row r="38" spans="1:42" ht="13.15" customHeight="1" x14ac:dyDescent="0.2">
      <c r="B38" s="608"/>
      <c r="C38" s="121" t="s">
        <v>35</v>
      </c>
      <c r="D38" s="122">
        <f t="shared" si="28"/>
        <v>38.136566927542724</v>
      </c>
      <c r="E38" s="122">
        <f t="shared" si="18"/>
        <v>70.522807369088724</v>
      </c>
      <c r="F38" s="93">
        <f t="shared" si="19"/>
        <v>2.8981483753823629</v>
      </c>
      <c r="G38" s="123">
        <f t="shared" si="20"/>
        <v>1.2190366757002054</v>
      </c>
      <c r="H38" s="92">
        <f t="shared" si="21"/>
        <v>1.3358900151824793</v>
      </c>
      <c r="I38" s="92">
        <f t="shared" si="22"/>
        <v>2.2588849176352692</v>
      </c>
      <c r="J38" s="92">
        <f t="shared" si="23"/>
        <v>2.8981483753823629</v>
      </c>
      <c r="K38" s="92">
        <f t="shared" si="24"/>
        <v>3.5374118331294562</v>
      </c>
      <c r="L38" s="117">
        <f t="shared" si="25"/>
        <v>4.4604067355822465</v>
      </c>
      <c r="M38" s="92">
        <f t="shared" si="26"/>
        <v>3.8033795059912867</v>
      </c>
      <c r="N38" s="92">
        <f t="shared" si="26"/>
        <v>9.5724091886691234</v>
      </c>
      <c r="O38" s="92">
        <f t="shared" si="26"/>
        <v>18.140524810405584</v>
      </c>
      <c r="P38" s="92">
        <f t="shared" si="26"/>
        <v>34.377828393135488</v>
      </c>
      <c r="Q38" s="117">
        <f t="shared" si="26"/>
        <v>86.522693798648874</v>
      </c>
      <c r="R38" s="111">
        <f t="shared" si="29"/>
        <v>3.6749351736081395</v>
      </c>
      <c r="S38" s="122">
        <f t="shared" si="29"/>
        <v>9.2491383434641943</v>
      </c>
      <c r="T38" s="122">
        <f t="shared" si="29"/>
        <v>17.527899224480738</v>
      </c>
      <c r="U38" s="122">
        <f t="shared" si="29"/>
        <v>33.216851107071093</v>
      </c>
      <c r="V38" s="125">
        <f t="shared" si="29"/>
        <v>83.600726736605083</v>
      </c>
      <c r="W38" s="92">
        <f t="shared" si="27"/>
        <v>0.12844433238314723</v>
      </c>
      <c r="X38" s="92">
        <f t="shared" si="27"/>
        <v>0.3232708452049291</v>
      </c>
      <c r="Y38" s="92">
        <f t="shared" si="27"/>
        <v>0.61262558592484595</v>
      </c>
      <c r="Z38" s="92">
        <f t="shared" si="27"/>
        <v>1.1609772860643943</v>
      </c>
      <c r="AA38" s="117">
        <f t="shared" si="27"/>
        <v>2.921967062043791</v>
      </c>
      <c r="AB38" s="167">
        <f t="shared" si="30"/>
        <v>0.15312229890033915</v>
      </c>
      <c r="AC38" s="168">
        <f t="shared" si="30"/>
        <v>0.38538076431100809</v>
      </c>
      <c r="AD38" s="168">
        <f t="shared" si="30"/>
        <v>0.730329134353364</v>
      </c>
      <c r="AE38" s="168">
        <f t="shared" si="30"/>
        <v>1.3840354627946287</v>
      </c>
      <c r="AF38" s="169">
        <f t="shared" si="30"/>
        <v>3.4833636140252122</v>
      </c>
      <c r="AG38" s="168">
        <f t="shared" si="31"/>
        <v>1.2844433238314723E-2</v>
      </c>
      <c r="AH38" s="168">
        <f t="shared" si="31"/>
        <v>3.2327084520492912E-2</v>
      </c>
      <c r="AI38" s="168">
        <f t="shared" si="31"/>
        <v>6.1262558592484598E-2</v>
      </c>
      <c r="AJ38" s="168">
        <f t="shared" si="31"/>
        <v>0.11609772860643944</v>
      </c>
      <c r="AK38" s="169">
        <f t="shared" si="31"/>
        <v>0.2921967062043791</v>
      </c>
      <c r="AL38" s="170">
        <f t="shared" si="33"/>
        <v>0.16596673213865387</v>
      </c>
      <c r="AM38" s="170">
        <f t="shared" si="32"/>
        <v>0.41770784883150103</v>
      </c>
      <c r="AN38" s="170">
        <f t="shared" si="32"/>
        <v>0.79159169294584864</v>
      </c>
      <c r="AO38" s="170">
        <f t="shared" si="32"/>
        <v>1.5001331914010683</v>
      </c>
      <c r="AP38" s="171">
        <f t="shared" si="32"/>
        <v>3.7755603202295913</v>
      </c>
    </row>
    <row r="39" spans="1:42" ht="13.15" customHeight="1" x14ac:dyDescent="0.2">
      <c r="B39" s="618" t="s">
        <v>58</v>
      </c>
      <c r="C39" s="98" t="s">
        <v>6</v>
      </c>
      <c r="D39" s="29">
        <f t="shared" ref="D39:D46" si="34">J17+P17</f>
        <v>81.158454066068543</v>
      </c>
      <c r="E39" s="29">
        <f t="shared" si="18"/>
        <v>150.07963441881773</v>
      </c>
      <c r="F39" s="34">
        <f t="shared" si="19"/>
        <v>3.6533782584466392</v>
      </c>
      <c r="G39" s="118">
        <f t="shared" si="20"/>
        <v>1.2190366757002054</v>
      </c>
      <c r="H39" s="30">
        <f t="shared" si="21"/>
        <v>2.0911198982467556</v>
      </c>
      <c r="I39" s="30">
        <f t="shared" si="22"/>
        <v>3.014114800699546</v>
      </c>
      <c r="J39" s="30">
        <f t="shared" si="23"/>
        <v>3.6533782584466392</v>
      </c>
      <c r="K39" s="30">
        <f t="shared" si="24"/>
        <v>4.2926417161937325</v>
      </c>
      <c r="L39" s="116">
        <f t="shared" si="25"/>
        <v>5.2156366186465224</v>
      </c>
      <c r="M39" s="30">
        <f t="shared" si="26"/>
        <v>8.0939745184533152</v>
      </c>
      <c r="N39" s="30">
        <f t="shared" si="26"/>
        <v>20.371050517374737</v>
      </c>
      <c r="O39" s="30">
        <f t="shared" si="26"/>
        <v>38.604863210599973</v>
      </c>
      <c r="P39" s="30">
        <f t="shared" si="26"/>
        <v>73.159480029663101</v>
      </c>
      <c r="Q39" s="116">
        <f t="shared" si="26"/>
        <v>184.129003632436</v>
      </c>
      <c r="R39" s="29">
        <f t="shared" ref="R39:V46" si="35">M39*(1-$R17)</f>
        <v>7.0915817793332243</v>
      </c>
      <c r="S39" s="29">
        <f t="shared" si="35"/>
        <v>17.848211696927468</v>
      </c>
      <c r="T39" s="29">
        <f t="shared" si="35"/>
        <v>33.823870326473077</v>
      </c>
      <c r="U39" s="29">
        <f t="shared" si="35"/>
        <v>64.099094255981527</v>
      </c>
      <c r="V39" s="124">
        <f t="shared" si="35"/>
        <v>161.32567309540829</v>
      </c>
      <c r="W39" s="30">
        <f t="shared" si="27"/>
        <v>1.0023927391200909</v>
      </c>
      <c r="X39" s="30">
        <f t="shared" si="27"/>
        <v>2.5228388204472694</v>
      </c>
      <c r="Y39" s="30">
        <f t="shared" si="27"/>
        <v>4.7809928841268956</v>
      </c>
      <c r="Z39" s="30">
        <f t="shared" si="27"/>
        <v>9.0603857736815741</v>
      </c>
      <c r="AA39" s="116">
        <f t="shared" si="27"/>
        <v>22.803330537027705</v>
      </c>
      <c r="AB39" s="163">
        <f t="shared" ref="AB39:AF46" si="36">R39*$AJ17/60</f>
        <v>0.4854770892401733</v>
      </c>
      <c r="AC39" s="163">
        <f t="shared" si="36"/>
        <v>1.2218568624588952</v>
      </c>
      <c r="AD39" s="163">
        <f t="shared" si="36"/>
        <v>2.3155220688263927</v>
      </c>
      <c r="AE39" s="163">
        <f t="shared" si="36"/>
        <v>4.3881101100763598</v>
      </c>
      <c r="AF39" s="164">
        <f t="shared" si="36"/>
        <v>11.044068958256373</v>
      </c>
      <c r="AG39" s="163">
        <f t="shared" ref="AG39:AK46" si="37">W39*$AL17/60</f>
        <v>0.10023927391200908</v>
      </c>
      <c r="AH39" s="163">
        <f t="shared" si="37"/>
        <v>0.25228388204472696</v>
      </c>
      <c r="AI39" s="163">
        <f t="shared" si="37"/>
        <v>0.47809928841268956</v>
      </c>
      <c r="AJ39" s="163">
        <f t="shared" si="37"/>
        <v>0.90603857736815741</v>
      </c>
      <c r="AK39" s="164">
        <f t="shared" si="37"/>
        <v>2.2803330537027704</v>
      </c>
      <c r="AL39" s="165">
        <f t="shared" si="33"/>
        <v>0.58571636315218234</v>
      </c>
      <c r="AM39" s="165">
        <f t="shared" si="32"/>
        <v>1.4741407445036221</v>
      </c>
      <c r="AN39" s="165">
        <f t="shared" si="32"/>
        <v>2.7936213572390822</v>
      </c>
      <c r="AO39" s="165">
        <f t="shared" si="32"/>
        <v>5.2941486874445172</v>
      </c>
      <c r="AP39" s="166">
        <f t="shared" si="32"/>
        <v>13.324402011959144</v>
      </c>
    </row>
    <row r="40" spans="1:42" ht="13.15" customHeight="1" x14ac:dyDescent="0.2">
      <c r="B40" s="618"/>
      <c r="C40" s="98" t="s">
        <v>53</v>
      </c>
      <c r="D40" s="29">
        <f t="shared" si="34"/>
        <v>77.845257332816061</v>
      </c>
      <c r="E40" s="29">
        <f t="shared" si="18"/>
        <v>143.95281300253788</v>
      </c>
      <c r="F40" s="34">
        <f t="shared" si="19"/>
        <v>3.6116977674927719</v>
      </c>
      <c r="G40" s="118">
        <f t="shared" si="20"/>
        <v>1.2190366757002054</v>
      </c>
      <c r="H40" s="30">
        <f t="shared" si="21"/>
        <v>2.0494394072928883</v>
      </c>
      <c r="I40" s="30">
        <f t="shared" si="22"/>
        <v>2.9724343097456787</v>
      </c>
      <c r="J40" s="30">
        <f t="shared" si="23"/>
        <v>3.6116977674927719</v>
      </c>
      <c r="K40" s="30">
        <f t="shared" si="24"/>
        <v>4.2509612252398652</v>
      </c>
      <c r="L40" s="116">
        <f t="shared" si="25"/>
        <v>5.1739561276926551</v>
      </c>
      <c r="M40" s="30">
        <f t="shared" si="26"/>
        <v>7.7635476979555076</v>
      </c>
      <c r="N40" s="30">
        <f t="shared" si="26"/>
        <v>19.539426765989049</v>
      </c>
      <c r="O40" s="30">
        <f t="shared" si="26"/>
        <v>37.028865883532916</v>
      </c>
      <c r="P40" s="30">
        <f t="shared" si="26"/>
        <v>70.172831835952977</v>
      </c>
      <c r="Q40" s="116">
        <f t="shared" si="26"/>
        <v>176.61215747817837</v>
      </c>
      <c r="R40" s="29">
        <f t="shared" si="35"/>
        <v>6.3632019945900327</v>
      </c>
      <c r="S40" s="29">
        <f t="shared" si="35"/>
        <v>16.015013265549971</v>
      </c>
      <c r="T40" s="29">
        <f t="shared" si="35"/>
        <v>30.349804292379552</v>
      </c>
      <c r="U40" s="29">
        <f t="shared" si="35"/>
        <v>57.515445370697833</v>
      </c>
      <c r="V40" s="124">
        <f t="shared" si="35"/>
        <v>144.75583540627255</v>
      </c>
      <c r="W40" s="30">
        <f t="shared" si="27"/>
        <v>1.4003457033654749</v>
      </c>
      <c r="X40" s="30">
        <f t="shared" si="27"/>
        <v>3.5244135004390778</v>
      </c>
      <c r="Y40" s="30">
        <f t="shared" si="27"/>
        <v>6.6790615911533635</v>
      </c>
      <c r="Z40" s="30">
        <f t="shared" si="27"/>
        <v>12.657386465255144</v>
      </c>
      <c r="AA40" s="116">
        <f t="shared" si="27"/>
        <v>31.856322071905822</v>
      </c>
      <c r="AB40" s="163">
        <f t="shared" si="36"/>
        <v>0.29670603958449571</v>
      </c>
      <c r="AC40" s="163">
        <f t="shared" si="36"/>
        <v>0.74675472567968326</v>
      </c>
      <c r="AD40" s="163">
        <f t="shared" si="36"/>
        <v>1.4151633472287146</v>
      </c>
      <c r="AE40" s="163">
        <f t="shared" si="36"/>
        <v>2.6818542025519405</v>
      </c>
      <c r="AF40" s="164">
        <f t="shared" si="36"/>
        <v>6.7497355367087355</v>
      </c>
      <c r="AG40" s="163">
        <f t="shared" si="37"/>
        <v>0.14003457033654748</v>
      </c>
      <c r="AH40" s="163">
        <f t="shared" si="37"/>
        <v>0.35244135004390775</v>
      </c>
      <c r="AI40" s="163">
        <f t="shared" si="37"/>
        <v>0.66790615911533635</v>
      </c>
      <c r="AJ40" s="163">
        <f t="shared" si="37"/>
        <v>1.2657386465255143</v>
      </c>
      <c r="AK40" s="164">
        <f t="shared" si="37"/>
        <v>3.185632207190582</v>
      </c>
      <c r="AL40" s="165">
        <f t="shared" si="33"/>
        <v>0.43674060992104319</v>
      </c>
      <c r="AM40" s="165">
        <f t="shared" si="32"/>
        <v>1.099196075723591</v>
      </c>
      <c r="AN40" s="165">
        <f t="shared" si="32"/>
        <v>2.0830695063440512</v>
      </c>
      <c r="AO40" s="165">
        <f t="shared" si="32"/>
        <v>3.9475928490774548</v>
      </c>
      <c r="AP40" s="166">
        <f t="shared" si="32"/>
        <v>9.9353677438993167</v>
      </c>
    </row>
    <row r="41" spans="1:42" ht="13.15" customHeight="1" x14ac:dyDescent="0.2">
      <c r="B41" s="618"/>
      <c r="C41" s="98" t="s">
        <v>30</v>
      </c>
      <c r="D41" s="29">
        <f t="shared" si="34"/>
        <v>66.484623992110343</v>
      </c>
      <c r="E41" s="29">
        <f t="shared" si="18"/>
        <v>122.94453089367268</v>
      </c>
      <c r="F41" s="34">
        <f t="shared" si="19"/>
        <v>3.4539454944119097</v>
      </c>
      <c r="G41" s="118">
        <f t="shared" si="20"/>
        <v>1.2190366757002054</v>
      </c>
      <c r="H41" s="30">
        <f t="shared" si="21"/>
        <v>1.8916871342120261</v>
      </c>
      <c r="I41" s="30">
        <f t="shared" si="22"/>
        <v>2.8146820366648164</v>
      </c>
      <c r="J41" s="30">
        <f t="shared" si="23"/>
        <v>3.4539454944119097</v>
      </c>
      <c r="K41" s="30">
        <f t="shared" si="24"/>
        <v>4.0932089521590029</v>
      </c>
      <c r="L41" s="116">
        <f t="shared" si="25"/>
        <v>5.0162038546117937</v>
      </c>
      <c r="M41" s="30">
        <f t="shared" si="26"/>
        <v>6.6305458704649629</v>
      </c>
      <c r="N41" s="30">
        <f t="shared" si="26"/>
        <v>16.687868806241696</v>
      </c>
      <c r="O41" s="30">
        <f t="shared" si="26"/>
        <v>31.624922435488745</v>
      </c>
      <c r="P41" s="30">
        <f t="shared" si="26"/>
        <v>59.931902069879811</v>
      </c>
      <c r="Q41" s="116">
        <f t="shared" si="26"/>
        <v>150.83761406518192</v>
      </c>
      <c r="R41" s="29">
        <f t="shared" si="35"/>
        <v>5.9852990395391394</v>
      </c>
      <c r="S41" s="29">
        <f t="shared" si="35"/>
        <v>15.063900784227503</v>
      </c>
      <c r="T41" s="29">
        <f t="shared" si="35"/>
        <v>28.547365718677565</v>
      </c>
      <c r="U41" s="29">
        <f t="shared" si="35"/>
        <v>54.099671867808233</v>
      </c>
      <c r="V41" s="124">
        <f t="shared" si="35"/>
        <v>136.15895949263674</v>
      </c>
      <c r="W41" s="30">
        <f t="shared" si="27"/>
        <v>0.64524683092582347</v>
      </c>
      <c r="X41" s="30">
        <f t="shared" si="27"/>
        <v>1.6239680220141928</v>
      </c>
      <c r="Y41" s="30">
        <f t="shared" si="27"/>
        <v>3.0775567168111806</v>
      </c>
      <c r="Z41" s="30">
        <f t="shared" si="27"/>
        <v>5.8322302020715782</v>
      </c>
      <c r="AA41" s="116">
        <f t="shared" si="27"/>
        <v>14.678654572545184</v>
      </c>
      <c r="AB41" s="163">
        <f t="shared" si="36"/>
        <v>0.3560867572533532</v>
      </c>
      <c r="AC41" s="163">
        <f t="shared" si="36"/>
        <v>0.89620510962052813</v>
      </c>
      <c r="AD41" s="163">
        <f t="shared" si="36"/>
        <v>1.6983844616178367</v>
      </c>
      <c r="AE41" s="163">
        <f t="shared" si="36"/>
        <v>3.2185821621640494</v>
      </c>
      <c r="AF41" s="164">
        <f t="shared" si="36"/>
        <v>8.1005814473819395</v>
      </c>
      <c r="AG41" s="163">
        <f t="shared" si="37"/>
        <v>6.4524683092582344E-2</v>
      </c>
      <c r="AH41" s="163">
        <f t="shared" si="37"/>
        <v>0.16239680220141928</v>
      </c>
      <c r="AI41" s="163">
        <f t="shared" si="37"/>
        <v>0.30775567168111806</v>
      </c>
      <c r="AJ41" s="163">
        <f t="shared" si="37"/>
        <v>0.58322302020715777</v>
      </c>
      <c r="AK41" s="164">
        <f t="shared" si="37"/>
        <v>1.4678654572545184</v>
      </c>
      <c r="AL41" s="165">
        <f t="shared" si="33"/>
        <v>0.42061144034593556</v>
      </c>
      <c r="AM41" s="165">
        <f t="shared" si="32"/>
        <v>1.0586019118219474</v>
      </c>
      <c r="AN41" s="165">
        <f t="shared" si="32"/>
        <v>2.0061401332989548</v>
      </c>
      <c r="AO41" s="165">
        <f t="shared" si="32"/>
        <v>3.8018051823712069</v>
      </c>
      <c r="AP41" s="166">
        <f t="shared" si="32"/>
        <v>9.568446904636458</v>
      </c>
    </row>
    <row r="42" spans="1:42" ht="13.15" customHeight="1" x14ac:dyDescent="0.2">
      <c r="B42" s="618"/>
      <c r="C42" s="98" t="s">
        <v>31</v>
      </c>
      <c r="D42" s="29">
        <f t="shared" si="34"/>
        <v>70.65447017347185</v>
      </c>
      <c r="E42" s="29">
        <f t="shared" si="18"/>
        <v>130.65548347012253</v>
      </c>
      <c r="F42" s="34">
        <f t="shared" si="19"/>
        <v>3.5147761708722731</v>
      </c>
      <c r="G42" s="118">
        <f t="shared" si="20"/>
        <v>1.2190366757002054</v>
      </c>
      <c r="H42" s="30">
        <f t="shared" si="21"/>
        <v>1.9525178106723895</v>
      </c>
      <c r="I42" s="30">
        <f t="shared" si="22"/>
        <v>2.8755127131251799</v>
      </c>
      <c r="J42" s="30">
        <f t="shared" si="23"/>
        <v>3.5147761708722731</v>
      </c>
      <c r="K42" s="30">
        <f t="shared" si="24"/>
        <v>4.1540396286193664</v>
      </c>
      <c r="L42" s="116">
        <f t="shared" si="25"/>
        <v>5.0770345310721563</v>
      </c>
      <c r="M42" s="30">
        <f t="shared" si="26"/>
        <v>7.0464067826298802</v>
      </c>
      <c r="N42" s="30">
        <f t="shared" si="26"/>
        <v>17.734514509239521</v>
      </c>
      <c r="O42" s="30">
        <f t="shared" si="26"/>
        <v>33.608404542105234</v>
      </c>
      <c r="P42" s="30">
        <f t="shared" si="26"/>
        <v>63.690768375831624</v>
      </c>
      <c r="Q42" s="116">
        <f t="shared" si="26"/>
        <v>160.29799168708149</v>
      </c>
      <c r="R42" s="29">
        <f t="shared" si="35"/>
        <v>6.5445333364141698</v>
      </c>
      <c r="S42" s="29">
        <f t="shared" si="35"/>
        <v>16.471391021158311</v>
      </c>
      <c r="T42" s="29">
        <f t="shared" si="35"/>
        <v>31.214678728412871</v>
      </c>
      <c r="U42" s="29">
        <f t="shared" si="35"/>
        <v>59.154455556693577</v>
      </c>
      <c r="V42" s="124">
        <f t="shared" si="35"/>
        <v>148.88092367054736</v>
      </c>
      <c r="W42" s="30">
        <f t="shared" si="27"/>
        <v>0.50187344621571039</v>
      </c>
      <c r="X42" s="30">
        <f t="shared" si="27"/>
        <v>1.2631234880812094</v>
      </c>
      <c r="Y42" s="30">
        <f t="shared" si="27"/>
        <v>2.3937258136923631</v>
      </c>
      <c r="Z42" s="30">
        <f t="shared" si="27"/>
        <v>4.5363128191380468</v>
      </c>
      <c r="AA42" s="116">
        <f t="shared" si="27"/>
        <v>11.417068016534131</v>
      </c>
      <c r="AB42" s="163">
        <f t="shared" si="36"/>
        <v>0.30411462626146357</v>
      </c>
      <c r="AC42" s="163">
        <f t="shared" si="36"/>
        <v>0.76540078060792405</v>
      </c>
      <c r="AD42" s="163">
        <f t="shared" si="36"/>
        <v>1.4504991979403961</v>
      </c>
      <c r="AE42" s="163">
        <f t="shared" si="36"/>
        <v>2.7488186274838382</v>
      </c>
      <c r="AF42" s="164">
        <f t="shared" si="36"/>
        <v>6.9182727219994185</v>
      </c>
      <c r="AG42" s="163">
        <f t="shared" si="37"/>
        <v>5.0187344621571039E-2</v>
      </c>
      <c r="AH42" s="163">
        <f t="shared" si="37"/>
        <v>0.12631234880812095</v>
      </c>
      <c r="AI42" s="163">
        <f t="shared" si="37"/>
        <v>0.23937258136923631</v>
      </c>
      <c r="AJ42" s="163">
        <f t="shared" si="37"/>
        <v>0.4536312819138047</v>
      </c>
      <c r="AK42" s="164">
        <f t="shared" si="37"/>
        <v>1.1417068016534131</v>
      </c>
      <c r="AL42" s="165">
        <f t="shared" si="33"/>
        <v>0.35430197088303461</v>
      </c>
      <c r="AM42" s="165">
        <f t="shared" si="32"/>
        <v>0.89171312941604497</v>
      </c>
      <c r="AN42" s="165">
        <f t="shared" si="32"/>
        <v>1.6898717793096323</v>
      </c>
      <c r="AO42" s="165">
        <f t="shared" si="32"/>
        <v>3.2024499093976431</v>
      </c>
      <c r="AP42" s="166">
        <f t="shared" si="32"/>
        <v>8.0599795236528315</v>
      </c>
    </row>
    <row r="43" spans="1:42" ht="13.15" customHeight="1" x14ac:dyDescent="0.2">
      <c r="B43" s="618"/>
      <c r="C43" s="98" t="s">
        <v>32</v>
      </c>
      <c r="D43" s="29">
        <f t="shared" si="34"/>
        <v>47.895950810937094</v>
      </c>
      <c r="E43" s="29">
        <f t="shared" si="18"/>
        <v>88.570030942129861</v>
      </c>
      <c r="F43" s="34">
        <f t="shared" si="19"/>
        <v>3.1260057582741152</v>
      </c>
      <c r="G43" s="118">
        <f t="shared" si="20"/>
        <v>1.2190366757002054</v>
      </c>
      <c r="H43" s="30">
        <f t="shared" si="21"/>
        <v>1.5637473980742316</v>
      </c>
      <c r="I43" s="30">
        <f t="shared" si="22"/>
        <v>2.4867423005270215</v>
      </c>
      <c r="J43" s="30">
        <f t="shared" si="23"/>
        <v>3.1260057582741152</v>
      </c>
      <c r="K43" s="30">
        <f t="shared" si="24"/>
        <v>3.7652692160212085</v>
      </c>
      <c r="L43" s="116">
        <f t="shared" si="25"/>
        <v>4.6882641184739988</v>
      </c>
      <c r="M43" s="30">
        <f t="shared" si="26"/>
        <v>4.7766878985303194</v>
      </c>
      <c r="N43" s="30">
        <f t="shared" si="26"/>
        <v>12.022048038926615</v>
      </c>
      <c r="O43" s="30">
        <f t="shared" si="26"/>
        <v>22.782797561577823</v>
      </c>
      <c r="P43" s="30">
        <f t="shared" si="26"/>
        <v>43.175327785346298</v>
      </c>
      <c r="Q43" s="116">
        <f t="shared" si="26"/>
        <v>108.66438749149562</v>
      </c>
      <c r="R43" s="29">
        <f t="shared" si="35"/>
        <v>3.7626247778373645</v>
      </c>
      <c r="S43" s="30">
        <f t="shared" si="35"/>
        <v>9.4698370068377322</v>
      </c>
      <c r="T43" s="29">
        <f t="shared" si="35"/>
        <v>17.946141852814062</v>
      </c>
      <c r="U43" s="29">
        <f t="shared" si="35"/>
        <v>34.009456252391338</v>
      </c>
      <c r="V43" s="124">
        <f t="shared" si="35"/>
        <v>85.595568630267877</v>
      </c>
      <c r="W43" s="30">
        <f t="shared" si="27"/>
        <v>1.0140631206929549</v>
      </c>
      <c r="X43" s="30">
        <f t="shared" si="27"/>
        <v>2.5522110320888824</v>
      </c>
      <c r="Y43" s="30">
        <f t="shared" si="27"/>
        <v>4.8366557087637609</v>
      </c>
      <c r="Z43" s="30">
        <f t="shared" si="27"/>
        <v>9.1658715329549594</v>
      </c>
      <c r="AA43" s="116">
        <f t="shared" si="27"/>
        <v>23.06881886122774</v>
      </c>
      <c r="AB43" s="163">
        <f t="shared" si="36"/>
        <v>0.16593142292779117</v>
      </c>
      <c r="AC43" s="163">
        <f t="shared" si="36"/>
        <v>0.41761898201871656</v>
      </c>
      <c r="AD43" s="163">
        <f t="shared" si="36"/>
        <v>0.79142328282146268</v>
      </c>
      <c r="AE43" s="163">
        <f t="shared" si="36"/>
        <v>1.4998140399753894</v>
      </c>
      <c r="AF43" s="164">
        <f t="shared" si="36"/>
        <v>3.7747570745805747</v>
      </c>
      <c r="AG43" s="163">
        <f t="shared" si="37"/>
        <v>0.10140631206929548</v>
      </c>
      <c r="AH43" s="163">
        <f t="shared" si="37"/>
        <v>0.25522110320888824</v>
      </c>
      <c r="AI43" s="163">
        <f t="shared" si="37"/>
        <v>0.48366557087637607</v>
      </c>
      <c r="AJ43" s="163">
        <f t="shared" si="37"/>
        <v>0.91658715329549589</v>
      </c>
      <c r="AK43" s="164">
        <f t="shared" si="37"/>
        <v>2.306881886122774</v>
      </c>
      <c r="AL43" s="165">
        <f t="shared" si="33"/>
        <v>0.26733773499708668</v>
      </c>
      <c r="AM43" s="165">
        <f t="shared" si="32"/>
        <v>0.67284008522760486</v>
      </c>
      <c r="AN43" s="165">
        <f t="shared" si="32"/>
        <v>1.2750888536978389</v>
      </c>
      <c r="AO43" s="165">
        <f t="shared" si="32"/>
        <v>2.4164011932708851</v>
      </c>
      <c r="AP43" s="166">
        <f t="shared" si="32"/>
        <v>6.0816389607033488</v>
      </c>
    </row>
    <row r="44" spans="1:42" ht="13.15" customHeight="1" x14ac:dyDescent="0.2">
      <c r="B44" s="618"/>
      <c r="C44" s="98" t="s">
        <v>33</v>
      </c>
      <c r="D44" s="29">
        <f t="shared" si="34"/>
        <v>39.42320810858962</v>
      </c>
      <c r="E44" s="29">
        <f t="shared" si="18"/>
        <v>72.902086771361695</v>
      </c>
      <c r="F44" s="34">
        <f t="shared" si="19"/>
        <v>2.9313294728269033</v>
      </c>
      <c r="G44" s="118">
        <f t="shared" si="20"/>
        <v>1.2190366757002054</v>
      </c>
      <c r="H44" s="30">
        <f t="shared" si="21"/>
        <v>1.3690711126270196</v>
      </c>
      <c r="I44" s="30">
        <f t="shared" si="22"/>
        <v>2.2920660150798096</v>
      </c>
      <c r="J44" s="30">
        <f t="shared" si="23"/>
        <v>2.9313294728269033</v>
      </c>
      <c r="K44" s="30">
        <f t="shared" si="24"/>
        <v>3.5705929305739965</v>
      </c>
      <c r="L44" s="116">
        <f t="shared" si="25"/>
        <v>4.4935878330267869</v>
      </c>
      <c r="M44" s="30">
        <f t="shared" si="26"/>
        <v>3.9316968951484101</v>
      </c>
      <c r="N44" s="30">
        <f t="shared" si="26"/>
        <v>9.8953605410384515</v>
      </c>
      <c r="O44" s="30">
        <f t="shared" si="26"/>
        <v>18.752544930392158</v>
      </c>
      <c r="P44" s="30">
        <f t="shared" si="26"/>
        <v>35.537658270051502</v>
      </c>
      <c r="Q44" s="116">
        <f t="shared" si="26"/>
        <v>89.441773042146608</v>
      </c>
      <c r="R44" s="29">
        <f t="shared" si="35"/>
        <v>3.7071771282774986</v>
      </c>
      <c r="S44" s="29">
        <f t="shared" si="35"/>
        <v>9.3302854345318735</v>
      </c>
      <c r="T44" s="29">
        <f t="shared" si="35"/>
        <v>17.681679823470173</v>
      </c>
      <c r="U44" s="29">
        <f t="shared" si="35"/>
        <v>33.508278345119898</v>
      </c>
      <c r="V44" s="124">
        <f t="shared" si="35"/>
        <v>84.334195686241173</v>
      </c>
      <c r="W44" s="30">
        <f t="shared" si="27"/>
        <v>0.22451976687091157</v>
      </c>
      <c r="X44" s="30">
        <f t="shared" si="27"/>
        <v>0.565075106506578</v>
      </c>
      <c r="Y44" s="30">
        <f t="shared" si="27"/>
        <v>1.0708651069219854</v>
      </c>
      <c r="Z44" s="30">
        <f t="shared" si="27"/>
        <v>2.0293799249316038</v>
      </c>
      <c r="AA44" s="116">
        <f t="shared" si="27"/>
        <v>5.107577355905434</v>
      </c>
      <c r="AB44" s="163">
        <f t="shared" si="36"/>
        <v>0.15446571367822912</v>
      </c>
      <c r="AC44" s="163">
        <f t="shared" si="36"/>
        <v>0.38876189310549475</v>
      </c>
      <c r="AD44" s="163">
        <f t="shared" si="36"/>
        <v>0.7367366593112572</v>
      </c>
      <c r="AE44" s="163">
        <f t="shared" si="36"/>
        <v>1.3961782643799956</v>
      </c>
      <c r="AF44" s="164">
        <f t="shared" si="36"/>
        <v>3.513924820260049</v>
      </c>
      <c r="AG44" s="163">
        <f t="shared" si="37"/>
        <v>2.2451976687091157E-2</v>
      </c>
      <c r="AH44" s="163">
        <f t="shared" si="37"/>
        <v>5.6507510650657802E-2</v>
      </c>
      <c r="AI44" s="163">
        <f t="shared" si="37"/>
        <v>0.10708651069219854</v>
      </c>
      <c r="AJ44" s="163">
        <f t="shared" si="37"/>
        <v>0.20293799249316039</v>
      </c>
      <c r="AK44" s="164">
        <f t="shared" si="37"/>
        <v>0.51075773559054338</v>
      </c>
      <c r="AL44" s="165">
        <f t="shared" si="33"/>
        <v>0.17691769036532026</v>
      </c>
      <c r="AM44" s="165">
        <f t="shared" si="32"/>
        <v>0.44526940375615254</v>
      </c>
      <c r="AN44" s="165">
        <f t="shared" si="32"/>
        <v>0.84382317000345575</v>
      </c>
      <c r="AO44" s="165">
        <f t="shared" si="32"/>
        <v>1.5991162568731561</v>
      </c>
      <c r="AP44" s="166">
        <f t="shared" si="32"/>
        <v>4.0246825558505925</v>
      </c>
    </row>
    <row r="45" spans="1:42" ht="13.15" customHeight="1" x14ac:dyDescent="0.2">
      <c r="A45" s="108"/>
      <c r="B45" s="618"/>
      <c r="C45" s="98" t="s">
        <v>34</v>
      </c>
      <c r="D45" s="29">
        <f t="shared" si="34"/>
        <v>26.849322914858561</v>
      </c>
      <c r="E45" s="29">
        <f t="shared" si="18"/>
        <v>49.650238090716215</v>
      </c>
      <c r="F45" s="34">
        <f t="shared" si="19"/>
        <v>2.5472153949621044</v>
      </c>
      <c r="G45" s="118">
        <f t="shared" si="20"/>
        <v>1.2190366757002054</v>
      </c>
      <c r="H45" s="30">
        <f t="shared" si="21"/>
        <v>0.98495703476222074</v>
      </c>
      <c r="I45" s="30">
        <f t="shared" si="22"/>
        <v>1.9079519372150109</v>
      </c>
      <c r="J45" s="30">
        <f t="shared" si="23"/>
        <v>2.5472153949621044</v>
      </c>
      <c r="K45" s="30">
        <f t="shared" si="24"/>
        <v>3.1864788527091976</v>
      </c>
      <c r="L45" s="116">
        <f t="shared" si="25"/>
        <v>4.1094737551619875</v>
      </c>
      <c r="M45" s="30">
        <f t="shared" si="26"/>
        <v>2.6776968340683078</v>
      </c>
      <c r="N45" s="30">
        <f t="shared" si="26"/>
        <v>6.7392722021372791</v>
      </c>
      <c r="O45" s="30">
        <f t="shared" si="26"/>
        <v>12.771490664195609</v>
      </c>
      <c r="P45" s="30">
        <f t="shared" si="26"/>
        <v>24.203054705804412</v>
      </c>
      <c r="Q45" s="116">
        <f t="shared" si="26"/>
        <v>60.914653111725094</v>
      </c>
      <c r="R45" s="29">
        <f t="shared" si="35"/>
        <v>2.6776968340683078</v>
      </c>
      <c r="S45" s="29">
        <f t="shared" si="35"/>
        <v>6.7392722021372791</v>
      </c>
      <c r="T45" s="29">
        <f t="shared" si="35"/>
        <v>12.771490664195609</v>
      </c>
      <c r="U45" s="29">
        <f t="shared" si="35"/>
        <v>24.203054705804412</v>
      </c>
      <c r="V45" s="124">
        <f t="shared" si="35"/>
        <v>60.914653111725094</v>
      </c>
      <c r="W45" s="30">
        <f t="shared" si="27"/>
        <v>0</v>
      </c>
      <c r="X45" s="30">
        <f t="shared" si="27"/>
        <v>0</v>
      </c>
      <c r="Y45" s="30">
        <f t="shared" si="27"/>
        <v>0</v>
      </c>
      <c r="Z45" s="30">
        <f t="shared" si="27"/>
        <v>0</v>
      </c>
      <c r="AA45" s="116">
        <f t="shared" si="27"/>
        <v>0</v>
      </c>
      <c r="AB45" s="163">
        <f t="shared" si="36"/>
        <v>0.11157070141951282</v>
      </c>
      <c r="AC45" s="163">
        <f t="shared" si="36"/>
        <v>0.28080300842238665</v>
      </c>
      <c r="AD45" s="163">
        <f t="shared" si="36"/>
        <v>0.5321454443414837</v>
      </c>
      <c r="AE45" s="163">
        <f t="shared" si="36"/>
        <v>1.0084606127418505</v>
      </c>
      <c r="AF45" s="164">
        <f t="shared" si="36"/>
        <v>2.5381105463218789</v>
      </c>
      <c r="AG45" s="163">
        <f t="shared" si="37"/>
        <v>0</v>
      </c>
      <c r="AH45" s="163">
        <f t="shared" si="37"/>
        <v>0</v>
      </c>
      <c r="AI45" s="163">
        <f t="shared" si="37"/>
        <v>0</v>
      </c>
      <c r="AJ45" s="163">
        <f t="shared" si="37"/>
        <v>0</v>
      </c>
      <c r="AK45" s="164">
        <f t="shared" si="37"/>
        <v>0</v>
      </c>
      <c r="AL45" s="165">
        <f t="shared" si="33"/>
        <v>0.11157070141951282</v>
      </c>
      <c r="AM45" s="165">
        <f t="shared" si="32"/>
        <v>0.28080300842238665</v>
      </c>
      <c r="AN45" s="165">
        <f t="shared" si="32"/>
        <v>0.5321454443414837</v>
      </c>
      <c r="AO45" s="165">
        <f t="shared" si="32"/>
        <v>1.0084606127418505</v>
      </c>
      <c r="AP45" s="166">
        <f t="shared" si="32"/>
        <v>2.5381105463218789</v>
      </c>
    </row>
    <row r="46" spans="1:42" ht="13.15" customHeight="1" x14ac:dyDescent="0.2">
      <c r="A46" s="108"/>
      <c r="B46" s="608"/>
      <c r="C46" s="121" t="s">
        <v>35</v>
      </c>
      <c r="D46" s="122">
        <f t="shared" si="34"/>
        <v>31.531315727913093</v>
      </c>
      <c r="E46" s="122">
        <f t="shared" si="18"/>
        <v>58.308261186655585</v>
      </c>
      <c r="F46" s="93">
        <f t="shared" si="19"/>
        <v>2.7079559937330333</v>
      </c>
      <c r="G46" s="123">
        <f t="shared" si="20"/>
        <v>1.2190366757002054</v>
      </c>
      <c r="H46" s="92">
        <f t="shared" si="21"/>
        <v>1.1456976335331497</v>
      </c>
      <c r="I46" s="92">
        <f t="shared" si="22"/>
        <v>2.0686925359859396</v>
      </c>
      <c r="J46" s="92">
        <f t="shared" si="23"/>
        <v>2.7079559937330333</v>
      </c>
      <c r="K46" s="92">
        <f t="shared" si="24"/>
        <v>3.3472194514801266</v>
      </c>
      <c r="L46" s="117">
        <f t="shared" si="25"/>
        <v>4.2702143539329169</v>
      </c>
      <c r="M46" s="92">
        <f t="shared" si="26"/>
        <v>3.1446343941849055</v>
      </c>
      <c r="N46" s="92">
        <f t="shared" si="26"/>
        <v>7.9144684674465688</v>
      </c>
      <c r="O46" s="92">
        <f t="shared" si="26"/>
        <v>14.998586956022972</v>
      </c>
      <c r="P46" s="92">
        <f t="shared" si="26"/>
        <v>28.423590491599999</v>
      </c>
      <c r="Q46" s="117">
        <f t="shared" si="26"/>
        <v>71.536968206344326</v>
      </c>
      <c r="R46" s="111">
        <f t="shared" si="35"/>
        <v>3.1446343941849055</v>
      </c>
      <c r="S46" s="122">
        <f t="shared" si="35"/>
        <v>7.9144684674465688</v>
      </c>
      <c r="T46" s="122">
        <f t="shared" si="35"/>
        <v>14.998586956022972</v>
      </c>
      <c r="U46" s="122">
        <f t="shared" si="35"/>
        <v>28.423590491599999</v>
      </c>
      <c r="V46" s="125">
        <f t="shared" si="35"/>
        <v>71.536968206344326</v>
      </c>
      <c r="W46" s="92">
        <f t="shared" si="27"/>
        <v>0</v>
      </c>
      <c r="X46" s="92">
        <f t="shared" si="27"/>
        <v>0</v>
      </c>
      <c r="Y46" s="92">
        <f t="shared" si="27"/>
        <v>0</v>
      </c>
      <c r="Z46" s="92">
        <f t="shared" si="27"/>
        <v>0</v>
      </c>
      <c r="AA46" s="117">
        <f t="shared" si="27"/>
        <v>0</v>
      </c>
      <c r="AB46" s="167">
        <f t="shared" si="36"/>
        <v>0.1379075408816644</v>
      </c>
      <c r="AC46" s="168">
        <f t="shared" si="36"/>
        <v>0.3470880067168956</v>
      </c>
      <c r="AD46" s="168">
        <f t="shared" si="36"/>
        <v>0.65776112085712712</v>
      </c>
      <c r="AE46" s="168">
        <f t="shared" si="36"/>
        <v>1.2465129412095104</v>
      </c>
      <c r="AF46" s="169">
        <f t="shared" si="36"/>
        <v>3.1372446303170025</v>
      </c>
      <c r="AG46" s="168">
        <f t="shared" si="37"/>
        <v>0</v>
      </c>
      <c r="AH46" s="168">
        <f t="shared" si="37"/>
        <v>0</v>
      </c>
      <c r="AI46" s="168">
        <f t="shared" si="37"/>
        <v>0</v>
      </c>
      <c r="AJ46" s="168">
        <f t="shared" si="37"/>
        <v>0</v>
      </c>
      <c r="AK46" s="169">
        <f t="shared" si="37"/>
        <v>0</v>
      </c>
      <c r="AL46" s="170">
        <f t="shared" si="33"/>
        <v>0.1379075408816644</v>
      </c>
      <c r="AM46" s="170">
        <f t="shared" si="32"/>
        <v>0.3470880067168956</v>
      </c>
      <c r="AN46" s="170">
        <f t="shared" si="32"/>
        <v>0.65776112085712712</v>
      </c>
      <c r="AO46" s="170">
        <f t="shared" si="32"/>
        <v>1.2465129412095104</v>
      </c>
      <c r="AP46" s="171">
        <f t="shared" si="32"/>
        <v>3.1372446303170025</v>
      </c>
    </row>
    <row r="47" spans="1:42" ht="37.15" customHeight="1" x14ac:dyDescent="0.2">
      <c r="E47" s="28"/>
      <c r="F47" s="28"/>
      <c r="G47" s="31"/>
      <c r="H47" s="115"/>
      <c r="I47" s="108"/>
      <c r="J47" s="115"/>
      <c r="K47" s="115"/>
      <c r="L47" s="27"/>
      <c r="M47" s="27"/>
      <c r="N47" s="108"/>
      <c r="O47" s="108"/>
      <c r="P47" s="108"/>
      <c r="Q47" s="108"/>
      <c r="R47" s="108"/>
      <c r="S47" s="108"/>
      <c r="T47" s="108"/>
      <c r="U47" s="108"/>
      <c r="V47" s="108"/>
    </row>
    <row r="48" spans="1:42" ht="13.15" customHeight="1" x14ac:dyDescent="0.2">
      <c r="E48" s="28"/>
      <c r="F48" s="28"/>
      <c r="G48" s="28"/>
      <c r="H48" s="28"/>
      <c r="I48" s="28"/>
      <c r="J48" s="28"/>
      <c r="K48" s="28"/>
      <c r="M48" s="87"/>
      <c r="N48" s="87"/>
      <c r="T48" s="622"/>
      <c r="U48" s="622"/>
      <c r="V48" s="622"/>
      <c r="W48" s="622"/>
      <c r="X48" s="622"/>
      <c r="Y48" s="622"/>
      <c r="Z48" s="622"/>
      <c r="AA48" s="622"/>
      <c r="AB48" s="622"/>
    </row>
    <row r="49" spans="2:28" ht="13.15" customHeight="1" x14ac:dyDescent="0.2">
      <c r="E49" s="28"/>
      <c r="F49" s="28"/>
      <c r="G49" s="28"/>
      <c r="H49" s="28"/>
      <c r="I49" s="28"/>
      <c r="J49" s="28"/>
      <c r="K49" s="28"/>
      <c r="M49" s="87"/>
      <c r="N49" s="160"/>
      <c r="T49" s="105"/>
      <c r="U49" s="105"/>
      <c r="V49" s="29"/>
      <c r="W49" s="29"/>
      <c r="X49" s="105"/>
      <c r="Y49" s="105"/>
      <c r="Z49" s="105"/>
      <c r="AA49" s="105"/>
      <c r="AB49" s="105"/>
    </row>
    <row r="50" spans="2:28" ht="13.15" customHeight="1" x14ac:dyDescent="0.2">
      <c r="B50" s="114"/>
      <c r="C50" s="32"/>
      <c r="D50" s="32"/>
      <c r="E50" s="32"/>
      <c r="F50" s="32"/>
      <c r="G50" s="32"/>
      <c r="H50" s="32"/>
      <c r="I50" s="32"/>
      <c r="J50" s="33"/>
      <c r="K50" s="33"/>
      <c r="M50" s="87"/>
      <c r="N50" s="160"/>
      <c r="T50" s="105"/>
      <c r="U50" s="105"/>
      <c r="V50" s="140"/>
      <c r="W50" s="140"/>
      <c r="X50" s="105"/>
      <c r="Y50" s="105"/>
      <c r="Z50" s="105"/>
      <c r="AA50" s="105"/>
      <c r="AB50" s="105"/>
    </row>
    <row r="51" spans="2:28" x14ac:dyDescent="0.2">
      <c r="B51" s="114"/>
      <c r="C51" s="32"/>
      <c r="D51" s="32"/>
      <c r="E51" s="32"/>
      <c r="F51" s="32"/>
      <c r="G51" s="32"/>
      <c r="H51" s="32"/>
      <c r="I51" s="32"/>
      <c r="J51" s="33"/>
      <c r="K51" s="33"/>
      <c r="M51" s="87"/>
      <c r="N51" s="160"/>
      <c r="T51" s="105"/>
      <c r="U51" s="105"/>
      <c r="V51" s="140"/>
      <c r="W51" s="140"/>
      <c r="X51" s="105"/>
      <c r="Y51" s="105"/>
      <c r="Z51" s="105"/>
      <c r="AA51" s="105"/>
      <c r="AB51" s="105"/>
    </row>
    <row r="52" spans="2:28" x14ac:dyDescent="0.2">
      <c r="B52" s="114"/>
      <c r="C52" s="32"/>
      <c r="D52" s="32"/>
      <c r="E52" s="32"/>
      <c r="F52" s="32"/>
      <c r="G52" s="32"/>
      <c r="H52" s="32"/>
      <c r="I52" s="32"/>
      <c r="J52" s="33"/>
      <c r="K52" s="33"/>
      <c r="L52" s="29"/>
      <c r="M52" s="87"/>
      <c r="N52" s="160"/>
      <c r="P52" s="29"/>
      <c r="Q52" s="29"/>
      <c r="R52" s="29"/>
      <c r="T52" s="105"/>
      <c r="U52" s="105"/>
      <c r="V52" s="140"/>
      <c r="W52" s="140"/>
      <c r="X52" s="105"/>
      <c r="Y52" s="105"/>
      <c r="Z52" s="105"/>
      <c r="AA52" s="105"/>
      <c r="AB52" s="105"/>
    </row>
    <row r="53" spans="2:28" x14ac:dyDescent="0.2">
      <c r="B53" s="114"/>
      <c r="C53" s="32"/>
      <c r="D53" s="32"/>
      <c r="E53" s="32"/>
      <c r="F53" s="32"/>
      <c r="G53" s="32"/>
      <c r="H53" s="32"/>
      <c r="I53" s="32"/>
      <c r="J53" s="33"/>
      <c r="K53" s="33"/>
      <c r="L53" s="29"/>
      <c r="M53" s="87"/>
      <c r="N53" s="160"/>
      <c r="P53" s="29"/>
      <c r="Q53" s="29"/>
      <c r="R53" s="18"/>
      <c r="S53" s="18"/>
      <c r="T53" s="105"/>
      <c r="U53" s="21"/>
      <c r="V53" s="140"/>
      <c r="W53" s="140"/>
      <c r="X53" s="21"/>
      <c r="Y53" s="21"/>
      <c r="Z53" s="21"/>
      <c r="AA53" s="21"/>
      <c r="AB53" s="105"/>
    </row>
    <row r="54" spans="2:28" x14ac:dyDescent="0.2">
      <c r="B54" s="114"/>
      <c r="C54" s="32"/>
      <c r="D54" s="32"/>
      <c r="E54" s="32"/>
      <c r="F54" s="32"/>
      <c r="G54" s="32"/>
      <c r="H54" s="32"/>
      <c r="I54" s="32"/>
      <c r="J54" s="33"/>
      <c r="K54" s="33"/>
      <c r="L54" s="29"/>
      <c r="M54" s="87"/>
      <c r="N54" s="160"/>
      <c r="P54" s="29"/>
      <c r="Q54" s="29"/>
      <c r="R54" s="18"/>
      <c r="S54" s="18"/>
      <c r="T54" s="105"/>
      <c r="U54" s="21"/>
      <c r="V54" s="140"/>
      <c r="W54" s="140"/>
      <c r="X54" s="21"/>
      <c r="Y54" s="21"/>
      <c r="Z54" s="21"/>
      <c r="AA54" s="21"/>
      <c r="AB54" s="105"/>
    </row>
    <row r="55" spans="2:28" ht="17.45" customHeight="1" x14ac:dyDescent="0.2">
      <c r="B55" s="114"/>
      <c r="C55" s="32"/>
      <c r="D55" s="32"/>
      <c r="E55" s="32"/>
      <c r="F55" s="32"/>
      <c r="G55" s="32"/>
      <c r="H55" s="32"/>
      <c r="I55" s="32"/>
      <c r="J55" s="33"/>
      <c r="K55" s="33"/>
      <c r="L55" s="29"/>
      <c r="M55" s="87"/>
      <c r="N55" s="160"/>
      <c r="P55" s="29"/>
      <c r="Q55" s="29"/>
      <c r="R55" s="18"/>
      <c r="S55" s="35"/>
      <c r="T55" s="105"/>
      <c r="U55" s="141"/>
      <c r="V55" s="140"/>
      <c r="W55" s="140"/>
      <c r="X55" s="141"/>
      <c r="Y55" s="141"/>
      <c r="Z55" s="21"/>
      <c r="AA55" s="21"/>
      <c r="AB55" s="105"/>
    </row>
    <row r="56" spans="2:28" x14ac:dyDescent="0.2">
      <c r="B56" s="114"/>
      <c r="C56" s="32"/>
      <c r="D56" s="32"/>
      <c r="E56" s="32"/>
      <c r="F56" s="32"/>
      <c r="G56" s="32"/>
      <c r="H56" s="32"/>
      <c r="I56" s="32"/>
      <c r="J56" s="33"/>
      <c r="K56" s="33"/>
      <c r="L56" s="29"/>
      <c r="M56" s="29"/>
      <c r="N56" s="160"/>
      <c r="P56" s="29"/>
      <c r="Q56" s="29"/>
      <c r="R56" s="18"/>
      <c r="S56" s="35"/>
      <c r="T56" s="105"/>
      <c r="U56" s="141"/>
      <c r="V56" s="140"/>
      <c r="W56" s="140"/>
      <c r="X56" s="141"/>
      <c r="Y56" s="21"/>
      <c r="Z56" s="21"/>
      <c r="AA56" s="21"/>
      <c r="AB56" s="105"/>
    </row>
    <row r="57" spans="2:28" x14ac:dyDescent="0.2">
      <c r="B57" s="114"/>
      <c r="C57" s="32"/>
      <c r="D57" s="32"/>
      <c r="E57" s="32"/>
      <c r="F57" s="32"/>
      <c r="G57" s="32"/>
      <c r="H57" s="32"/>
      <c r="I57" s="32"/>
      <c r="J57" s="33"/>
      <c r="K57" s="33"/>
      <c r="L57" s="29"/>
      <c r="M57" s="29"/>
      <c r="N57" s="160"/>
      <c r="P57" s="29"/>
      <c r="Q57" s="29"/>
      <c r="R57" s="18"/>
      <c r="S57" s="23"/>
      <c r="T57" s="105"/>
      <c r="U57" s="142"/>
      <c r="V57" s="140"/>
      <c r="W57" s="140"/>
      <c r="X57" s="142"/>
      <c r="Y57" s="141"/>
      <c r="Z57" s="21"/>
      <c r="AA57" s="21"/>
      <c r="AB57" s="105"/>
    </row>
    <row r="58" spans="2:28" x14ac:dyDescent="0.2">
      <c r="B58" s="114"/>
      <c r="C58" s="32"/>
      <c r="D58" s="32"/>
      <c r="E58" s="32"/>
      <c r="F58" s="32"/>
      <c r="G58" s="32"/>
      <c r="H58" s="32"/>
      <c r="I58" s="32"/>
      <c r="J58" s="33"/>
      <c r="K58" s="33"/>
      <c r="L58" s="29"/>
      <c r="M58" s="29"/>
      <c r="N58" s="160"/>
      <c r="O58" s="29"/>
      <c r="P58" s="29"/>
      <c r="Q58" s="29"/>
      <c r="R58" s="18"/>
      <c r="S58" s="35"/>
      <c r="T58" s="141"/>
      <c r="U58" s="141"/>
      <c r="V58" s="143"/>
      <c r="W58" s="143"/>
      <c r="X58" s="141"/>
      <c r="Y58" s="141"/>
      <c r="Z58" s="21"/>
      <c r="AA58" s="21"/>
      <c r="AB58" s="105"/>
    </row>
    <row r="59" spans="2:28" x14ac:dyDescent="0.2">
      <c r="B59" s="114"/>
      <c r="C59" s="32"/>
      <c r="D59" s="32"/>
      <c r="E59" s="32"/>
      <c r="F59" s="32"/>
      <c r="G59" s="32"/>
      <c r="H59" s="32"/>
      <c r="I59" s="32"/>
      <c r="J59" s="33"/>
      <c r="K59" s="33"/>
      <c r="L59" s="29"/>
      <c r="M59" s="29"/>
      <c r="N59" s="160"/>
      <c r="O59" s="29"/>
      <c r="P59" s="29"/>
      <c r="Q59" s="29"/>
      <c r="R59" s="18"/>
      <c r="S59" s="36"/>
      <c r="T59" s="144"/>
      <c r="U59" s="144"/>
      <c r="V59" s="144"/>
      <c r="W59" s="144"/>
      <c r="X59" s="144"/>
      <c r="Y59" s="144"/>
      <c r="Z59" s="21"/>
      <c r="AA59" s="21"/>
      <c r="AB59" s="105"/>
    </row>
    <row r="60" spans="2:28" x14ac:dyDescent="0.2">
      <c r="B60" s="114"/>
      <c r="C60" s="32"/>
      <c r="D60" s="32"/>
      <c r="E60" s="32"/>
      <c r="F60" s="32"/>
      <c r="G60" s="32"/>
      <c r="H60" s="32"/>
      <c r="I60" s="32"/>
      <c r="J60" s="33"/>
      <c r="K60" s="33"/>
      <c r="L60" s="29"/>
      <c r="M60" s="29"/>
      <c r="N60" s="160"/>
      <c r="O60" s="29"/>
      <c r="P60" s="29"/>
      <c r="Q60" s="29"/>
      <c r="R60" s="18"/>
      <c r="S60" s="37"/>
      <c r="T60" s="37"/>
      <c r="U60" s="37"/>
      <c r="V60" s="37"/>
      <c r="W60" s="37"/>
      <c r="X60" s="37"/>
      <c r="Y60" s="37"/>
      <c r="Z60" s="37"/>
      <c r="AA60" s="18"/>
    </row>
    <row r="61" spans="2:28" x14ac:dyDescent="0.2">
      <c r="B61" s="114"/>
      <c r="C61" s="32"/>
      <c r="D61" s="32"/>
      <c r="E61" s="32"/>
      <c r="F61" s="32"/>
      <c r="G61" s="32"/>
      <c r="H61" s="32"/>
      <c r="I61" s="32"/>
      <c r="J61" s="33"/>
      <c r="K61" s="33"/>
      <c r="L61" s="29"/>
      <c r="M61" s="29"/>
      <c r="N61" s="29"/>
      <c r="O61" s="29"/>
      <c r="P61" s="29"/>
      <c r="Q61" s="29"/>
      <c r="R61" s="18"/>
      <c r="S61" s="37"/>
      <c r="T61" s="18"/>
      <c r="U61" s="18"/>
      <c r="V61" s="18"/>
      <c r="W61" s="18"/>
      <c r="X61" s="18"/>
      <c r="Y61" s="18"/>
      <c r="Z61" s="18"/>
      <c r="AA61" s="18"/>
    </row>
    <row r="62" spans="2:28" x14ac:dyDescent="0.2">
      <c r="B62" s="114"/>
      <c r="C62" s="32"/>
      <c r="D62" s="32"/>
      <c r="E62" s="32"/>
      <c r="F62" s="32"/>
      <c r="G62" s="32"/>
      <c r="H62" s="32"/>
      <c r="I62" s="32"/>
      <c r="J62" s="33"/>
      <c r="K62" s="33"/>
      <c r="L62" s="29"/>
      <c r="M62" s="29"/>
      <c r="N62" s="29"/>
      <c r="O62" s="29"/>
      <c r="P62" s="29"/>
      <c r="Q62" s="29"/>
      <c r="R62" s="18"/>
      <c r="S62" s="18"/>
      <c r="T62" s="18"/>
      <c r="U62" s="18"/>
      <c r="V62" s="18"/>
      <c r="W62" s="18"/>
      <c r="X62" s="18"/>
      <c r="Y62" s="18"/>
      <c r="Z62" s="18"/>
      <c r="AA62" s="18"/>
    </row>
    <row r="63" spans="2:28" x14ac:dyDescent="0.2">
      <c r="B63" s="114"/>
      <c r="C63" s="32"/>
      <c r="D63" s="32"/>
      <c r="E63" s="32"/>
      <c r="F63" s="32"/>
      <c r="G63" s="32"/>
      <c r="H63" s="32"/>
      <c r="I63" s="32"/>
      <c r="J63" s="33"/>
      <c r="K63" s="33"/>
      <c r="L63" s="29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29"/>
      <c r="X63" s="29"/>
      <c r="Y63" s="29"/>
    </row>
    <row r="64" spans="2:28" x14ac:dyDescent="0.2">
      <c r="B64" s="114"/>
      <c r="C64" s="32"/>
      <c r="D64" s="32"/>
      <c r="E64" s="32"/>
      <c r="F64" s="32"/>
      <c r="G64" s="32"/>
      <c r="H64" s="32"/>
      <c r="I64" s="32"/>
      <c r="J64" s="33"/>
      <c r="K64" s="33"/>
      <c r="L64" s="29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29"/>
      <c r="X64" s="29"/>
      <c r="Y64" s="29"/>
    </row>
    <row r="65" spans="2:25" x14ac:dyDescent="0.2">
      <c r="B65" s="114"/>
      <c r="C65" s="32"/>
      <c r="D65" s="32"/>
      <c r="E65" s="32"/>
      <c r="F65" s="32"/>
      <c r="G65" s="32"/>
      <c r="H65" s="32"/>
      <c r="I65" s="32"/>
      <c r="J65" s="33"/>
      <c r="K65" s="33"/>
      <c r="L65" s="29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29"/>
      <c r="X65" s="29"/>
      <c r="Y65" s="29"/>
    </row>
  </sheetData>
  <mergeCells count="71">
    <mergeCell ref="AL28:AL29"/>
    <mergeCell ref="AM28:AM29"/>
    <mergeCell ref="AM13:AP13"/>
    <mergeCell ref="B31:B38"/>
    <mergeCell ref="B39:B46"/>
    <mergeCell ref="C27:Q27"/>
    <mergeCell ref="AE14:AF14"/>
    <mergeCell ref="AG14:AH14"/>
    <mergeCell ref="AE13:AH13"/>
    <mergeCell ref="C28:C29"/>
    <mergeCell ref="D28:D29"/>
    <mergeCell ref="E28:E29"/>
    <mergeCell ref="F28:F29"/>
    <mergeCell ref="G28:G29"/>
    <mergeCell ref="R28:R29"/>
    <mergeCell ref="B13:D13"/>
    <mergeCell ref="E13:R13"/>
    <mergeCell ref="S13:AD13"/>
    <mergeCell ref="AI13:AL13"/>
    <mergeCell ref="E14:J14"/>
    <mergeCell ref="K14:R14"/>
    <mergeCell ref="S14:X14"/>
    <mergeCell ref="Y14:AD14"/>
    <mergeCell ref="B15:D15"/>
    <mergeCell ref="E15:F15"/>
    <mergeCell ref="G15:H15"/>
    <mergeCell ref="I15:J15"/>
    <mergeCell ref="K15:L15"/>
    <mergeCell ref="M15:N15"/>
    <mergeCell ref="AO15:AP15"/>
    <mergeCell ref="O15:P15"/>
    <mergeCell ref="Q15:R15"/>
    <mergeCell ref="S15:T15"/>
    <mergeCell ref="U15:V15"/>
    <mergeCell ref="W15:X15"/>
    <mergeCell ref="Y15:Z15"/>
    <mergeCell ref="AA15:AB15"/>
    <mergeCell ref="AC15:AD15"/>
    <mergeCell ref="AI15:AJ15"/>
    <mergeCell ref="AK15:AL15"/>
    <mergeCell ref="AM15:AN15"/>
    <mergeCell ref="H28:L28"/>
    <mergeCell ref="M28:Q28"/>
    <mergeCell ref="R27:V27"/>
    <mergeCell ref="S28:S29"/>
    <mergeCell ref="T28:T29"/>
    <mergeCell ref="U28:U29"/>
    <mergeCell ref="V28:V29"/>
    <mergeCell ref="AL27:AP27"/>
    <mergeCell ref="W27:AA27"/>
    <mergeCell ref="AB27:AF27"/>
    <mergeCell ref="Z28:Z29"/>
    <mergeCell ref="AA28:AA29"/>
    <mergeCell ref="AB28:AB29"/>
    <mergeCell ref="AC28:AC29"/>
    <mergeCell ref="AD28:AD29"/>
    <mergeCell ref="AE28:AE29"/>
    <mergeCell ref="AF28:AF29"/>
    <mergeCell ref="AG28:AG29"/>
    <mergeCell ref="AH28:AH29"/>
    <mergeCell ref="AN28:AN29"/>
    <mergeCell ref="AO28:AO29"/>
    <mergeCell ref="AP28:AP29"/>
    <mergeCell ref="AI28:AI29"/>
    <mergeCell ref="T48:AB48"/>
    <mergeCell ref="W28:W29"/>
    <mergeCell ref="X28:X29"/>
    <mergeCell ref="Y28:Y29"/>
    <mergeCell ref="AG27:AK27"/>
    <mergeCell ref="AJ28:AJ29"/>
    <mergeCell ref="AK28:AK29"/>
  </mergeCells>
  <pageMargins left="0.42" right="0.93" top="0.98425196850393704" bottom="0.98425196850393704" header="0.51181102362204722" footer="0.51181102362204722"/>
  <pageSetup paperSize="9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3" tint="-0.249977111117893"/>
  </sheetPr>
  <dimension ref="A2:AT65"/>
  <sheetViews>
    <sheetView showGridLines="0" zoomScaleNormal="100" workbookViewId="0"/>
  </sheetViews>
  <sheetFormatPr defaultColWidth="9.140625" defaultRowHeight="12.75" x14ac:dyDescent="0.2"/>
  <cols>
    <col min="1" max="1" width="3.42578125" style="28" customWidth="1"/>
    <col min="2" max="2" width="11" style="28" customWidth="1"/>
    <col min="3" max="3" width="9.85546875" style="28" customWidth="1"/>
    <col min="4" max="4" width="7.140625" style="28" customWidth="1"/>
    <col min="5" max="5" width="7.42578125" style="105" customWidth="1"/>
    <col min="6" max="6" width="8.7109375" style="105" customWidth="1"/>
    <col min="7" max="7" width="5.28515625" style="105" customWidth="1"/>
    <col min="8" max="8" width="6" style="105" customWidth="1"/>
    <col min="9" max="9" width="7.140625" style="27" customWidth="1"/>
    <col min="10" max="11" width="6.85546875" style="105" customWidth="1"/>
    <col min="12" max="12" width="6.28515625" style="105" customWidth="1"/>
    <col min="13" max="13" width="6.7109375" style="105" customWidth="1"/>
    <col min="14" max="14" width="6.7109375" style="28" customWidth="1"/>
    <col min="15" max="16" width="8.7109375" style="28" customWidth="1"/>
    <col min="17" max="17" width="7.42578125" style="28" customWidth="1"/>
    <col min="18" max="18" width="7.140625" style="28" customWidth="1"/>
    <col min="19" max="19" width="6.7109375" style="28" customWidth="1"/>
    <col min="20" max="22" width="7.7109375" style="28" customWidth="1"/>
    <col min="23" max="23" width="6.140625" style="28" customWidth="1"/>
    <col min="24" max="24" width="5.42578125" style="28" customWidth="1"/>
    <col min="25" max="25" width="6.7109375" style="28" customWidth="1"/>
    <col min="26" max="27" width="7.5703125" style="28" customWidth="1"/>
    <col min="28" max="28" width="5.28515625" style="28" customWidth="1"/>
    <col min="29" max="29" width="5.85546875" style="28" customWidth="1"/>
    <col min="30" max="30" width="7.28515625" style="28" customWidth="1"/>
    <col min="31" max="31" width="5.28515625" style="28" customWidth="1"/>
    <col min="32" max="32" width="7.85546875" style="28" customWidth="1"/>
    <col min="33" max="33" width="5.28515625" style="28" customWidth="1"/>
    <col min="34" max="35" width="7.28515625" style="28" customWidth="1"/>
    <col min="36" max="36" width="6.42578125" style="28" customWidth="1"/>
    <col min="37" max="37" width="7" style="28" customWidth="1"/>
    <col min="38" max="39" width="6.5703125" style="28" customWidth="1"/>
    <col min="40" max="40" width="9" style="28" customWidth="1"/>
    <col min="41" max="41" width="6.28515625" style="28" customWidth="1"/>
    <col min="42" max="50" width="5.28515625" style="28" customWidth="1"/>
    <col min="51" max="16384" width="9.140625" style="28"/>
  </cols>
  <sheetData>
    <row r="2" spans="2:46" x14ac:dyDescent="0.2">
      <c r="B2" s="106" t="s">
        <v>173</v>
      </c>
    </row>
    <row r="3" spans="2:46" x14ac:dyDescent="0.2">
      <c r="B3" s="106"/>
    </row>
    <row r="4" spans="2:46" x14ac:dyDescent="0.2">
      <c r="B4" s="109" t="s">
        <v>105</v>
      </c>
    </row>
    <row r="5" spans="2:46" x14ac:dyDescent="0.2">
      <c r="B5" s="107" t="s">
        <v>106</v>
      </c>
      <c r="G5" s="146">
        <f>InputTravel!J5*7</f>
        <v>53.933160854721507</v>
      </c>
    </row>
    <row r="6" spans="2:46" x14ac:dyDescent="0.2">
      <c r="B6" s="107" t="s">
        <v>107</v>
      </c>
      <c r="G6" s="146">
        <f>InputTravel!J6*7</f>
        <v>15.383723496032815</v>
      </c>
    </row>
    <row r="7" spans="2:46" x14ac:dyDescent="0.2">
      <c r="B7" s="107" t="s">
        <v>108</v>
      </c>
      <c r="G7" s="146">
        <f>G5+G6</f>
        <v>69.316884350754322</v>
      </c>
    </row>
    <row r="8" spans="2:46" x14ac:dyDescent="0.2">
      <c r="B8" s="107" t="s">
        <v>109</v>
      </c>
      <c r="G8" s="147">
        <f>InputTravel!J11</f>
        <v>1.8412539498588361</v>
      </c>
    </row>
    <row r="9" spans="2:46" x14ac:dyDescent="0.2">
      <c r="B9" s="107" t="s">
        <v>110</v>
      </c>
      <c r="G9" s="147">
        <f>InputTravel!J9*7</f>
        <v>2.2120000000000002</v>
      </c>
    </row>
    <row r="10" spans="2:46" x14ac:dyDescent="0.2">
      <c r="B10" s="107" t="s">
        <v>111</v>
      </c>
      <c r="G10" s="147">
        <f>InputTravel!J10*7</f>
        <v>1.407</v>
      </c>
    </row>
    <row r="11" spans="2:46" x14ac:dyDescent="0.2">
      <c r="B11" s="107" t="s">
        <v>112</v>
      </c>
      <c r="G11" s="147">
        <f>G9+G10</f>
        <v>3.6190000000000002</v>
      </c>
    </row>
    <row r="12" spans="2:46" x14ac:dyDescent="0.2">
      <c r="B12" s="131"/>
      <c r="C12" s="108"/>
      <c r="D12" s="108"/>
      <c r="AQ12" s="108"/>
      <c r="AR12" s="108"/>
      <c r="AS12" s="108"/>
      <c r="AT12" s="108"/>
    </row>
    <row r="13" spans="2:46" x14ac:dyDescent="0.2">
      <c r="B13" s="645"/>
      <c r="C13" s="645"/>
      <c r="D13" s="645"/>
      <c r="E13" s="637" t="s">
        <v>125</v>
      </c>
      <c r="F13" s="638"/>
      <c r="G13" s="638"/>
      <c r="H13" s="638"/>
      <c r="I13" s="638"/>
      <c r="J13" s="638"/>
      <c r="K13" s="638"/>
      <c r="L13" s="638"/>
      <c r="M13" s="638"/>
      <c r="N13" s="638"/>
      <c r="O13" s="638"/>
      <c r="P13" s="638"/>
      <c r="Q13" s="638"/>
      <c r="R13" s="638"/>
      <c r="S13" s="637" t="s">
        <v>126</v>
      </c>
      <c r="T13" s="638"/>
      <c r="U13" s="638"/>
      <c r="V13" s="638"/>
      <c r="W13" s="638"/>
      <c r="X13" s="638"/>
      <c r="Y13" s="638"/>
      <c r="Z13" s="638"/>
      <c r="AA13" s="638"/>
      <c r="AB13" s="638"/>
      <c r="AC13" s="638"/>
      <c r="AD13" s="639"/>
      <c r="AE13" s="651" t="s">
        <v>127</v>
      </c>
      <c r="AF13" s="651"/>
      <c r="AG13" s="651"/>
      <c r="AH13" s="652"/>
      <c r="AI13" s="638" t="s">
        <v>224</v>
      </c>
      <c r="AJ13" s="638"/>
      <c r="AK13" s="638"/>
      <c r="AL13" s="639"/>
      <c r="AM13" s="645"/>
      <c r="AN13" s="645"/>
      <c r="AO13" s="645"/>
      <c r="AP13" s="645"/>
    </row>
    <row r="14" spans="2:46" s="113" customFormat="1" ht="13.15" customHeight="1" x14ac:dyDescent="0.2">
      <c r="B14" s="157"/>
      <c r="C14" s="157"/>
      <c r="D14" s="158"/>
      <c r="E14" s="640" t="s">
        <v>42</v>
      </c>
      <c r="F14" s="640"/>
      <c r="G14" s="640"/>
      <c r="H14" s="640"/>
      <c r="I14" s="640"/>
      <c r="J14" s="641"/>
      <c r="K14" s="635" t="s">
        <v>43</v>
      </c>
      <c r="L14" s="635"/>
      <c r="M14" s="635"/>
      <c r="N14" s="635"/>
      <c r="O14" s="635"/>
      <c r="P14" s="635"/>
      <c r="Q14" s="635"/>
      <c r="R14" s="636"/>
      <c r="S14" s="642" t="s">
        <v>117</v>
      </c>
      <c r="T14" s="643"/>
      <c r="U14" s="643"/>
      <c r="V14" s="643"/>
      <c r="W14" s="643"/>
      <c r="X14" s="644"/>
      <c r="Y14" s="622" t="s">
        <v>43</v>
      </c>
      <c r="Z14" s="622"/>
      <c r="AA14" s="622"/>
      <c r="AB14" s="622"/>
      <c r="AC14" s="622"/>
      <c r="AD14" s="634"/>
      <c r="AE14" s="648" t="s">
        <v>117</v>
      </c>
      <c r="AF14" s="648"/>
      <c r="AG14" s="649" t="s">
        <v>43</v>
      </c>
      <c r="AH14" s="650"/>
      <c r="AI14" s="29" t="s">
        <v>44</v>
      </c>
      <c r="AJ14" s="137"/>
      <c r="AK14" s="29" t="s">
        <v>44</v>
      </c>
      <c r="AL14" s="135">
        <v>6</v>
      </c>
      <c r="AM14" s="40"/>
      <c r="AN14" s="40"/>
      <c r="AO14" s="40"/>
      <c r="AP14" s="40"/>
    </row>
    <row r="15" spans="2:46" ht="13.15" customHeight="1" x14ac:dyDescent="0.2">
      <c r="B15" s="635"/>
      <c r="C15" s="635"/>
      <c r="D15" s="636"/>
      <c r="E15" s="622" t="s">
        <v>45</v>
      </c>
      <c r="F15" s="622"/>
      <c r="G15" s="622" t="s">
        <v>46</v>
      </c>
      <c r="H15" s="622"/>
      <c r="I15" s="622" t="s">
        <v>47</v>
      </c>
      <c r="J15" s="634"/>
      <c r="K15" s="622" t="s">
        <v>48</v>
      </c>
      <c r="L15" s="622"/>
      <c r="M15" s="622" t="s">
        <v>46</v>
      </c>
      <c r="N15" s="622"/>
      <c r="O15" s="622" t="s">
        <v>49</v>
      </c>
      <c r="P15" s="622"/>
      <c r="Q15" s="622" t="s">
        <v>50</v>
      </c>
      <c r="R15" s="634"/>
      <c r="S15" s="622" t="s">
        <v>103</v>
      </c>
      <c r="T15" s="622"/>
      <c r="U15" s="622" t="s">
        <v>46</v>
      </c>
      <c r="V15" s="622"/>
      <c r="W15" s="622" t="s">
        <v>49</v>
      </c>
      <c r="X15" s="634" t="s">
        <v>51</v>
      </c>
      <c r="Y15" s="622" t="s">
        <v>104</v>
      </c>
      <c r="Z15" s="622"/>
      <c r="AA15" s="622" t="s">
        <v>52</v>
      </c>
      <c r="AB15" s="622"/>
      <c r="AC15" s="622" t="s">
        <v>49</v>
      </c>
      <c r="AD15" s="634"/>
      <c r="AH15" s="134"/>
      <c r="AI15" s="622" t="s">
        <v>42</v>
      </c>
      <c r="AJ15" s="622"/>
      <c r="AK15" s="622" t="s">
        <v>43</v>
      </c>
      <c r="AL15" s="634"/>
      <c r="AM15" s="622"/>
      <c r="AN15" s="622"/>
      <c r="AO15" s="622"/>
      <c r="AP15" s="622"/>
    </row>
    <row r="16" spans="2:46" ht="13.15" customHeight="1" x14ac:dyDescent="0.2">
      <c r="B16" s="27" t="s">
        <v>0</v>
      </c>
      <c r="C16" s="27" t="s">
        <v>39</v>
      </c>
      <c r="D16" s="99" t="s">
        <v>40</v>
      </c>
      <c r="E16" s="29" t="s">
        <v>39</v>
      </c>
      <c r="F16" s="29" t="s">
        <v>40</v>
      </c>
      <c r="G16" s="29" t="s">
        <v>39</v>
      </c>
      <c r="H16" s="29" t="s">
        <v>40</v>
      </c>
      <c r="I16" s="29" t="s">
        <v>39</v>
      </c>
      <c r="J16" s="124" t="s">
        <v>40</v>
      </c>
      <c r="K16" s="29" t="s">
        <v>39</v>
      </c>
      <c r="L16" s="29" t="s">
        <v>40</v>
      </c>
      <c r="M16" s="29" t="s">
        <v>39</v>
      </c>
      <c r="N16" s="29" t="s">
        <v>40</v>
      </c>
      <c r="O16" s="29" t="s">
        <v>39</v>
      </c>
      <c r="P16" s="29" t="s">
        <v>40</v>
      </c>
      <c r="Q16" s="29" t="s">
        <v>39</v>
      </c>
      <c r="R16" s="124" t="s">
        <v>40</v>
      </c>
      <c r="S16" s="29" t="s">
        <v>39</v>
      </c>
      <c r="T16" s="29" t="s">
        <v>40</v>
      </c>
      <c r="U16" s="29" t="s">
        <v>39</v>
      </c>
      <c r="V16" s="29" t="s">
        <v>40</v>
      </c>
      <c r="W16" s="29" t="s">
        <v>39</v>
      </c>
      <c r="X16" s="124" t="s">
        <v>40</v>
      </c>
      <c r="Y16" s="29" t="s">
        <v>39</v>
      </c>
      <c r="Z16" s="29" t="s">
        <v>40</v>
      </c>
      <c r="AA16" s="29" t="s">
        <v>39</v>
      </c>
      <c r="AB16" s="29" t="s">
        <v>40</v>
      </c>
      <c r="AC16" s="29" t="s">
        <v>39</v>
      </c>
      <c r="AD16" s="124" t="s">
        <v>40</v>
      </c>
      <c r="AE16" s="45" t="s">
        <v>39</v>
      </c>
      <c r="AF16" s="132" t="s">
        <v>40</v>
      </c>
      <c r="AG16" s="132" t="s">
        <v>39</v>
      </c>
      <c r="AH16" s="133" t="s">
        <v>40</v>
      </c>
      <c r="AI16" s="29" t="s">
        <v>39</v>
      </c>
      <c r="AJ16" s="29" t="s">
        <v>40</v>
      </c>
      <c r="AK16" s="29" t="s">
        <v>39</v>
      </c>
      <c r="AL16" s="124" t="s">
        <v>40</v>
      </c>
      <c r="AM16" s="29"/>
      <c r="AN16" s="29"/>
      <c r="AO16" s="29"/>
      <c r="AP16" s="29"/>
    </row>
    <row r="17" spans="1:44" ht="13.15" customHeight="1" x14ac:dyDescent="0.2">
      <c r="B17" s="27" t="s">
        <v>6</v>
      </c>
      <c r="C17" s="518">
        <f>IF(GBDUS!$J$4=1,InputPopulationDeaths!E119,InputPopulationDeaths!F119)</f>
        <v>4.1382126927830616E-2</v>
      </c>
      <c r="D17" s="519">
        <f>IF(GBDUS!$J$4=1,InputPopulationDeaths!E127,InputPopulationDeaths!F127)</f>
        <v>4.3501531517007898E-2</v>
      </c>
      <c r="E17" s="146">
        <f>'Active transport'!N29</f>
        <v>1.2442611397300452</v>
      </c>
      <c r="F17" s="146">
        <f>'Active transport'!O29</f>
        <v>1.1848333278731662</v>
      </c>
      <c r="G17" s="34">
        <f t="shared" ref="G17:H24" si="0">E17*C17</f>
        <v>5.1490172415675911E-2</v>
      </c>
      <c r="H17" s="34">
        <f t="shared" si="0"/>
        <v>5.1542064354875891E-2</v>
      </c>
      <c r="I17" s="30">
        <f t="shared" ref="I17:J24" si="1">G17/($G$25+$H$25)*$G$5/C17</f>
        <v>81.933955031018186</v>
      </c>
      <c r="J17" s="116">
        <f t="shared" si="1"/>
        <v>78.020664236346477</v>
      </c>
      <c r="K17" s="146">
        <f>'Active transport'!N38</f>
        <v>0.24082955855864754</v>
      </c>
      <c r="L17" s="146">
        <f>'Active transport'!O38</f>
        <v>1.5535027699118202</v>
      </c>
      <c r="M17" s="34">
        <f t="shared" ref="M17:N24" si="2">K17*C17</f>
        <v>9.9660393602473696E-3</v>
      </c>
      <c r="N17" s="34">
        <f t="shared" si="2"/>
        <v>6.7579749707078113E-2</v>
      </c>
      <c r="O17" s="34">
        <f t="shared" ref="O17:P24" si="3">M17/($M$25+$N$25)*$G$6/C17</f>
        <v>1.5978926126693744</v>
      </c>
      <c r="P17" s="34">
        <f t="shared" si="3"/>
        <v>10.307416642127023</v>
      </c>
      <c r="Q17" s="145">
        <f t="shared" ref="Q17:R24" si="4">O17/(I17+O17)</f>
        <v>1.9129142449779465E-2</v>
      </c>
      <c r="R17" s="148">
        <f t="shared" si="4"/>
        <v>0.11669467444117256</v>
      </c>
      <c r="S17" s="146">
        <f>'Active transport'!AC29</f>
        <v>0.72201244280125276</v>
      </c>
      <c r="T17" s="146">
        <f>'Active transport'!AD29</f>
        <v>1.3676594491885232</v>
      </c>
      <c r="U17" s="110">
        <f t="shared" ref="U17:V24" si="5">S17*C17</f>
        <v>2.9878410551474485E-2</v>
      </c>
      <c r="V17" s="110">
        <f t="shared" si="5"/>
        <v>5.9495280633408205E-2</v>
      </c>
      <c r="W17" s="136">
        <f>U17/($U$25+$V$25)*$G$9/C17</f>
        <v>2.2611062024121305</v>
      </c>
      <c r="X17" s="139">
        <f>V17/($U$25+$V$25)*$G$9/D17</f>
        <v>4.2830609003769959</v>
      </c>
      <c r="Y17" s="146">
        <f>'Active transport'!AC38</f>
        <v>0.14287233563721177</v>
      </c>
      <c r="Z17" s="146">
        <f>'Active transport'!AD38</f>
        <v>0.89072851809547682</v>
      </c>
      <c r="AA17" s="110">
        <f t="shared" ref="AA17:AB24" si="6">Y17*C17</f>
        <v>5.9123611278147151E-3</v>
      </c>
      <c r="AB17" s="110">
        <f t="shared" si="6"/>
        <v>3.8748054703028126E-2</v>
      </c>
      <c r="AC17" s="110">
        <f>AA17/($AA$25+$AB$25)*$G$10/C17</f>
        <v>9.4183097335931873E-2</v>
      </c>
      <c r="AD17" s="138">
        <f>AB17/($AA$25+$AB$25)*$G$10/D17</f>
        <v>0.58717854891585253</v>
      </c>
      <c r="AE17" s="289">
        <f>W17/(I17/60)</f>
        <v>1.6558015793741174</v>
      </c>
      <c r="AF17" s="289">
        <f>X17/(J17/60)</f>
        <v>3.2937896201978516</v>
      </c>
      <c r="AG17" s="289">
        <f t="shared" ref="AG17:AH24" si="7">AC17/(O17/60)</f>
        <v>3.5365241664867608</v>
      </c>
      <c r="AH17" s="290">
        <f t="shared" si="7"/>
        <v>3.4179963960087862</v>
      </c>
      <c r="AI17" s="30">
        <f>MAX(2.5,1.2216*AE17+0.0838)</f>
        <v>2.5</v>
      </c>
      <c r="AJ17" s="30">
        <f>MAX(2.5,1.2216*AF17+0.0838)</f>
        <v>4.1074934000336958</v>
      </c>
      <c r="AK17" s="29">
        <f t="shared" ref="AK17:AL24" si="8">$AL$14</f>
        <v>6</v>
      </c>
      <c r="AL17" s="124">
        <f t="shared" si="8"/>
        <v>6</v>
      </c>
      <c r="AM17" s="34"/>
      <c r="AN17" s="34"/>
      <c r="AO17" s="34"/>
      <c r="AP17" s="34"/>
    </row>
    <row r="18" spans="1:44" ht="13.15" customHeight="1" x14ac:dyDescent="0.2">
      <c r="B18" s="27" t="s">
        <v>53</v>
      </c>
      <c r="C18" s="518">
        <f>IF(GBDUS!$J$4=1,InputPopulationDeaths!E120,InputPopulationDeaths!F120)</f>
        <v>7.9354075984738565E-2</v>
      </c>
      <c r="D18" s="519">
        <f>IF(GBDUS!$J$4=1,InputPopulationDeaths!E128,InputPopulationDeaths!F128)</f>
        <v>8.2340802837336774E-2</v>
      </c>
      <c r="E18" s="146">
        <f>'Active transport'!N30</f>
        <v>1.0466576906809824</v>
      </c>
      <c r="F18" s="146">
        <f>'Active transport'!O30</f>
        <v>1.0631385253359023</v>
      </c>
      <c r="G18" s="34">
        <f t="shared" si="0"/>
        <v>8.3056553916309672E-2</v>
      </c>
      <c r="H18" s="34">
        <f t="shared" si="0"/>
        <v>8.7539679703460493E-2</v>
      </c>
      <c r="I18" s="30">
        <f t="shared" si="1"/>
        <v>68.92186971276044</v>
      </c>
      <c r="J18" s="116">
        <f t="shared" si="1"/>
        <v>70.00712418416731</v>
      </c>
      <c r="K18" s="146">
        <f>'Active transport'!N39</f>
        <v>4.6300177019618589</v>
      </c>
      <c r="L18" s="146">
        <f>'Active transport'!O39</f>
        <v>2.1702480915035403</v>
      </c>
      <c r="M18" s="34">
        <f t="shared" si="2"/>
        <v>0.36741077653216597</v>
      </c>
      <c r="N18" s="34">
        <f t="shared" si="2"/>
        <v>0.17869997021059941</v>
      </c>
      <c r="O18" s="34">
        <f t="shared" si="3"/>
        <v>30.719946200838294</v>
      </c>
      <c r="P18" s="34">
        <f t="shared" si="3"/>
        <v>14.399492378875994</v>
      </c>
      <c r="Q18" s="145">
        <f t="shared" si="4"/>
        <v>0.30830375700374757</v>
      </c>
      <c r="R18" s="148">
        <f t="shared" si="4"/>
        <v>0.17059672529488271</v>
      </c>
      <c r="S18" s="146">
        <f>'Active transport'!AC30</f>
        <v>1.0579246064363828</v>
      </c>
      <c r="T18" s="146">
        <f>'Active transport'!AD30</f>
        <v>0.82771406236415135</v>
      </c>
      <c r="U18" s="110">
        <f t="shared" si="5"/>
        <v>8.3950629605277355E-2</v>
      </c>
      <c r="V18" s="110">
        <f t="shared" si="5"/>
        <v>6.8154640414817655E-2</v>
      </c>
      <c r="W18" s="136">
        <f t="shared" ref="W18:X24" si="9">U18/($U$25+$V$25)*$G$9/C18</f>
        <v>3.3130729437528288</v>
      </c>
      <c r="X18" s="139">
        <f t="shared" si="9"/>
        <v>2.5921290123119145</v>
      </c>
      <c r="Y18" s="146">
        <f>'Active transport'!AC39</f>
        <v>4.1056758192350893</v>
      </c>
      <c r="Z18" s="146">
        <f>'Active transport'!AD39</f>
        <v>0.62920512676133533</v>
      </c>
      <c r="AA18" s="110">
        <f t="shared" si="6"/>
        <v>0.32580211092828504</v>
      </c>
      <c r="AB18" s="110">
        <f t="shared" si="6"/>
        <v>5.1809255286896602E-2</v>
      </c>
      <c r="AC18" s="110">
        <f t="shared" ref="AC18:AD24" si="10">AA18/($AA$25+$AB$25)*$G$10/C18</f>
        <v>2.7065090214153837</v>
      </c>
      <c r="AD18" s="138">
        <f t="shared" si="10"/>
        <v>0.41477930233118915</v>
      </c>
      <c r="AE18" s="289">
        <f t="shared" ref="AE18:AF24" si="11">W18/(I18/60)</f>
        <v>2.884198839259958</v>
      </c>
      <c r="AF18" s="289">
        <f t="shared" si="11"/>
        <v>2.2215987665707995</v>
      </c>
      <c r="AG18" s="289">
        <f t="shared" si="7"/>
        <v>5.2861596899701491</v>
      </c>
      <c r="AH18" s="290">
        <f t="shared" si="7"/>
        <v>1.728308018439604</v>
      </c>
      <c r="AI18" s="429">
        <f t="shared" ref="AI18:AI24" si="12">MAX(2.5,1.2216*AE18+0.0838)</f>
        <v>3.6071373020399649</v>
      </c>
      <c r="AJ18" s="429">
        <f t="shared" ref="AJ18:AJ24" si="13">MAX(2.5,1.2216*AF18+0.0838)</f>
        <v>2.7977050532428889</v>
      </c>
      <c r="AK18" s="29">
        <f t="shared" si="8"/>
        <v>6</v>
      </c>
      <c r="AL18" s="124">
        <f t="shared" si="8"/>
        <v>6</v>
      </c>
      <c r="AM18" s="34"/>
      <c r="AN18" s="34"/>
      <c r="AO18" s="34"/>
      <c r="AP18" s="34"/>
    </row>
    <row r="19" spans="1:44" ht="13.15" customHeight="1" x14ac:dyDescent="0.2">
      <c r="B19" s="27" t="s">
        <v>30</v>
      </c>
      <c r="C19" s="518">
        <f>IF(GBDUS!$J$4=1,InputPopulationDeaths!E121,InputPopulationDeaths!F121)</f>
        <v>0.11863184480627653</v>
      </c>
      <c r="D19" s="519">
        <f>IF(GBDUS!$J$4=1,InputPopulationDeaths!E129,InputPopulationDeaths!F129)</f>
        <v>0.12543392981890483</v>
      </c>
      <c r="E19" s="146">
        <f>'Active transport'!N31</f>
        <v>0.73539655618359334</v>
      </c>
      <c r="F19" s="146">
        <f>'Active transport'!O31</f>
        <v>1</v>
      </c>
      <c r="G19" s="34">
        <f t="shared" si="0"/>
        <v>8.7241450124242267E-2</v>
      </c>
      <c r="H19" s="34">
        <f t="shared" si="0"/>
        <v>0.12543392981890483</v>
      </c>
      <c r="I19" s="30">
        <f t="shared" si="1"/>
        <v>48.425484362056736</v>
      </c>
      <c r="J19" s="116">
        <f t="shared" si="1"/>
        <v>65.849484818592501</v>
      </c>
      <c r="K19" s="146">
        <f>'Active transport'!N40</f>
        <v>4.2572172845957521</v>
      </c>
      <c r="L19" s="146">
        <f>'Active transport'!O40</f>
        <v>1</v>
      </c>
      <c r="M19" s="34">
        <f t="shared" si="2"/>
        <v>0.50504154021276126</v>
      </c>
      <c r="N19" s="34">
        <f t="shared" si="2"/>
        <v>0.12543392981890483</v>
      </c>
      <c r="O19" s="34">
        <f t="shared" si="3"/>
        <v>28.246433246387994</v>
      </c>
      <c r="P19" s="34">
        <f t="shared" si="3"/>
        <v>6.6349522136430394</v>
      </c>
      <c r="Q19" s="145">
        <f t="shared" si="4"/>
        <v>0.36840650563403804</v>
      </c>
      <c r="R19" s="148">
        <f t="shared" si="4"/>
        <v>9.1536231573300611E-2</v>
      </c>
      <c r="S19" s="146">
        <f>'Active transport'!AC31</f>
        <v>0.69743449595390872</v>
      </c>
      <c r="T19" s="146">
        <f>'Active transport'!AD31</f>
        <v>1</v>
      </c>
      <c r="U19" s="110">
        <f t="shared" si="5"/>
        <v>8.2737940886547803E-2</v>
      </c>
      <c r="V19" s="110">
        <f t="shared" si="5"/>
        <v>0.12543392981890483</v>
      </c>
      <c r="W19" s="136">
        <f t="shared" si="9"/>
        <v>2.1841361326949489</v>
      </c>
      <c r="X19" s="139">
        <f t="shared" si="9"/>
        <v>3.1316720715220994</v>
      </c>
      <c r="Y19" s="146">
        <f>'Active transport'!AC40</f>
        <v>3.9945006441280286</v>
      </c>
      <c r="Z19" s="146">
        <f>'Active transport'!AD40</f>
        <v>1</v>
      </c>
      <c r="AA19" s="110">
        <f t="shared" si="6"/>
        <v>0.47387498049276794</v>
      </c>
      <c r="AB19" s="110">
        <f t="shared" si="6"/>
        <v>0.12543392981890483</v>
      </c>
      <c r="AC19" s="110">
        <f t="shared" si="10"/>
        <v>2.6332210591814937</v>
      </c>
      <c r="AD19" s="138">
        <f t="shared" si="10"/>
        <v>0.65921157455622525</v>
      </c>
      <c r="AE19" s="289">
        <f t="shared" si="11"/>
        <v>2.7061818727904825</v>
      </c>
      <c r="AF19" s="289">
        <f t="shared" si="11"/>
        <v>2.853482070648981</v>
      </c>
      <c r="AG19" s="289">
        <f t="shared" si="7"/>
        <v>5.593388098693592</v>
      </c>
      <c r="AH19" s="290">
        <f t="shared" si="7"/>
        <v>5.9612628998357771</v>
      </c>
      <c r="AI19" s="429">
        <f t="shared" si="12"/>
        <v>3.3896717758008537</v>
      </c>
      <c r="AJ19" s="429">
        <f t="shared" si="13"/>
        <v>3.5696136975047952</v>
      </c>
      <c r="AK19" s="29">
        <f t="shared" si="8"/>
        <v>6</v>
      </c>
      <c r="AL19" s="124">
        <f t="shared" si="8"/>
        <v>6</v>
      </c>
      <c r="AM19" s="34"/>
      <c r="AN19" s="34"/>
      <c r="AO19" s="34"/>
      <c r="AP19" s="34"/>
    </row>
    <row r="20" spans="1:44" ht="13.15" customHeight="1" x14ac:dyDescent="0.2">
      <c r="B20" s="27" t="s">
        <v>31</v>
      </c>
      <c r="C20" s="518">
        <f>IF(GBDUS!$J$4=1,InputPopulationDeaths!E122,InputPopulationDeaths!F122)</f>
        <v>9.3628889247138483E-2</v>
      </c>
      <c r="D20" s="519">
        <f>IF(GBDUS!$J$4=1,InputPopulationDeaths!E130,InputPopulationDeaths!F130)</f>
        <v>9.6174969100972646E-2</v>
      </c>
      <c r="E20" s="146">
        <f>'Active transport'!N32</f>
        <v>0.63290173065606392</v>
      </c>
      <c r="F20" s="146">
        <f>'Active transport'!O32</f>
        <v>1.0934346459852222</v>
      </c>
      <c r="G20" s="34">
        <f t="shared" si="0"/>
        <v>5.9257886043918878E-2</v>
      </c>
      <c r="H20" s="34">
        <f t="shared" si="0"/>
        <v>0.10516104329156171</v>
      </c>
      <c r="I20" s="30">
        <f t="shared" si="1"/>
        <v>41.676252904497403</v>
      </c>
      <c r="J20" s="116">
        <f t="shared" si="1"/>
        <v>72.002108120926948</v>
      </c>
      <c r="K20" s="146">
        <f>'Active transport'!N41</f>
        <v>3.619264903178347</v>
      </c>
      <c r="L20" s="146">
        <f>'Active transport'!O41</f>
        <v>0.77780071464373512</v>
      </c>
      <c r="M20" s="34">
        <f t="shared" si="2"/>
        <v>0.33886775277574083</v>
      </c>
      <c r="N20" s="34">
        <f t="shared" si="2"/>
        <v>7.4804959697575668E-2</v>
      </c>
      <c r="O20" s="34">
        <f t="shared" si="3"/>
        <v>24.013649681103729</v>
      </c>
      <c r="P20" s="34">
        <f t="shared" si="3"/>
        <v>5.1606705733985887</v>
      </c>
      <c r="Q20" s="145">
        <f t="shared" si="4"/>
        <v>0.36556074428351171</v>
      </c>
      <c r="R20" s="148">
        <f t="shared" si="4"/>
        <v>6.6880310179629365E-2</v>
      </c>
      <c r="S20" s="146">
        <f>'Active transport'!AC32</f>
        <v>0.61020796764142826</v>
      </c>
      <c r="T20" s="146">
        <f>'Active transport'!AD32</f>
        <v>0.84829147302570207</v>
      </c>
      <c r="U20" s="110">
        <f t="shared" si="5"/>
        <v>5.7133094220020747E-2</v>
      </c>
      <c r="V20" s="110">
        <f t="shared" si="5"/>
        <v>8.1584406206865467E-2</v>
      </c>
      <c r="W20" s="136">
        <f t="shared" si="9"/>
        <v>1.9109712500829219</v>
      </c>
      <c r="X20" s="139">
        <f t="shared" si="9"/>
        <v>2.6565707145849338</v>
      </c>
      <c r="Y20" s="146">
        <f>'Active transport'!AC41</f>
        <v>3.4731171119276643</v>
      </c>
      <c r="Z20" s="146">
        <f>'Active transport'!AD41</f>
        <v>0.67214222576642479</v>
      </c>
      <c r="AA20" s="110">
        <f t="shared" si="6"/>
        <v>0.32518409741501675</v>
      </c>
      <c r="AB20" s="110">
        <f t="shared" si="6"/>
        <v>6.4643257794544884E-2</v>
      </c>
      <c r="AC20" s="110">
        <f t="shared" si="10"/>
        <v>2.2895189999720054</v>
      </c>
      <c r="AD20" s="138">
        <f t="shared" si="10"/>
        <v>0.44308393497321075</v>
      </c>
      <c r="AE20" s="289">
        <f t="shared" si="11"/>
        <v>2.7511656402440683</v>
      </c>
      <c r="AF20" s="289">
        <f t="shared" si="11"/>
        <v>2.2137441115945484</v>
      </c>
      <c r="AG20" s="289">
        <f t="shared" si="7"/>
        <v>5.7205440165314512</v>
      </c>
      <c r="AH20" s="290">
        <f t="shared" si="7"/>
        <v>5.1514693139742338</v>
      </c>
      <c r="AI20" s="429">
        <f t="shared" si="12"/>
        <v>3.4446239461221539</v>
      </c>
      <c r="AJ20" s="429">
        <f t="shared" si="13"/>
        <v>2.7881098067239005</v>
      </c>
      <c r="AK20" s="29">
        <f t="shared" si="8"/>
        <v>6</v>
      </c>
      <c r="AL20" s="124">
        <f t="shared" si="8"/>
        <v>6</v>
      </c>
      <c r="AM20" s="34"/>
      <c r="AN20" s="34"/>
      <c r="AO20" s="34"/>
      <c r="AP20" s="34"/>
    </row>
    <row r="21" spans="1:44" ht="13.15" customHeight="1" x14ac:dyDescent="0.2">
      <c r="B21" s="27" t="s">
        <v>32</v>
      </c>
      <c r="C21" s="518">
        <f>IF(GBDUS!$J$4=1,InputPopulationDeaths!E123,InputPopulationDeaths!F123)</f>
        <v>8.8875275404374232E-2</v>
      </c>
      <c r="D21" s="519">
        <f>IF(GBDUS!$J$4=1,InputPopulationDeaths!E131,InputPopulationDeaths!F131)</f>
        <v>8.7339459401364936E-2</v>
      </c>
      <c r="E21" s="146">
        <f>'Active transport'!N33</f>
        <v>0.43320769038424295</v>
      </c>
      <c r="F21" s="146">
        <f>'Active transport'!O33</f>
        <v>0.62864440907318142</v>
      </c>
      <c r="G21" s="34">
        <f t="shared" si="0"/>
        <v>3.8501452790192472E-2</v>
      </c>
      <c r="H21" s="34">
        <f t="shared" si="0"/>
        <v>5.4905462844142182E-2</v>
      </c>
      <c r="I21" s="30">
        <f t="shared" si="1"/>
        <v>28.526503231254718</v>
      </c>
      <c r="J21" s="116">
        <f t="shared" si="1"/>
        <v>41.395910471557514</v>
      </c>
      <c r="K21" s="146">
        <f>'Active transport'!N42</f>
        <v>4.0335264093771777</v>
      </c>
      <c r="L21" s="146">
        <f>'Active transport'!O42</f>
        <v>1.571589463272435</v>
      </c>
      <c r="M21" s="34">
        <f t="shared" si="2"/>
        <v>0.3584807704842134</v>
      </c>
      <c r="N21" s="34">
        <f t="shared" si="2"/>
        <v>0.13726177412309573</v>
      </c>
      <c r="O21" s="34">
        <f t="shared" si="3"/>
        <v>26.762254978684762</v>
      </c>
      <c r="P21" s="34">
        <f t="shared" si="3"/>
        <v>10.427420988277518</v>
      </c>
      <c r="Q21" s="145">
        <f t="shared" si="4"/>
        <v>0.4840451448930102</v>
      </c>
      <c r="R21" s="148">
        <f t="shared" si="4"/>
        <v>0.20121093520124519</v>
      </c>
      <c r="S21" s="146">
        <f>'Active transport'!AC33</f>
        <v>0.34667325053239095</v>
      </c>
      <c r="T21" s="146">
        <f>'Active transport'!AD33</f>
        <v>0.46207558373875701</v>
      </c>
      <c r="U21" s="110">
        <f t="shared" si="5"/>
        <v>3.0810680616395872E-2</v>
      </c>
      <c r="V21" s="110">
        <f t="shared" si="5"/>
        <v>4.0357431686313172E-2</v>
      </c>
      <c r="W21" s="136">
        <f t="shared" si="9"/>
        <v>1.0856669366360725</v>
      </c>
      <c r="X21" s="139">
        <f t="shared" si="9"/>
        <v>1.4470692005269368</v>
      </c>
      <c r="Y21" s="146">
        <f>'Active transport'!AC42</f>
        <v>4.0058255728618546</v>
      </c>
      <c r="Z21" s="146">
        <f>'Active transport'!AD42</f>
        <v>1.5500717598094129</v>
      </c>
      <c r="AA21" s="110">
        <f t="shared" si="6"/>
        <v>0.35601885100998248</v>
      </c>
      <c r="AB21" s="110">
        <f t="shared" si="6"/>
        <v>0.13538242953507651</v>
      </c>
      <c r="AC21" s="110">
        <f t="shared" si="10"/>
        <v>2.6406865832838564</v>
      </c>
      <c r="AD21" s="138">
        <f t="shared" si="10"/>
        <v>1.0218252454591019</v>
      </c>
      <c r="AE21" s="289">
        <f t="shared" si="11"/>
        <v>2.2834910984390993</v>
      </c>
      <c r="AF21" s="289">
        <f t="shared" si="11"/>
        <v>2.0974089237938549</v>
      </c>
      <c r="AG21" s="289">
        <f t="shared" si="7"/>
        <v>5.9203230491311167</v>
      </c>
      <c r="AH21" s="290">
        <f t="shared" si="7"/>
        <v>5.8796431827649549</v>
      </c>
      <c r="AI21" s="429">
        <f t="shared" si="12"/>
        <v>2.8733127258532036</v>
      </c>
      <c r="AJ21" s="429">
        <f t="shared" si="13"/>
        <v>2.6459947413065734</v>
      </c>
      <c r="AK21" s="29">
        <f t="shared" si="8"/>
        <v>6</v>
      </c>
      <c r="AL21" s="124">
        <f t="shared" si="8"/>
        <v>6</v>
      </c>
      <c r="AM21" s="34"/>
      <c r="AN21" s="34"/>
      <c r="AO21" s="34"/>
      <c r="AP21" s="34"/>
    </row>
    <row r="22" spans="1:44" ht="13.15" customHeight="1" x14ac:dyDescent="0.2">
      <c r="B22" s="27" t="s">
        <v>33</v>
      </c>
      <c r="C22" s="518">
        <f>IF(GBDUS!$J$4=1,InputPopulationDeaths!E124,InputPopulationDeaths!F124)</f>
        <v>3.8045031973776129E-2</v>
      </c>
      <c r="D22" s="519">
        <f>IF(GBDUS!$J$4=1,InputPopulationDeaths!E132,InputPopulationDeaths!F132)</f>
        <v>3.5549465312483208E-2</v>
      </c>
      <c r="E22" s="146">
        <f>'Active transport'!N34</f>
        <v>0.55228351942404919</v>
      </c>
      <c r="F22" s="146">
        <f>'Active transport'!O34</f>
        <v>0.61938043592938763</v>
      </c>
      <c r="G22" s="34">
        <f t="shared" si="0"/>
        <v>2.1011644155077561E-2</v>
      </c>
      <c r="H22" s="34">
        <f t="shared" si="0"/>
        <v>2.2018643322302495E-2</v>
      </c>
      <c r="I22" s="30">
        <f t="shared" si="1"/>
        <v>36.367585227872759</v>
      </c>
      <c r="J22" s="116">
        <f t="shared" si="1"/>
        <v>40.785882612665411</v>
      </c>
      <c r="K22" s="146">
        <f>'Active transport'!N43</f>
        <v>2.7003475790656961</v>
      </c>
      <c r="L22" s="146">
        <f>'Active transport'!O43</f>
        <v>0.34795950341788229</v>
      </c>
      <c r="M22" s="34">
        <f t="shared" si="2"/>
        <v>0.10273480998586337</v>
      </c>
      <c r="N22" s="34">
        <f t="shared" si="2"/>
        <v>1.2369774296902889E-2</v>
      </c>
      <c r="O22" s="34">
        <f t="shared" si="3"/>
        <v>17.916677147327562</v>
      </c>
      <c r="P22" s="34">
        <f t="shared" si="3"/>
        <v>2.3086946774606107</v>
      </c>
      <c r="Q22" s="145">
        <f t="shared" si="4"/>
        <v>0.33005288021584628</v>
      </c>
      <c r="R22" s="148">
        <f t="shared" si="4"/>
        <v>5.3572742155417012E-2</v>
      </c>
      <c r="S22" s="146">
        <f>'Active transport'!AC34</f>
        <v>0.37502206911587044</v>
      </c>
      <c r="T22" s="146">
        <f>'Active transport'!AD34</f>
        <v>0.40100304010466736</v>
      </c>
      <c r="U22" s="110">
        <f t="shared" si="5"/>
        <v>1.4267726610384971E-2</v>
      </c>
      <c r="V22" s="110">
        <f t="shared" si="5"/>
        <v>1.4255443664401185E-2</v>
      </c>
      <c r="W22" s="136">
        <f t="shared" si="9"/>
        <v>1.1744461400546018</v>
      </c>
      <c r="X22" s="139">
        <f t="shared" si="9"/>
        <v>1.2558100212912433</v>
      </c>
      <c r="Y22" s="146">
        <f>'Active transport'!AC43</f>
        <v>4.1656647025461622</v>
      </c>
      <c r="Z22" s="146">
        <f>'Active transport'!AD43</f>
        <v>0.56704662893085733</v>
      </c>
      <c r="AA22" s="110">
        <f t="shared" si="6"/>
        <v>0.15848284680039937</v>
      </c>
      <c r="AB22" s="110">
        <f t="shared" si="6"/>
        <v>2.0158204465738051E-2</v>
      </c>
      <c r="AC22" s="110">
        <f t="shared" si="10"/>
        <v>2.7460543876387451</v>
      </c>
      <c r="AD22" s="138">
        <f t="shared" si="10"/>
        <v>0.3738037011043101</v>
      </c>
      <c r="AE22" s="289">
        <f t="shared" si="11"/>
        <v>1.9376257170154132</v>
      </c>
      <c r="AF22" s="289">
        <f t="shared" si="11"/>
        <v>1.8474186765318714</v>
      </c>
      <c r="AG22" s="289">
        <f t="shared" si="7"/>
        <v>9.1960837326859277</v>
      </c>
      <c r="AH22" s="290">
        <f t="shared" si="7"/>
        <v>9.7146765595388089</v>
      </c>
      <c r="AI22" s="429">
        <f t="shared" si="12"/>
        <v>2.5</v>
      </c>
      <c r="AJ22" s="429">
        <f t="shared" si="13"/>
        <v>2.5</v>
      </c>
      <c r="AK22" s="29">
        <f t="shared" si="8"/>
        <v>6</v>
      </c>
      <c r="AL22" s="124">
        <f t="shared" si="8"/>
        <v>6</v>
      </c>
      <c r="AM22" s="34"/>
      <c r="AN22" s="34"/>
      <c r="AO22" s="34"/>
      <c r="AP22" s="34"/>
    </row>
    <row r="23" spans="1:44" ht="13.15" customHeight="1" x14ac:dyDescent="0.2">
      <c r="B23" s="27" t="s">
        <v>34</v>
      </c>
      <c r="C23" s="518">
        <f>IF(GBDUS!$J$4=1,InputPopulationDeaths!E125,InputPopulationDeaths!F125)</f>
        <v>2.2413885754204953E-2</v>
      </c>
      <c r="D23" s="519">
        <f>IF(GBDUS!$J$4=1,InputPopulationDeaths!E133,InputPopulationDeaths!F133)</f>
        <v>1.8071900693212961E-2</v>
      </c>
      <c r="E23" s="146">
        <f>'Active transport'!N35</f>
        <v>0.30408627982523373</v>
      </c>
      <c r="F23" s="146">
        <f>'Active transport'!O35</f>
        <v>0.44737895573459707</v>
      </c>
      <c r="G23" s="34">
        <f t="shared" si="0"/>
        <v>6.8157551354239877E-3</v>
      </c>
      <c r="H23" s="34">
        <f t="shared" si="0"/>
        <v>8.084988060268956E-3</v>
      </c>
      <c r="I23" s="30">
        <f t="shared" si="1"/>
        <v>20.023924866893999</v>
      </c>
      <c r="J23" s="116">
        <f t="shared" si="1"/>
        <v>29.459673753803113</v>
      </c>
      <c r="K23" s="146">
        <f>'Active transport'!N44</f>
        <v>1.6209065204740101</v>
      </c>
      <c r="L23" s="146">
        <f>'Active transport'!O44</f>
        <v>0</v>
      </c>
      <c r="M23" s="34">
        <f t="shared" si="2"/>
        <v>3.6330813568150336E-2</v>
      </c>
      <c r="N23" s="34">
        <f t="shared" si="2"/>
        <v>0</v>
      </c>
      <c r="O23" s="34">
        <f t="shared" si="3"/>
        <v>10.754637306127469</v>
      </c>
      <c r="P23" s="34">
        <f t="shared" si="3"/>
        <v>0</v>
      </c>
      <c r="Q23" s="145">
        <f t="shared" si="4"/>
        <v>0.34941974370571149</v>
      </c>
      <c r="R23" s="148">
        <f t="shared" si="4"/>
        <v>0</v>
      </c>
      <c r="S23" s="146">
        <f>'Active transport'!AC35</f>
        <v>0.20024475498097025</v>
      </c>
      <c r="T23" s="146">
        <f>'Active transport'!AD35</f>
        <v>0.238247790598686</v>
      </c>
      <c r="U23" s="110">
        <f t="shared" si="5"/>
        <v>4.4882630610222308E-3</v>
      </c>
      <c r="V23" s="110">
        <f t="shared" si="5"/>
        <v>4.3055904120768498E-3</v>
      </c>
      <c r="W23" s="136">
        <f t="shared" si="9"/>
        <v>0.62710090664269047</v>
      </c>
      <c r="X23" s="139">
        <f t="shared" si="9"/>
        <v>0.74611395191975038</v>
      </c>
      <c r="Y23" s="146">
        <f>'Active transport'!AC44</f>
        <v>2.2498891746588798</v>
      </c>
      <c r="Z23" s="146">
        <f>'Active transport'!AD44</f>
        <v>0</v>
      </c>
      <c r="AA23" s="110">
        <f t="shared" si="6"/>
        <v>5.0428758920426607E-2</v>
      </c>
      <c r="AB23" s="110">
        <f t="shared" si="6"/>
        <v>0</v>
      </c>
      <c r="AC23" s="110">
        <f t="shared" si="10"/>
        <v>1.4831529854038865</v>
      </c>
      <c r="AD23" s="138">
        <f t="shared" si="10"/>
        <v>0</v>
      </c>
      <c r="AE23" s="289">
        <f t="shared" si="11"/>
        <v>1.8790549129940763</v>
      </c>
      <c r="AF23" s="289">
        <f t="shared" si="11"/>
        <v>1.5195971784787952</v>
      </c>
      <c r="AG23" s="289">
        <f>AC23/(O23/60)</f>
        <v>8.2744937454591323</v>
      </c>
      <c r="AH23" s="290" t="e">
        <f t="shared" si="7"/>
        <v>#DIV/0!</v>
      </c>
      <c r="AI23" s="429">
        <f t="shared" si="12"/>
        <v>2.5</v>
      </c>
      <c r="AJ23" s="429">
        <f t="shared" si="13"/>
        <v>2.5</v>
      </c>
      <c r="AK23" s="29">
        <f t="shared" si="8"/>
        <v>6</v>
      </c>
      <c r="AL23" s="124">
        <f t="shared" si="8"/>
        <v>6</v>
      </c>
      <c r="AM23" s="34"/>
      <c r="AN23" s="34"/>
      <c r="AO23" s="34"/>
      <c r="AP23" s="34"/>
    </row>
    <row r="24" spans="1:44" ht="13.15" customHeight="1" x14ac:dyDescent="0.2">
      <c r="B24" s="90" t="s">
        <v>35</v>
      </c>
      <c r="C24" s="520">
        <f>IF(GBDUS!$J$4=1,InputPopulationDeaths!E126,InputPopulationDeaths!F126)</f>
        <v>1.8113815895534419E-2</v>
      </c>
      <c r="D24" s="521">
        <f>IF(GBDUS!$J$4=1,InputPopulationDeaths!E134,InputPopulationDeaths!F134)</f>
        <v>1.1142995324842819E-2</v>
      </c>
      <c r="E24" s="152">
        <f>'Active transport'!N36</f>
        <v>0.61399357815396693</v>
      </c>
      <c r="F24" s="149">
        <f>'Active transport'!O36</f>
        <v>0.52539302938939492</v>
      </c>
      <c r="G24" s="93">
        <f t="shared" si="0"/>
        <v>1.1121766635721382E-2</v>
      </c>
      <c r="H24" s="93">
        <f t="shared" si="0"/>
        <v>5.8544520701910331E-3</v>
      </c>
      <c r="I24" s="92">
        <f t="shared" si="1"/>
        <v>40.431160803362928</v>
      </c>
      <c r="J24" s="117">
        <f t="shared" si="1"/>
        <v>34.596860312571273</v>
      </c>
      <c r="K24" s="152">
        <f>'Active transport'!N45</f>
        <v>0.19906232193167198</v>
      </c>
      <c r="L24" s="149">
        <f>'Active transport'!O45</f>
        <v>0</v>
      </c>
      <c r="M24" s="93">
        <f t="shared" si="2"/>
        <v>3.6057782512079095E-3</v>
      </c>
      <c r="N24" s="93">
        <f t="shared" si="2"/>
        <v>0</v>
      </c>
      <c r="O24" s="93">
        <f t="shared" si="3"/>
        <v>1.3207689935534703</v>
      </c>
      <c r="P24" s="93">
        <f t="shared" si="3"/>
        <v>0</v>
      </c>
      <c r="Q24" s="150">
        <f t="shared" si="4"/>
        <v>3.1633723278846289E-2</v>
      </c>
      <c r="R24" s="151">
        <f t="shared" si="4"/>
        <v>0</v>
      </c>
      <c r="S24" s="152">
        <f>'Active transport'!AC36</f>
        <v>0.28707008415257856</v>
      </c>
      <c r="T24" s="149">
        <f>'Active transport'!AD36</f>
        <v>0.38396622537171893</v>
      </c>
      <c r="U24" s="153">
        <f t="shared" si="5"/>
        <v>5.1999346534553808E-3</v>
      </c>
      <c r="V24" s="153">
        <f t="shared" si="5"/>
        <v>4.2785338542146081E-3</v>
      </c>
      <c r="W24" s="154">
        <f t="shared" si="9"/>
        <v>0.89900936511012919</v>
      </c>
      <c r="X24" s="155">
        <f t="shared" si="9"/>
        <v>1.2024563044043723</v>
      </c>
      <c r="Y24" s="152">
        <f>'Active transport'!AC45</f>
        <v>0.1373937576569885</v>
      </c>
      <c r="Z24" s="149">
        <f>'Active transport'!AD45</f>
        <v>0</v>
      </c>
      <c r="AA24" s="153">
        <f t="shared" si="6"/>
        <v>2.4887252313943622E-3</v>
      </c>
      <c r="AB24" s="153">
        <f t="shared" si="6"/>
        <v>0</v>
      </c>
      <c r="AC24" s="153">
        <f t="shared" si="10"/>
        <v>9.0571555319259825E-2</v>
      </c>
      <c r="AD24" s="156">
        <f t="shared" si="10"/>
        <v>0</v>
      </c>
      <c r="AE24" s="291">
        <f t="shared" si="11"/>
        <v>1.3341333969842675</v>
      </c>
      <c r="AF24" s="291">
        <f t="shared" si="11"/>
        <v>2.0853735747242514</v>
      </c>
      <c r="AG24" s="291">
        <f>AC24/(O24/60)</f>
        <v>4.1144918950094862</v>
      </c>
      <c r="AH24" s="290" t="e">
        <f t="shared" si="7"/>
        <v>#DIV/0!</v>
      </c>
      <c r="AI24" s="429">
        <f t="shared" si="12"/>
        <v>2.5</v>
      </c>
      <c r="AJ24" s="429">
        <f t="shared" si="13"/>
        <v>2.6312923588831456</v>
      </c>
      <c r="AK24" s="122">
        <f t="shared" si="8"/>
        <v>6</v>
      </c>
      <c r="AL24" s="124">
        <f t="shared" si="8"/>
        <v>6</v>
      </c>
      <c r="AM24" s="34"/>
      <c r="AN24" s="34"/>
      <c r="AO24" s="34"/>
      <c r="AP24" s="34"/>
    </row>
    <row r="25" spans="1:44" ht="13.15" customHeight="1" x14ac:dyDescent="0.2">
      <c r="B25" s="27" t="s">
        <v>124</v>
      </c>
      <c r="C25" s="38">
        <f t="shared" ref="C25:P25" si="14">SUM(C17:C24)</f>
        <v>0.5004449459938739</v>
      </c>
      <c r="D25" s="38">
        <f t="shared" si="14"/>
        <v>0.49955505400612604</v>
      </c>
      <c r="E25" s="29">
        <f t="shared" si="14"/>
        <v>5.562788185038178</v>
      </c>
      <c r="F25" s="29">
        <f t="shared" si="14"/>
        <v>6.5622033293208508</v>
      </c>
      <c r="G25" s="34">
        <f t="shared" si="14"/>
        <v>0.35849668121656214</v>
      </c>
      <c r="H25" s="34">
        <f t="shared" si="14"/>
        <v>0.46054026346570764</v>
      </c>
      <c r="I25" s="29"/>
      <c r="J25" s="29"/>
      <c r="K25" s="29">
        <f t="shared" si="14"/>
        <v>21.301172279143159</v>
      </c>
      <c r="L25" s="29">
        <f t="shared" si="14"/>
        <v>7.4211005427494126</v>
      </c>
      <c r="M25" s="29">
        <f t="shared" si="14"/>
        <v>1.7224382811703507</v>
      </c>
      <c r="N25" s="29">
        <f t="shared" si="14"/>
        <v>0.5961501578541567</v>
      </c>
      <c r="O25" s="29">
        <f t="shared" si="14"/>
        <v>141.33226016669266</v>
      </c>
      <c r="P25" s="29">
        <f t="shared" si="14"/>
        <v>49.23864747378277</v>
      </c>
      <c r="Q25" s="29"/>
      <c r="R25" s="29"/>
      <c r="S25" s="29"/>
      <c r="T25" s="29"/>
      <c r="U25" s="34">
        <f>SUM(U17:U24)</f>
        <v>0.30846668020457879</v>
      </c>
      <c r="V25" s="34">
        <f>SUM(V17:V24)</f>
        <v>0.39786525669100198</v>
      </c>
      <c r="W25" s="108"/>
      <c r="X25" s="29"/>
      <c r="Y25" s="29"/>
      <c r="Z25" s="29"/>
      <c r="AA25" s="29">
        <f>SUM(AA17:AA24)</f>
        <v>1.6981927319260872</v>
      </c>
      <c r="AB25" s="34">
        <f>SUM(AB17:AB24)</f>
        <v>0.43617513160418903</v>
      </c>
      <c r="AC25" s="108"/>
      <c r="AD25" s="29"/>
      <c r="AE25" s="108"/>
      <c r="AI25" s="29"/>
      <c r="AJ25" s="112"/>
      <c r="AK25" s="29"/>
      <c r="AL25" s="112"/>
      <c r="AM25" s="29"/>
      <c r="AN25" s="29"/>
      <c r="AO25" s="29"/>
      <c r="AP25" s="29"/>
    </row>
    <row r="26" spans="1:44" ht="13.15" customHeight="1" x14ac:dyDescent="0.2">
      <c r="C26" s="38"/>
      <c r="D26" s="38"/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30"/>
      <c r="X26" s="29"/>
      <c r="Y26" s="29"/>
      <c r="Z26" s="29"/>
      <c r="AA26" s="29"/>
      <c r="AB26" s="29"/>
      <c r="AC26" s="30"/>
      <c r="AD26" s="29"/>
      <c r="AE26" s="29"/>
      <c r="AF26" s="29"/>
      <c r="AG26" s="29"/>
      <c r="AH26" s="29"/>
      <c r="AI26" s="29"/>
      <c r="AJ26" s="29"/>
      <c r="AK26" s="29"/>
      <c r="AL26" s="29"/>
      <c r="AQ26" s="108"/>
      <c r="AR26" s="108"/>
    </row>
    <row r="27" spans="1:44" ht="13.15" customHeight="1" x14ac:dyDescent="0.2">
      <c r="B27" s="134"/>
      <c r="C27" s="646" t="s">
        <v>114</v>
      </c>
      <c r="D27" s="646"/>
      <c r="E27" s="646"/>
      <c r="F27" s="646"/>
      <c r="G27" s="646"/>
      <c r="H27" s="646"/>
      <c r="I27" s="646"/>
      <c r="J27" s="646"/>
      <c r="K27" s="646"/>
      <c r="L27" s="646"/>
      <c r="M27" s="646"/>
      <c r="N27" s="646"/>
      <c r="O27" s="646"/>
      <c r="P27" s="646"/>
      <c r="Q27" s="647"/>
      <c r="R27" s="631" t="s">
        <v>121</v>
      </c>
      <c r="S27" s="627"/>
      <c r="T27" s="627"/>
      <c r="U27" s="627"/>
      <c r="V27" s="628"/>
      <c r="W27" s="627" t="s">
        <v>122</v>
      </c>
      <c r="X27" s="627"/>
      <c r="Y27" s="627"/>
      <c r="Z27" s="627"/>
      <c r="AA27" s="628"/>
      <c r="AB27" s="631" t="s">
        <v>54</v>
      </c>
      <c r="AC27" s="627"/>
      <c r="AD27" s="627"/>
      <c r="AE27" s="627"/>
      <c r="AF27" s="628"/>
      <c r="AG27" s="627" t="s">
        <v>55</v>
      </c>
      <c r="AH27" s="627"/>
      <c r="AI27" s="627"/>
      <c r="AJ27" s="627"/>
      <c r="AK27" s="628"/>
      <c r="AL27" s="631" t="s">
        <v>56</v>
      </c>
      <c r="AM27" s="627"/>
      <c r="AN27" s="627"/>
      <c r="AO27" s="627"/>
      <c r="AP27" s="628"/>
    </row>
    <row r="28" spans="1:44" ht="13.15" customHeight="1" x14ac:dyDescent="0.2">
      <c r="B28" s="99"/>
      <c r="C28" s="653" t="s">
        <v>0</v>
      </c>
      <c r="D28" s="655" t="s">
        <v>47</v>
      </c>
      <c r="E28" s="655" t="s">
        <v>123</v>
      </c>
      <c r="F28" s="657" t="s">
        <v>119</v>
      </c>
      <c r="G28" s="659" t="s">
        <v>120</v>
      </c>
      <c r="H28" s="632" t="s">
        <v>118</v>
      </c>
      <c r="I28" s="632"/>
      <c r="J28" s="632"/>
      <c r="K28" s="632"/>
      <c r="L28" s="633"/>
      <c r="M28" s="632" t="s">
        <v>115</v>
      </c>
      <c r="N28" s="632"/>
      <c r="O28" s="632"/>
      <c r="P28" s="632"/>
      <c r="Q28" s="633"/>
      <c r="R28" s="661">
        <v>0.1</v>
      </c>
      <c r="S28" s="625">
        <v>0.3</v>
      </c>
      <c r="T28" s="625">
        <v>0.5</v>
      </c>
      <c r="U28" s="625">
        <v>0.7</v>
      </c>
      <c r="V28" s="629">
        <v>0.9</v>
      </c>
      <c r="W28" s="623">
        <v>0.1</v>
      </c>
      <c r="X28" s="625">
        <v>0.3</v>
      </c>
      <c r="Y28" s="625">
        <v>0.5</v>
      </c>
      <c r="Z28" s="625">
        <v>0.7</v>
      </c>
      <c r="AA28" s="629">
        <v>0.9</v>
      </c>
      <c r="AB28" s="623">
        <v>0.1</v>
      </c>
      <c r="AC28" s="625">
        <v>0.3</v>
      </c>
      <c r="AD28" s="625">
        <v>0.5</v>
      </c>
      <c r="AE28" s="625">
        <v>0.7</v>
      </c>
      <c r="AF28" s="629">
        <v>0.9</v>
      </c>
      <c r="AG28" s="623">
        <v>0.1</v>
      </c>
      <c r="AH28" s="625">
        <v>0.3</v>
      </c>
      <c r="AI28" s="625">
        <v>0.5</v>
      </c>
      <c r="AJ28" s="625">
        <v>0.7</v>
      </c>
      <c r="AK28" s="629">
        <v>0.9</v>
      </c>
      <c r="AL28" s="623">
        <v>0.1</v>
      </c>
      <c r="AM28" s="625">
        <v>0.3</v>
      </c>
      <c r="AN28" s="625">
        <v>0.5</v>
      </c>
      <c r="AO28" s="625">
        <v>0.7</v>
      </c>
      <c r="AP28" s="629">
        <v>0.9</v>
      </c>
    </row>
    <row r="29" spans="1:44" ht="13.15" customHeight="1" x14ac:dyDescent="0.2">
      <c r="A29" s="108"/>
      <c r="B29" s="51"/>
      <c r="C29" s="654"/>
      <c r="D29" s="656"/>
      <c r="E29" s="656"/>
      <c r="F29" s="658"/>
      <c r="G29" s="660"/>
      <c r="H29" s="119">
        <v>0.1</v>
      </c>
      <c r="I29" s="119">
        <v>0.3</v>
      </c>
      <c r="J29" s="119">
        <v>0.5</v>
      </c>
      <c r="K29" s="119">
        <v>0.7</v>
      </c>
      <c r="L29" s="120">
        <v>0.9</v>
      </c>
      <c r="M29" s="119">
        <v>0.1</v>
      </c>
      <c r="N29" s="119">
        <v>0.3</v>
      </c>
      <c r="O29" s="119">
        <v>0.5</v>
      </c>
      <c r="P29" s="119">
        <v>0.7</v>
      </c>
      <c r="Q29" s="120">
        <v>0.9</v>
      </c>
      <c r="R29" s="662"/>
      <c r="S29" s="626"/>
      <c r="T29" s="626"/>
      <c r="U29" s="626"/>
      <c r="V29" s="630"/>
      <c r="W29" s="624"/>
      <c r="X29" s="626"/>
      <c r="Y29" s="626"/>
      <c r="Z29" s="626"/>
      <c r="AA29" s="630"/>
      <c r="AB29" s="624"/>
      <c r="AC29" s="626"/>
      <c r="AD29" s="626"/>
      <c r="AE29" s="626"/>
      <c r="AF29" s="630"/>
      <c r="AG29" s="624"/>
      <c r="AH29" s="626"/>
      <c r="AI29" s="626"/>
      <c r="AJ29" s="626"/>
      <c r="AK29" s="630"/>
      <c r="AL29" s="624"/>
      <c r="AM29" s="626"/>
      <c r="AN29" s="626"/>
      <c r="AO29" s="626"/>
      <c r="AP29" s="630"/>
    </row>
    <row r="30" spans="1:44" ht="13.15" customHeight="1" x14ac:dyDescent="0.2">
      <c r="A30" s="108"/>
      <c r="B30" s="99" t="s">
        <v>113</v>
      </c>
      <c r="C30" s="108"/>
      <c r="D30" s="29">
        <f>G7</f>
        <v>69.316884350754322</v>
      </c>
      <c r="E30" s="29">
        <f t="shared" ref="E30:E46" si="15">D30*$G$8</f>
        <v>127.62998710273453</v>
      </c>
      <c r="F30" s="34">
        <f t="shared" ref="F30:F46" si="16">LN(D30)-(1/2*(LN(1+(E30/D30)^2)))</f>
        <v>3.4989992913546972</v>
      </c>
      <c r="G30" s="159">
        <f t="shared" ref="G30:G46" si="17">SQRT((LN(1+(E30/D30)^2)))</f>
        <v>1.216297025064548</v>
      </c>
      <c r="H30" s="30">
        <f t="shared" ref="H30:H46" si="18">NORMINV(M$29,$F30,$G30)</f>
        <v>1.9402519347159854</v>
      </c>
      <c r="I30" s="30">
        <f t="shared" ref="I30:I46" si="19">NORMINV(N$29,$F30,$G30)</f>
        <v>2.8611725078055832</v>
      </c>
      <c r="J30" s="30">
        <f t="shared" ref="J30:J46" si="20">NORMINV(O$29,$F30,$G30)</f>
        <v>3.4989992913546972</v>
      </c>
      <c r="K30" s="30">
        <f t="shared" ref="K30:K46" si="21">NORMINV(P$29,$F30,$G30)</f>
        <v>4.1368260749038113</v>
      </c>
      <c r="L30" s="116">
        <f t="shared" ref="L30:L46" si="22">NORMINV(Q$29,$F30,$G30)</f>
        <v>5.057746647993409</v>
      </c>
      <c r="M30" s="30">
        <f t="shared" ref="M30:Q46" si="23">EXP(H30)</f>
        <v>6.960504342445013</v>
      </c>
      <c r="N30" s="30">
        <f t="shared" si="23"/>
        <v>17.482012720734499</v>
      </c>
      <c r="O30" s="30">
        <f t="shared" si="23"/>
        <v>33.082329615295947</v>
      </c>
      <c r="P30" s="30">
        <f t="shared" si="23"/>
        <v>62.603805995234666</v>
      </c>
      <c r="Q30" s="116">
        <f t="shared" si="23"/>
        <v>157.23580920727412</v>
      </c>
      <c r="R30" s="29">
        <f>M30*(1-($G$6/$G$7))</f>
        <v>5.4157367840060635</v>
      </c>
      <c r="S30" s="29">
        <f>N30*(1-($G$6/$G$7))</f>
        <v>13.602172298463973</v>
      </c>
      <c r="T30" s="29">
        <f>O30*(1-($G$6/$G$7))</f>
        <v>25.74025969722133</v>
      </c>
      <c r="U30" s="29">
        <f>P30*(1-($G$6/$G$7))</f>
        <v>48.709937996831314</v>
      </c>
      <c r="V30" s="130">
        <f>Q30*(1-($G$6/$G$7))</f>
        <v>122.33995035303303</v>
      </c>
      <c r="W30" s="30">
        <f t="shared" ref="W30:AA46" si="24">M30-R30</f>
        <v>1.5447675584389495</v>
      </c>
      <c r="X30" s="30">
        <f t="shared" si="24"/>
        <v>3.8798404222705258</v>
      </c>
      <c r="Y30" s="30">
        <f t="shared" si="24"/>
        <v>7.3420699180746176</v>
      </c>
      <c r="Z30" s="30">
        <f t="shared" si="24"/>
        <v>13.893867998403351</v>
      </c>
      <c r="AA30" s="116">
        <f t="shared" si="24"/>
        <v>34.895858854241084</v>
      </c>
      <c r="AB30" s="161"/>
      <c r="AC30" s="161"/>
      <c r="AD30" s="161"/>
      <c r="AE30" s="161"/>
      <c r="AF30" s="162"/>
      <c r="AG30" s="161"/>
      <c r="AH30" s="161"/>
      <c r="AI30" s="161"/>
      <c r="AJ30" s="161"/>
      <c r="AK30" s="162"/>
      <c r="AL30" s="161"/>
      <c r="AM30" s="161"/>
      <c r="AN30" s="161"/>
      <c r="AO30" s="161"/>
      <c r="AP30" s="162"/>
    </row>
    <row r="31" spans="1:44" ht="13.15" customHeight="1" x14ac:dyDescent="0.2">
      <c r="A31" s="108"/>
      <c r="B31" s="618" t="s">
        <v>57</v>
      </c>
      <c r="C31" s="98" t="s">
        <v>6</v>
      </c>
      <c r="D31" s="29">
        <f t="shared" ref="D31:D38" si="25">I17+O17</f>
        <v>83.531847643687556</v>
      </c>
      <c r="E31" s="29">
        <f t="shared" si="15"/>
        <v>153.80334441294622</v>
      </c>
      <c r="F31" s="34">
        <f t="shared" si="16"/>
        <v>3.6855387414549252</v>
      </c>
      <c r="G31" s="118">
        <f t="shared" si="17"/>
        <v>1.216297025064548</v>
      </c>
      <c r="H31" s="30">
        <f t="shared" si="18"/>
        <v>2.1267913848162134</v>
      </c>
      <c r="I31" s="30">
        <f t="shared" si="19"/>
        <v>3.0477119579058112</v>
      </c>
      <c r="J31" s="30">
        <f t="shared" si="20"/>
        <v>3.6855387414549252</v>
      </c>
      <c r="K31" s="30">
        <f t="shared" si="21"/>
        <v>4.3233655250040393</v>
      </c>
      <c r="L31" s="116">
        <f t="shared" si="22"/>
        <v>5.244286098093637</v>
      </c>
      <c r="M31" s="30">
        <f t="shared" si="23"/>
        <v>8.3879100121443226</v>
      </c>
      <c r="N31" s="30">
        <f t="shared" si="23"/>
        <v>21.067086854395097</v>
      </c>
      <c r="O31" s="30">
        <f t="shared" si="23"/>
        <v>39.866594452511343</v>
      </c>
      <c r="P31" s="30">
        <f t="shared" si="23"/>
        <v>75.44210380038534</v>
      </c>
      <c r="Q31" s="116">
        <f t="shared" si="23"/>
        <v>189.48049644546688</v>
      </c>
      <c r="R31" s="29">
        <f t="shared" ref="R31:V38" si="26">M31*(1-$Q17)</f>
        <v>8.2274564866660818</v>
      </c>
      <c r="S31" s="29">
        <f t="shared" si="26"/>
        <v>20.664091548955497</v>
      </c>
      <c r="T31" s="29">
        <f t="shared" si="26"/>
        <v>39.103980688241663</v>
      </c>
      <c r="U31" s="29">
        <f t="shared" si="26"/>
        <v>73.998961050076716</v>
      </c>
      <c r="V31" s="124">
        <f t="shared" si="26"/>
        <v>185.85589703750662</v>
      </c>
      <c r="W31" s="30">
        <f t="shared" si="24"/>
        <v>0.16045352547824088</v>
      </c>
      <c r="X31" s="30">
        <f t="shared" si="24"/>
        <v>0.4029953054395996</v>
      </c>
      <c r="Y31" s="30">
        <f t="shared" si="24"/>
        <v>0.76261376426968042</v>
      </c>
      <c r="Z31" s="30">
        <f t="shared" si="24"/>
        <v>1.443142750308624</v>
      </c>
      <c r="AA31" s="116">
        <f t="shared" si="24"/>
        <v>3.624599407960261</v>
      </c>
      <c r="AB31" s="163">
        <f t="shared" ref="AB31:AF38" si="27">R31*$AI17/60</f>
        <v>0.34281068694442013</v>
      </c>
      <c r="AC31" s="163">
        <f t="shared" si="27"/>
        <v>0.86100381453981234</v>
      </c>
      <c r="AD31" s="163">
        <f t="shared" si="27"/>
        <v>1.6293325286767362</v>
      </c>
      <c r="AE31" s="163">
        <f t="shared" si="27"/>
        <v>3.0832900437531965</v>
      </c>
      <c r="AF31" s="164">
        <f t="shared" si="27"/>
        <v>7.743995709896109</v>
      </c>
      <c r="AG31" s="163">
        <f t="shared" ref="AG31:AK38" si="28">W31*$AK17/60</f>
        <v>1.6045352547824087E-2</v>
      </c>
      <c r="AH31" s="163">
        <f t="shared" si="28"/>
        <v>4.029953054395996E-2</v>
      </c>
      <c r="AI31" s="163">
        <f t="shared" si="28"/>
        <v>7.6261376426968036E-2</v>
      </c>
      <c r="AJ31" s="163">
        <f t="shared" si="28"/>
        <v>0.14431427503086242</v>
      </c>
      <c r="AK31" s="164">
        <f t="shared" si="28"/>
        <v>0.36245994079602611</v>
      </c>
      <c r="AL31" s="165">
        <f>AB31+AG31</f>
        <v>0.35885603949224421</v>
      </c>
      <c r="AM31" s="165">
        <f t="shared" ref="AM31:AP46" si="29">AC31+AH31</f>
        <v>0.9013033450837723</v>
      </c>
      <c r="AN31" s="165">
        <f t="shared" si="29"/>
        <v>1.7055939051037041</v>
      </c>
      <c r="AO31" s="165">
        <f t="shared" si="29"/>
        <v>3.2276043187840591</v>
      </c>
      <c r="AP31" s="166">
        <f t="shared" si="29"/>
        <v>8.1064556506921353</v>
      </c>
    </row>
    <row r="32" spans="1:44" ht="13.15" customHeight="1" x14ac:dyDescent="0.2">
      <c r="A32" s="108"/>
      <c r="B32" s="618"/>
      <c r="C32" s="98" t="s">
        <v>53</v>
      </c>
      <c r="D32" s="29">
        <f t="shared" si="25"/>
        <v>99.641815913598734</v>
      </c>
      <c r="E32" s="29">
        <f t="shared" si="15"/>
        <v>183.46588712202069</v>
      </c>
      <c r="F32" s="34">
        <f t="shared" si="16"/>
        <v>3.8618926883825457</v>
      </c>
      <c r="G32" s="118">
        <f t="shared" si="17"/>
        <v>1.216297025064548</v>
      </c>
      <c r="H32" s="30">
        <f t="shared" si="18"/>
        <v>2.303145331743834</v>
      </c>
      <c r="I32" s="30">
        <f t="shared" si="19"/>
        <v>3.2240659048334317</v>
      </c>
      <c r="J32" s="30">
        <f t="shared" si="20"/>
        <v>3.8618926883825457</v>
      </c>
      <c r="K32" s="30">
        <f t="shared" si="21"/>
        <v>4.4997194719316598</v>
      </c>
      <c r="L32" s="116">
        <f t="shared" si="22"/>
        <v>5.4206400450212575</v>
      </c>
      <c r="M32" s="30">
        <f t="shared" si="23"/>
        <v>10.005603957128276</v>
      </c>
      <c r="N32" s="30">
        <f t="shared" si="23"/>
        <v>25.130089294033045</v>
      </c>
      <c r="O32" s="30">
        <f t="shared" si="23"/>
        <v>47.555273558460819</v>
      </c>
      <c r="P32" s="30">
        <f t="shared" si="23"/>
        <v>89.99188251022332</v>
      </c>
      <c r="Q32" s="116">
        <f t="shared" si="23"/>
        <v>226.02374158622212</v>
      </c>
      <c r="R32" s="29">
        <f t="shared" si="26"/>
        <v>6.9208386660540651</v>
      </c>
      <c r="S32" s="29">
        <f t="shared" si="26"/>
        <v>17.382388350843001</v>
      </c>
      <c r="T32" s="29">
        <f t="shared" si="26"/>
        <v>32.893804055046374</v>
      </c>
      <c r="U32" s="29">
        <f t="shared" si="26"/>
        <v>62.247047032481632</v>
      </c>
      <c r="V32" s="124">
        <f t="shared" si="26"/>
        <v>156.33977288314566</v>
      </c>
      <c r="W32" s="30">
        <f t="shared" si="24"/>
        <v>3.0847652910742109</v>
      </c>
      <c r="X32" s="30">
        <f t="shared" si="24"/>
        <v>7.7477009431900434</v>
      </c>
      <c r="Y32" s="30">
        <f t="shared" si="24"/>
        <v>14.661469503414445</v>
      </c>
      <c r="Z32" s="30">
        <f t="shared" si="24"/>
        <v>27.744835477741688</v>
      </c>
      <c r="AA32" s="116">
        <f t="shared" si="24"/>
        <v>69.683968703076459</v>
      </c>
      <c r="AB32" s="163">
        <f t="shared" si="27"/>
        <v>0.41607358856206883</v>
      </c>
      <c r="AC32" s="163">
        <f t="shared" si="27"/>
        <v>1.0450110236478456</v>
      </c>
      <c r="AD32" s="163">
        <f t="shared" si="27"/>
        <v>1.9775411268825205</v>
      </c>
      <c r="AE32" s="163">
        <f t="shared" si="27"/>
        <v>3.7422274215450098</v>
      </c>
      <c r="AF32" s="164">
        <f t="shared" si="27"/>
        <v>9.3989837759875154</v>
      </c>
      <c r="AG32" s="163">
        <f t="shared" si="28"/>
        <v>0.30847652910742107</v>
      </c>
      <c r="AH32" s="163">
        <f t="shared" si="28"/>
        <v>0.77477009431900434</v>
      </c>
      <c r="AI32" s="163">
        <f t="shared" si="28"/>
        <v>1.4661469503414444</v>
      </c>
      <c r="AJ32" s="163">
        <f t="shared" si="28"/>
        <v>2.7744835477741687</v>
      </c>
      <c r="AK32" s="164">
        <f t="shared" si="28"/>
        <v>6.9683968703076458</v>
      </c>
      <c r="AL32" s="165">
        <f t="shared" ref="AL32:AL46" si="30">AB32+AG32</f>
        <v>0.72455011766948996</v>
      </c>
      <c r="AM32" s="165">
        <f t="shared" si="29"/>
        <v>1.8197811179668499</v>
      </c>
      <c r="AN32" s="165">
        <f t="shared" si="29"/>
        <v>3.4436880772239649</v>
      </c>
      <c r="AO32" s="165">
        <f t="shared" si="29"/>
        <v>6.5167109693191785</v>
      </c>
      <c r="AP32" s="166">
        <f t="shared" si="29"/>
        <v>16.36738064629516</v>
      </c>
    </row>
    <row r="33" spans="1:42" ht="13.15" customHeight="1" x14ac:dyDescent="0.2">
      <c r="A33" s="108"/>
      <c r="B33" s="618"/>
      <c r="C33" s="98" t="s">
        <v>30</v>
      </c>
      <c r="D33" s="29">
        <f t="shared" si="25"/>
        <v>76.67191760844473</v>
      </c>
      <c r="E33" s="29">
        <f t="shared" si="15"/>
        <v>141.17247113980011</v>
      </c>
      <c r="F33" s="34">
        <f t="shared" si="16"/>
        <v>3.5998462818642123</v>
      </c>
      <c r="G33" s="118">
        <f t="shared" si="17"/>
        <v>1.216297025064548</v>
      </c>
      <c r="H33" s="30">
        <f t="shared" si="18"/>
        <v>2.0410989252255005</v>
      </c>
      <c r="I33" s="30">
        <f t="shared" si="19"/>
        <v>2.9620194983150983</v>
      </c>
      <c r="J33" s="30">
        <f t="shared" si="20"/>
        <v>3.5998462818642123</v>
      </c>
      <c r="K33" s="30">
        <f t="shared" si="21"/>
        <v>4.2376730654133263</v>
      </c>
      <c r="L33" s="116">
        <f t="shared" si="22"/>
        <v>5.1585936385029241</v>
      </c>
      <c r="M33" s="30">
        <f t="shared" si="23"/>
        <v>7.6990652487593874</v>
      </c>
      <c r="N33" s="30">
        <f t="shared" si="23"/>
        <v>19.336983355619509</v>
      </c>
      <c r="O33" s="30">
        <f t="shared" si="23"/>
        <v>36.592609063678722</v>
      </c>
      <c r="P33" s="30">
        <f t="shared" si="23"/>
        <v>69.246532070789158</v>
      </c>
      <c r="Q33" s="116">
        <f t="shared" si="23"/>
        <v>173.91968957569094</v>
      </c>
      <c r="R33" s="29">
        <f t="shared" si="26"/>
        <v>4.8626795238154861</v>
      </c>
      <c r="S33" s="29">
        <f t="shared" si="26"/>
        <v>12.213112888072171</v>
      </c>
      <c r="T33" s="29">
        <f t="shared" si="26"/>
        <v>23.111653826496418</v>
      </c>
      <c r="U33" s="29">
        <f t="shared" si="26"/>
        <v>43.735659163314381</v>
      </c>
      <c r="V33" s="124">
        <f t="shared" si="26"/>
        <v>109.84654447815402</v>
      </c>
      <c r="W33" s="30">
        <f t="shared" si="24"/>
        <v>2.8363857249439013</v>
      </c>
      <c r="X33" s="30">
        <f t="shared" si="24"/>
        <v>7.1238704675473379</v>
      </c>
      <c r="Y33" s="30">
        <f t="shared" si="24"/>
        <v>13.480955237182304</v>
      </c>
      <c r="Z33" s="30">
        <f t="shared" si="24"/>
        <v>25.510872907474777</v>
      </c>
      <c r="AA33" s="116">
        <f t="shared" si="24"/>
        <v>64.073145097536923</v>
      </c>
      <c r="AB33" s="163">
        <f t="shared" si="27"/>
        <v>0.27471479227736817</v>
      </c>
      <c r="AC33" s="163">
        <f t="shared" si="27"/>
        <v>0.68997406752279811</v>
      </c>
      <c r="AD33" s="163">
        <f t="shared" si="27"/>
        <v>1.3056820111292453</v>
      </c>
      <c r="AE33" s="163">
        <f t="shared" si="27"/>
        <v>2.4708254910322123</v>
      </c>
      <c r="AF33" s="164">
        <f t="shared" si="27"/>
        <v>6.2057288581141963</v>
      </c>
      <c r="AG33" s="163">
        <f t="shared" si="28"/>
        <v>0.28363857249439012</v>
      </c>
      <c r="AH33" s="163">
        <f t="shared" si="28"/>
        <v>0.71238704675473374</v>
      </c>
      <c r="AI33" s="163">
        <f t="shared" si="28"/>
        <v>1.3480955237182306</v>
      </c>
      <c r="AJ33" s="163">
        <f t="shared" si="28"/>
        <v>2.5510872907474775</v>
      </c>
      <c r="AK33" s="164">
        <f t="shared" si="28"/>
        <v>6.4073145097536921</v>
      </c>
      <c r="AL33" s="165">
        <f t="shared" si="30"/>
        <v>0.55835336477175823</v>
      </c>
      <c r="AM33" s="165">
        <f t="shared" si="29"/>
        <v>1.4023611142775319</v>
      </c>
      <c r="AN33" s="165">
        <f t="shared" si="29"/>
        <v>2.6537775348474759</v>
      </c>
      <c r="AO33" s="165">
        <f t="shared" si="29"/>
        <v>5.0219127817796902</v>
      </c>
      <c r="AP33" s="166">
        <f t="shared" si="29"/>
        <v>12.613043367867888</v>
      </c>
    </row>
    <row r="34" spans="1:42" ht="13.15" customHeight="1" x14ac:dyDescent="0.2">
      <c r="A34" s="108"/>
      <c r="B34" s="618"/>
      <c r="C34" s="98" t="s">
        <v>31</v>
      </c>
      <c r="D34" s="29">
        <f t="shared" si="25"/>
        <v>65.689902585601132</v>
      </c>
      <c r="E34" s="29">
        <f t="shared" si="15"/>
        <v>120.95179260158025</v>
      </c>
      <c r="F34" s="34">
        <f t="shared" si="16"/>
        <v>3.4452559973717776</v>
      </c>
      <c r="G34" s="118">
        <f t="shared" si="17"/>
        <v>1.216297025064548</v>
      </c>
      <c r="H34" s="30">
        <f t="shared" si="18"/>
        <v>1.8865086407330658</v>
      </c>
      <c r="I34" s="30">
        <f t="shared" si="19"/>
        <v>2.8074292138226635</v>
      </c>
      <c r="J34" s="30">
        <f t="shared" si="20"/>
        <v>3.4452559973717776</v>
      </c>
      <c r="K34" s="30">
        <f t="shared" si="21"/>
        <v>4.0830827809208916</v>
      </c>
      <c r="L34" s="116">
        <f t="shared" si="22"/>
        <v>5.0040033540104893</v>
      </c>
      <c r="M34" s="30">
        <f t="shared" si="23"/>
        <v>6.5962983836403604</v>
      </c>
      <c r="N34" s="30">
        <f t="shared" si="23"/>
        <v>16.567272510608621</v>
      </c>
      <c r="O34" s="30">
        <f t="shared" si="23"/>
        <v>31.351308271977878</v>
      </c>
      <c r="P34" s="30">
        <f t="shared" si="23"/>
        <v>59.328083710532276</v>
      </c>
      <c r="Q34" s="116">
        <f t="shared" si="23"/>
        <v>149.00850040415301</v>
      </c>
      <c r="R34" s="29">
        <f t="shared" si="26"/>
        <v>4.1849506370006653</v>
      </c>
      <c r="S34" s="29">
        <f t="shared" si="26"/>
        <v>10.510928040882771</v>
      </c>
      <c r="T34" s="29">
        <f t="shared" si="26"/>
        <v>19.890500685811826</v>
      </c>
      <c r="U34" s="29">
        <f t="shared" si="26"/>
        <v>37.64006527239561</v>
      </c>
      <c r="V34" s="124">
        <f t="shared" si="26"/>
        <v>94.536842091840882</v>
      </c>
      <c r="W34" s="30">
        <f t="shared" si="24"/>
        <v>2.4113477466396951</v>
      </c>
      <c r="X34" s="30">
        <f t="shared" si="24"/>
        <v>6.0563444697258504</v>
      </c>
      <c r="Y34" s="30">
        <f t="shared" si="24"/>
        <v>11.460807586166052</v>
      </c>
      <c r="Z34" s="30">
        <f t="shared" si="24"/>
        <v>21.688018438136666</v>
      </c>
      <c r="AA34" s="116">
        <f t="shared" si="24"/>
        <v>54.47165831231213</v>
      </c>
      <c r="AB34" s="163">
        <f t="shared" si="27"/>
        <v>0.24025968629252756</v>
      </c>
      <c r="AC34" s="163">
        <f t="shared" si="27"/>
        <v>0.60343657375986015</v>
      </c>
      <c r="AD34" s="163">
        <f t="shared" si="27"/>
        <v>1.1419215827117759</v>
      </c>
      <c r="AE34" s="163">
        <f t="shared" si="27"/>
        <v>2.1609311695149134</v>
      </c>
      <c r="AF34" s="164">
        <f t="shared" si="27"/>
        <v>5.4273978343387315</v>
      </c>
      <c r="AG34" s="163">
        <f t="shared" si="28"/>
        <v>0.24113477466396951</v>
      </c>
      <c r="AH34" s="163">
        <f t="shared" si="28"/>
        <v>0.60563444697258506</v>
      </c>
      <c r="AI34" s="163">
        <f t="shared" si="28"/>
        <v>1.1460807586166051</v>
      </c>
      <c r="AJ34" s="163">
        <f t="shared" si="28"/>
        <v>2.1688018438136667</v>
      </c>
      <c r="AK34" s="164">
        <f t="shared" si="28"/>
        <v>5.4471658312312137</v>
      </c>
      <c r="AL34" s="165">
        <f t="shared" si="30"/>
        <v>0.48139446095649707</v>
      </c>
      <c r="AM34" s="165">
        <f t="shared" si="29"/>
        <v>1.2090710207324453</v>
      </c>
      <c r="AN34" s="165">
        <f t="shared" si="29"/>
        <v>2.2880023413283812</v>
      </c>
      <c r="AO34" s="165">
        <f t="shared" si="29"/>
        <v>4.3297330133285801</v>
      </c>
      <c r="AP34" s="166">
        <f t="shared" si="29"/>
        <v>10.874563665569944</v>
      </c>
    </row>
    <row r="35" spans="1:42" ht="13.15" customHeight="1" x14ac:dyDescent="0.2">
      <c r="A35" s="108"/>
      <c r="B35" s="618"/>
      <c r="C35" s="98" t="s">
        <v>32</v>
      </c>
      <c r="D35" s="29">
        <f t="shared" si="25"/>
        <v>55.288758209939481</v>
      </c>
      <c r="E35" s="29">
        <f t="shared" si="15"/>
        <v>101.80064443684122</v>
      </c>
      <c r="F35" s="34">
        <f t="shared" si="16"/>
        <v>3.2728803739293149</v>
      </c>
      <c r="G35" s="118">
        <f t="shared" si="17"/>
        <v>1.216297025064548</v>
      </c>
      <c r="H35" s="30">
        <f t="shared" si="18"/>
        <v>1.7141330172906031</v>
      </c>
      <c r="I35" s="30">
        <f t="shared" si="19"/>
        <v>2.6350535903802008</v>
      </c>
      <c r="J35" s="30">
        <f t="shared" si="20"/>
        <v>3.2728803739293149</v>
      </c>
      <c r="K35" s="30">
        <f t="shared" si="21"/>
        <v>3.9107071574784285</v>
      </c>
      <c r="L35" s="116">
        <f t="shared" si="22"/>
        <v>4.8316277305680266</v>
      </c>
      <c r="M35" s="30">
        <f t="shared" si="23"/>
        <v>5.5518600585297095</v>
      </c>
      <c r="N35" s="30">
        <f t="shared" si="23"/>
        <v>13.944059710601481</v>
      </c>
      <c r="O35" s="30">
        <f t="shared" si="23"/>
        <v>26.387235090749034</v>
      </c>
      <c r="P35" s="30">
        <f t="shared" si="23"/>
        <v>49.934250869929926</v>
      </c>
      <c r="Q35" s="116">
        <f t="shared" si="23"/>
        <v>125.41493632655676</v>
      </c>
      <c r="R35" s="29">
        <f t="shared" si="26"/>
        <v>2.86450915207298</v>
      </c>
      <c r="S35" s="29">
        <f t="shared" si="26"/>
        <v>7.194505307586601</v>
      </c>
      <c r="T35" s="29">
        <f t="shared" si="26"/>
        <v>13.614622057921494</v>
      </c>
      <c r="U35" s="29">
        <f t="shared" si="26"/>
        <v>25.763819172470775</v>
      </c>
      <c r="V35" s="124">
        <f t="shared" si="26"/>
        <v>64.708445300620937</v>
      </c>
      <c r="W35" s="30">
        <f t="shared" si="24"/>
        <v>2.6873509064567296</v>
      </c>
      <c r="X35" s="30">
        <f t="shared" si="24"/>
        <v>6.74955440301488</v>
      </c>
      <c r="Y35" s="30">
        <f t="shared" si="24"/>
        <v>12.77261303282754</v>
      </c>
      <c r="Z35" s="30">
        <f t="shared" si="24"/>
        <v>24.170431697459151</v>
      </c>
      <c r="AA35" s="116">
        <f t="shared" si="24"/>
        <v>60.706491025935819</v>
      </c>
      <c r="AB35" s="163">
        <f t="shared" si="27"/>
        <v>0.13717717666623772</v>
      </c>
      <c r="AC35" s="163">
        <f t="shared" si="27"/>
        <v>0.34453439427511667</v>
      </c>
      <c r="AD35" s="163">
        <f t="shared" si="27"/>
        <v>0.65198444694512603</v>
      </c>
      <c r="AE35" s="163">
        <f t="shared" si="27"/>
        <v>1.2337918249140172</v>
      </c>
      <c r="AF35" s="164">
        <f t="shared" si="27"/>
        <v>3.0987933225408346</v>
      </c>
      <c r="AG35" s="163">
        <f t="shared" si="28"/>
        <v>0.26873509064567297</v>
      </c>
      <c r="AH35" s="163">
        <f t="shared" si="28"/>
        <v>0.67495544030148802</v>
      </c>
      <c r="AI35" s="163">
        <f t="shared" si="28"/>
        <v>1.277261303282754</v>
      </c>
      <c r="AJ35" s="163">
        <f t="shared" si="28"/>
        <v>2.4170431697459152</v>
      </c>
      <c r="AK35" s="164">
        <f t="shared" si="28"/>
        <v>6.070649102593582</v>
      </c>
      <c r="AL35" s="165">
        <f t="shared" si="30"/>
        <v>0.40591226731191066</v>
      </c>
      <c r="AM35" s="165">
        <f t="shared" si="29"/>
        <v>1.0194898345766048</v>
      </c>
      <c r="AN35" s="165">
        <f t="shared" si="29"/>
        <v>1.9292457502278801</v>
      </c>
      <c r="AO35" s="165">
        <f t="shared" si="29"/>
        <v>3.6508349946599323</v>
      </c>
      <c r="AP35" s="166">
        <f t="shared" si="29"/>
        <v>9.1694424251344167</v>
      </c>
    </row>
    <row r="36" spans="1:42" ht="13.15" customHeight="1" x14ac:dyDescent="0.2">
      <c r="A36" s="108"/>
      <c r="B36" s="618"/>
      <c r="C36" s="98" t="s">
        <v>33</v>
      </c>
      <c r="D36" s="29">
        <f t="shared" si="25"/>
        <v>54.284262375200321</v>
      </c>
      <c r="E36" s="29">
        <f t="shared" si="15"/>
        <v>99.951112513510992</v>
      </c>
      <c r="F36" s="34">
        <f t="shared" si="16"/>
        <v>3.2545451309970161</v>
      </c>
      <c r="G36" s="118">
        <f t="shared" si="17"/>
        <v>1.216297025064548</v>
      </c>
      <c r="H36" s="30">
        <f t="shared" si="18"/>
        <v>1.6957977743583044</v>
      </c>
      <c r="I36" s="30">
        <f t="shared" si="19"/>
        <v>2.6167183474479021</v>
      </c>
      <c r="J36" s="30">
        <f t="shared" si="20"/>
        <v>3.2545451309970161</v>
      </c>
      <c r="K36" s="30">
        <f t="shared" si="21"/>
        <v>3.8923719145461297</v>
      </c>
      <c r="L36" s="116">
        <f t="shared" si="22"/>
        <v>4.8132924876357279</v>
      </c>
      <c r="M36" s="30">
        <f t="shared" si="23"/>
        <v>5.4509928934059833</v>
      </c>
      <c r="N36" s="30">
        <f t="shared" si="23"/>
        <v>13.690721593556647</v>
      </c>
      <c r="O36" s="30">
        <f t="shared" si="23"/>
        <v>25.907827185831124</v>
      </c>
      <c r="P36" s="30">
        <f t="shared" si="23"/>
        <v>49.027036661587537</v>
      </c>
      <c r="Q36" s="116">
        <f t="shared" si="23"/>
        <v>123.13637581565251</v>
      </c>
      <c r="R36" s="29">
        <f t="shared" si="26"/>
        <v>3.651876988901229</v>
      </c>
      <c r="S36" s="29">
        <f t="shared" si="26"/>
        <v>9.1720594993699951</v>
      </c>
      <c r="T36" s="29">
        <f t="shared" si="26"/>
        <v>17.35687420301316</v>
      </c>
      <c r="U36" s="29">
        <f t="shared" si="26"/>
        <v>32.845522002982683</v>
      </c>
      <c r="V36" s="124">
        <f t="shared" si="26"/>
        <v>82.494860318355535</v>
      </c>
      <c r="W36" s="30">
        <f t="shared" si="24"/>
        <v>1.7991159045047542</v>
      </c>
      <c r="X36" s="30">
        <f t="shared" si="24"/>
        <v>4.5186620941866522</v>
      </c>
      <c r="Y36" s="30">
        <f t="shared" si="24"/>
        <v>8.5509529828179645</v>
      </c>
      <c r="Z36" s="30">
        <f t="shared" si="24"/>
        <v>16.181514658604854</v>
      </c>
      <c r="AA36" s="116">
        <f t="shared" si="24"/>
        <v>40.641515497296979</v>
      </c>
      <c r="AB36" s="163">
        <f t="shared" si="27"/>
        <v>0.15216154120421788</v>
      </c>
      <c r="AC36" s="163">
        <f t="shared" si="27"/>
        <v>0.38216914580708311</v>
      </c>
      <c r="AD36" s="163">
        <f t="shared" si="27"/>
        <v>0.72320309179221498</v>
      </c>
      <c r="AE36" s="163">
        <f t="shared" si="27"/>
        <v>1.3685634167909451</v>
      </c>
      <c r="AF36" s="164">
        <f t="shared" si="27"/>
        <v>3.4372858465981477</v>
      </c>
      <c r="AG36" s="163">
        <f t="shared" si="28"/>
        <v>0.17991159045047542</v>
      </c>
      <c r="AH36" s="163">
        <f t="shared" si="28"/>
        <v>0.45186620941866523</v>
      </c>
      <c r="AI36" s="163">
        <f t="shared" si="28"/>
        <v>0.85509529828179642</v>
      </c>
      <c r="AJ36" s="163">
        <f t="shared" si="28"/>
        <v>1.6181514658604854</v>
      </c>
      <c r="AK36" s="164">
        <f t="shared" si="28"/>
        <v>4.0641515497296981</v>
      </c>
      <c r="AL36" s="165">
        <f t="shared" si="30"/>
        <v>0.33207313165469332</v>
      </c>
      <c r="AM36" s="165">
        <f t="shared" si="29"/>
        <v>0.83403535522574834</v>
      </c>
      <c r="AN36" s="165">
        <f t="shared" si="29"/>
        <v>1.5782983900740115</v>
      </c>
      <c r="AO36" s="165">
        <f t="shared" si="29"/>
        <v>2.9867148826514303</v>
      </c>
      <c r="AP36" s="166">
        <f t="shared" si="29"/>
        <v>7.5014373963278462</v>
      </c>
    </row>
    <row r="37" spans="1:42" ht="13.15" customHeight="1" x14ac:dyDescent="0.2">
      <c r="A37" s="108"/>
      <c r="B37" s="618"/>
      <c r="C37" s="98" t="s">
        <v>34</v>
      </c>
      <c r="D37" s="29">
        <f t="shared" si="25"/>
        <v>30.77856217302147</v>
      </c>
      <c r="E37" s="29">
        <f t="shared" si="15"/>
        <v>56.671149172051543</v>
      </c>
      <c r="F37" s="34">
        <f t="shared" si="16"/>
        <v>2.6871291877019683</v>
      </c>
      <c r="G37" s="118">
        <f t="shared" si="17"/>
        <v>1.216297025064548</v>
      </c>
      <c r="H37" s="30">
        <f t="shared" si="18"/>
        <v>1.1283818310632565</v>
      </c>
      <c r="I37" s="30">
        <f t="shared" si="19"/>
        <v>2.0493024041528543</v>
      </c>
      <c r="J37" s="30">
        <f t="shared" si="20"/>
        <v>2.6871291877019683</v>
      </c>
      <c r="K37" s="30">
        <f t="shared" si="21"/>
        <v>3.3249559712510819</v>
      </c>
      <c r="L37" s="116">
        <f t="shared" si="22"/>
        <v>4.2458765443406801</v>
      </c>
      <c r="M37" s="30">
        <f t="shared" si="23"/>
        <v>3.090651255695084</v>
      </c>
      <c r="N37" s="30">
        <f t="shared" si="23"/>
        <v>7.7624841404001099</v>
      </c>
      <c r="O37" s="30">
        <f t="shared" si="23"/>
        <v>14.689444692008795</v>
      </c>
      <c r="P37" s="30">
        <f t="shared" si="23"/>
        <v>27.797774714482461</v>
      </c>
      <c r="Q37" s="116">
        <f t="shared" si="23"/>
        <v>69.816930966239596</v>
      </c>
      <c r="R37" s="29">
        <f t="shared" si="26"/>
        <v>2.0107166860463725</v>
      </c>
      <c r="S37" s="29">
        <f t="shared" si="26"/>
        <v>5.0501189215418529</v>
      </c>
      <c r="T37" s="29">
        <f t="shared" si="26"/>
        <v>9.5566626925478584</v>
      </c>
      <c r="U37" s="29">
        <f t="shared" si="26"/>
        <v>18.084683398158891</v>
      </c>
      <c r="V37" s="124">
        <f t="shared" si="26"/>
        <v>45.421516841696807</v>
      </c>
      <c r="W37" s="30">
        <f t="shared" si="24"/>
        <v>1.0799345696487115</v>
      </c>
      <c r="X37" s="30">
        <f t="shared" si="24"/>
        <v>2.712365218858257</v>
      </c>
      <c r="Y37" s="30">
        <f t="shared" si="24"/>
        <v>5.1327819994609367</v>
      </c>
      <c r="Z37" s="30">
        <f t="shared" si="24"/>
        <v>9.7130913163235704</v>
      </c>
      <c r="AA37" s="116">
        <f t="shared" si="24"/>
        <v>24.395414124542789</v>
      </c>
      <c r="AB37" s="163">
        <f t="shared" si="27"/>
        <v>8.3779861918598847E-2</v>
      </c>
      <c r="AC37" s="163">
        <f t="shared" si="27"/>
        <v>0.21042162173091053</v>
      </c>
      <c r="AD37" s="163">
        <f t="shared" si="27"/>
        <v>0.39819427885616077</v>
      </c>
      <c r="AE37" s="163">
        <f t="shared" si="27"/>
        <v>0.75352847492328712</v>
      </c>
      <c r="AF37" s="164">
        <f t="shared" si="27"/>
        <v>1.892563201737367</v>
      </c>
      <c r="AG37" s="163">
        <f t="shared" si="28"/>
        <v>0.10799345696487114</v>
      </c>
      <c r="AH37" s="163">
        <f t="shared" si="28"/>
        <v>0.27123652188582575</v>
      </c>
      <c r="AI37" s="163">
        <f t="shared" si="28"/>
        <v>0.51327819994609369</v>
      </c>
      <c r="AJ37" s="163">
        <f t="shared" si="28"/>
        <v>0.97130913163235699</v>
      </c>
      <c r="AK37" s="164">
        <f t="shared" si="28"/>
        <v>2.4395414124542794</v>
      </c>
      <c r="AL37" s="165">
        <f t="shared" si="30"/>
        <v>0.19177331888346999</v>
      </c>
      <c r="AM37" s="165">
        <f t="shared" si="29"/>
        <v>0.48165814361673631</v>
      </c>
      <c r="AN37" s="165">
        <f t="shared" si="29"/>
        <v>0.91147247880225446</v>
      </c>
      <c r="AO37" s="165">
        <f t="shared" si="29"/>
        <v>1.7248376065556441</v>
      </c>
      <c r="AP37" s="166">
        <f t="shared" si="29"/>
        <v>4.3321046141916462</v>
      </c>
    </row>
    <row r="38" spans="1:42" ht="13.15" customHeight="1" x14ac:dyDescent="0.2">
      <c r="B38" s="608"/>
      <c r="C38" s="121" t="s">
        <v>35</v>
      </c>
      <c r="D38" s="122">
        <f t="shared" si="25"/>
        <v>41.7519297969164</v>
      </c>
      <c r="E38" s="122">
        <f t="shared" si="15"/>
        <v>76.875905652801151</v>
      </c>
      <c r="F38" s="93">
        <f t="shared" si="16"/>
        <v>2.9920564463188271</v>
      </c>
      <c r="G38" s="123">
        <f t="shared" si="17"/>
        <v>1.216297025064548</v>
      </c>
      <c r="H38" s="92">
        <f t="shared" si="18"/>
        <v>1.4333090896801153</v>
      </c>
      <c r="I38" s="92">
        <f t="shared" si="19"/>
        <v>2.354229662769713</v>
      </c>
      <c r="J38" s="92">
        <f t="shared" si="20"/>
        <v>2.9920564463188271</v>
      </c>
      <c r="K38" s="92">
        <f t="shared" si="21"/>
        <v>3.6298832298679407</v>
      </c>
      <c r="L38" s="117">
        <f t="shared" si="22"/>
        <v>4.5508038029575388</v>
      </c>
      <c r="M38" s="92">
        <f t="shared" si="23"/>
        <v>4.1925497860858982</v>
      </c>
      <c r="N38" s="92">
        <f t="shared" si="23"/>
        <v>10.530014074658324</v>
      </c>
      <c r="O38" s="92">
        <f t="shared" si="23"/>
        <v>19.926618406951722</v>
      </c>
      <c r="P38" s="92">
        <f t="shared" si="23"/>
        <v>37.708413143707126</v>
      </c>
      <c r="Q38" s="117">
        <f t="shared" si="23"/>
        <v>94.708504703760681</v>
      </c>
      <c r="R38" s="111">
        <f t="shared" si="26"/>
        <v>4.0599238263200705</v>
      </c>
      <c r="S38" s="122">
        <f t="shared" si="26"/>
        <v>10.196910523298225</v>
      </c>
      <c r="T38" s="122">
        <f t="shared" si="26"/>
        <v>19.296265274383046</v>
      </c>
      <c r="U38" s="122">
        <f t="shared" si="26"/>
        <v>36.515555637034687</v>
      </c>
      <c r="V38" s="125">
        <f t="shared" si="26"/>
        <v>91.7125220738086</v>
      </c>
      <c r="W38" s="92">
        <f t="shared" si="24"/>
        <v>0.13262595976582769</v>
      </c>
      <c r="X38" s="92">
        <f t="shared" si="24"/>
        <v>0.33310355136009839</v>
      </c>
      <c r="Y38" s="92">
        <f t="shared" si="24"/>
        <v>0.63035313256867553</v>
      </c>
      <c r="Z38" s="92">
        <f t="shared" si="24"/>
        <v>1.1928575066724392</v>
      </c>
      <c r="AA38" s="117">
        <f t="shared" si="24"/>
        <v>2.9959826299520813</v>
      </c>
      <c r="AB38" s="167">
        <f t="shared" si="27"/>
        <v>0.16916349276333625</v>
      </c>
      <c r="AC38" s="168">
        <f t="shared" si="27"/>
        <v>0.42487127180409273</v>
      </c>
      <c r="AD38" s="168">
        <f t="shared" si="27"/>
        <v>0.80401105309929355</v>
      </c>
      <c r="AE38" s="168">
        <f t="shared" si="27"/>
        <v>1.5214814848764453</v>
      </c>
      <c r="AF38" s="169">
        <f t="shared" si="27"/>
        <v>3.8213550864086918</v>
      </c>
      <c r="AG38" s="168">
        <f t="shared" si="28"/>
        <v>1.326259597658277E-2</v>
      </c>
      <c r="AH38" s="168">
        <f t="shared" si="28"/>
        <v>3.3310355136009842E-2</v>
      </c>
      <c r="AI38" s="168">
        <f t="shared" si="28"/>
        <v>6.3035313256867551E-2</v>
      </c>
      <c r="AJ38" s="168">
        <f t="shared" si="28"/>
        <v>0.11928575066724392</v>
      </c>
      <c r="AK38" s="169">
        <f t="shared" si="28"/>
        <v>0.29959826299520814</v>
      </c>
      <c r="AL38" s="170">
        <f t="shared" si="30"/>
        <v>0.18242608873991903</v>
      </c>
      <c r="AM38" s="170">
        <f t="shared" si="29"/>
        <v>0.45818162694010256</v>
      </c>
      <c r="AN38" s="170">
        <f t="shared" si="29"/>
        <v>0.86704636635616106</v>
      </c>
      <c r="AO38" s="170">
        <f t="shared" si="29"/>
        <v>1.6407672355436893</v>
      </c>
      <c r="AP38" s="171">
        <f t="shared" si="29"/>
        <v>4.1209533494038997</v>
      </c>
    </row>
    <row r="39" spans="1:42" ht="13.15" customHeight="1" x14ac:dyDescent="0.2">
      <c r="B39" s="618" t="s">
        <v>58</v>
      </c>
      <c r="C39" s="98" t="s">
        <v>6</v>
      </c>
      <c r="D39" s="29">
        <f t="shared" ref="D39:D46" si="31">J17+P17</f>
        <v>88.3280808784735</v>
      </c>
      <c r="E39" s="29">
        <f t="shared" si="15"/>
        <v>162.63442780094007</v>
      </c>
      <c r="F39" s="34">
        <f t="shared" si="16"/>
        <v>3.7413688472066271</v>
      </c>
      <c r="G39" s="118">
        <f t="shared" si="17"/>
        <v>1.216297025064548</v>
      </c>
      <c r="H39" s="30">
        <f t="shared" si="18"/>
        <v>2.1826214905679153</v>
      </c>
      <c r="I39" s="30">
        <f t="shared" si="19"/>
        <v>3.1035420636575131</v>
      </c>
      <c r="J39" s="30">
        <f t="shared" si="20"/>
        <v>3.7413688472066271</v>
      </c>
      <c r="K39" s="30">
        <f t="shared" si="21"/>
        <v>4.3791956307557411</v>
      </c>
      <c r="L39" s="116">
        <f t="shared" si="22"/>
        <v>5.3001162038453389</v>
      </c>
      <c r="M39" s="30">
        <f t="shared" si="23"/>
        <v>8.869527190567652</v>
      </c>
      <c r="N39" s="30">
        <f t="shared" si="23"/>
        <v>22.276717252637667</v>
      </c>
      <c r="O39" s="30">
        <f t="shared" si="23"/>
        <v>42.155655339641349</v>
      </c>
      <c r="P39" s="30">
        <f t="shared" si="23"/>
        <v>79.77383996756592</v>
      </c>
      <c r="Q39" s="116">
        <f t="shared" si="23"/>
        <v>200.36009123513347</v>
      </c>
      <c r="R39" s="29">
        <f t="shared" ref="R39:V46" si="32">M39*(1-$R17)</f>
        <v>7.8345006026172319</v>
      </c>
      <c r="S39" s="29">
        <f t="shared" si="32"/>
        <v>19.677142985223064</v>
      </c>
      <c r="T39" s="29">
        <f t="shared" si="32"/>
        <v>37.236314863927625</v>
      </c>
      <c r="U39" s="29">
        <f t="shared" si="32"/>
        <v>70.464657683628616</v>
      </c>
      <c r="V39" s="124">
        <f t="shared" si="32"/>
        <v>176.97913561744593</v>
      </c>
      <c r="W39" s="30">
        <f t="shared" si="24"/>
        <v>1.0350265879504201</v>
      </c>
      <c r="X39" s="30">
        <f t="shared" si="24"/>
        <v>2.599574267414603</v>
      </c>
      <c r="Y39" s="30">
        <f t="shared" si="24"/>
        <v>4.9193404757137245</v>
      </c>
      <c r="Z39" s="30">
        <f t="shared" si="24"/>
        <v>9.3091822839373037</v>
      </c>
      <c r="AA39" s="116">
        <f t="shared" si="24"/>
        <v>23.380955617687533</v>
      </c>
      <c r="AB39" s="163">
        <f t="shared" ref="AB39:AF46" si="33">R39*$AJ17/60</f>
        <v>0.5363359919635049</v>
      </c>
      <c r="AC39" s="163">
        <f t="shared" si="33"/>
        <v>1.3470622490553845</v>
      </c>
      <c r="AD39" s="163">
        <f t="shared" si="33"/>
        <v>2.5491319590859889</v>
      </c>
      <c r="AE39" s="163">
        <f t="shared" si="33"/>
        <v>4.8238852728523032</v>
      </c>
      <c r="AF39" s="164">
        <f t="shared" si="33"/>
        <v>12.115677191538792</v>
      </c>
      <c r="AG39" s="163">
        <f t="shared" ref="AG39:AK46" si="34">W39*$AL17/60</f>
        <v>0.10350265879504202</v>
      </c>
      <c r="AH39" s="163">
        <f t="shared" si="34"/>
        <v>0.25995742674146027</v>
      </c>
      <c r="AI39" s="163">
        <f t="shared" si="34"/>
        <v>0.49193404757137243</v>
      </c>
      <c r="AJ39" s="163">
        <f t="shared" si="34"/>
        <v>0.9309182283937304</v>
      </c>
      <c r="AK39" s="164">
        <f t="shared" si="34"/>
        <v>2.3380955617687533</v>
      </c>
      <c r="AL39" s="165">
        <f t="shared" si="30"/>
        <v>0.63983865075854696</v>
      </c>
      <c r="AM39" s="165">
        <f t="shared" si="29"/>
        <v>1.6070196757968449</v>
      </c>
      <c r="AN39" s="165">
        <f t="shared" si="29"/>
        <v>3.0410660066573612</v>
      </c>
      <c r="AO39" s="165">
        <f t="shared" si="29"/>
        <v>5.7548035012460339</v>
      </c>
      <c r="AP39" s="166">
        <f t="shared" si="29"/>
        <v>14.453772753307545</v>
      </c>
    </row>
    <row r="40" spans="1:42" ht="13.15" customHeight="1" x14ac:dyDescent="0.2">
      <c r="B40" s="618"/>
      <c r="C40" s="98" t="s">
        <v>53</v>
      </c>
      <c r="D40" s="29">
        <f t="shared" si="31"/>
        <v>84.406616563043301</v>
      </c>
      <c r="E40" s="29">
        <f t="shared" si="15"/>
        <v>155.41401614092374</v>
      </c>
      <c r="F40" s="34">
        <f t="shared" si="16"/>
        <v>3.6959565672354477</v>
      </c>
      <c r="G40" s="118">
        <f t="shared" si="17"/>
        <v>1.216297025064548</v>
      </c>
      <c r="H40" s="30">
        <f t="shared" si="18"/>
        <v>2.137209210596736</v>
      </c>
      <c r="I40" s="30">
        <f t="shared" si="19"/>
        <v>3.0581297836863337</v>
      </c>
      <c r="J40" s="30">
        <f t="shared" si="20"/>
        <v>3.6959565672354477</v>
      </c>
      <c r="K40" s="30">
        <f t="shared" si="21"/>
        <v>4.3337833507845618</v>
      </c>
      <c r="L40" s="116">
        <f t="shared" si="22"/>
        <v>5.2547039238741595</v>
      </c>
      <c r="M40" s="30">
        <f t="shared" si="23"/>
        <v>8.4757505566067852</v>
      </c>
      <c r="N40" s="30">
        <f t="shared" si="23"/>
        <v>21.287707292245379</v>
      </c>
      <c r="O40" s="30">
        <f t="shared" si="23"/>
        <v>40.284088602723095</v>
      </c>
      <c r="P40" s="30">
        <f t="shared" si="23"/>
        <v>76.232154654963523</v>
      </c>
      <c r="Q40" s="116">
        <f t="shared" si="23"/>
        <v>191.46478930849113</v>
      </c>
      <c r="R40" s="29">
        <f t="shared" si="32"/>
        <v>7.0298152672333885</v>
      </c>
      <c r="S40" s="29">
        <f t="shared" si="32"/>
        <v>17.656094139152323</v>
      </c>
      <c r="T40" s="29">
        <f t="shared" si="32"/>
        <v>33.411755005609628</v>
      </c>
      <c r="U40" s="29">
        <f t="shared" si="32"/>
        <v>63.227198708653702</v>
      </c>
      <c r="V40" s="124">
        <f t="shared" si="32"/>
        <v>158.80152324318789</v>
      </c>
      <c r="W40" s="30">
        <f t="shared" si="24"/>
        <v>1.4459352893733968</v>
      </c>
      <c r="X40" s="30">
        <f t="shared" si="24"/>
        <v>3.6316131530930562</v>
      </c>
      <c r="Y40" s="30">
        <f t="shared" si="24"/>
        <v>6.8723335971134674</v>
      </c>
      <c r="Z40" s="30">
        <f t="shared" si="24"/>
        <v>13.004955946309821</v>
      </c>
      <c r="AA40" s="116">
        <f t="shared" si="24"/>
        <v>32.663266065303247</v>
      </c>
      <c r="AB40" s="163">
        <f t="shared" si="33"/>
        <v>0.32778916160838101</v>
      </c>
      <c r="AC40" s="163">
        <f t="shared" si="33"/>
        <v>0.82327572989397679</v>
      </c>
      <c r="AD40" s="163">
        <f t="shared" si="33"/>
        <v>1.5579372636151241</v>
      </c>
      <c r="AE40" s="163">
        <f t="shared" si="33"/>
        <v>2.9481842221598789</v>
      </c>
      <c r="AF40" s="164">
        <f t="shared" si="33"/>
        <v>7.4046637340022468</v>
      </c>
      <c r="AG40" s="163">
        <f t="shared" si="34"/>
        <v>0.14459352893733968</v>
      </c>
      <c r="AH40" s="163">
        <f t="shared" si="34"/>
        <v>0.36316131530930562</v>
      </c>
      <c r="AI40" s="163">
        <f t="shared" si="34"/>
        <v>0.68723335971134669</v>
      </c>
      <c r="AJ40" s="163">
        <f t="shared" si="34"/>
        <v>1.300495594630982</v>
      </c>
      <c r="AK40" s="164">
        <f t="shared" si="34"/>
        <v>3.2663266065303249</v>
      </c>
      <c r="AL40" s="165">
        <f t="shared" si="30"/>
        <v>0.47238269054572068</v>
      </c>
      <c r="AM40" s="165">
        <f t="shared" si="29"/>
        <v>1.1864370452032824</v>
      </c>
      <c r="AN40" s="165">
        <f t="shared" si="29"/>
        <v>2.2451706233264708</v>
      </c>
      <c r="AO40" s="165">
        <f t="shared" si="29"/>
        <v>4.2486798167908608</v>
      </c>
      <c r="AP40" s="166">
        <f t="shared" si="29"/>
        <v>10.670990340532573</v>
      </c>
    </row>
    <row r="41" spans="1:42" ht="13.15" customHeight="1" x14ac:dyDescent="0.2">
      <c r="B41" s="618"/>
      <c r="C41" s="98" t="s">
        <v>30</v>
      </c>
      <c r="D41" s="29">
        <f t="shared" si="31"/>
        <v>72.484437032235547</v>
      </c>
      <c r="E41" s="29">
        <f t="shared" si="15"/>
        <v>133.46225598889779</v>
      </c>
      <c r="F41" s="34">
        <f t="shared" si="16"/>
        <v>3.5436826506027526</v>
      </c>
      <c r="G41" s="118">
        <f t="shared" si="17"/>
        <v>1.216297025064548</v>
      </c>
      <c r="H41" s="30">
        <f t="shared" si="18"/>
        <v>1.9849352939640408</v>
      </c>
      <c r="I41" s="30">
        <f t="shared" si="19"/>
        <v>2.9058558670536385</v>
      </c>
      <c r="J41" s="30">
        <f t="shared" si="20"/>
        <v>3.5436826506027526</v>
      </c>
      <c r="K41" s="30">
        <f t="shared" si="21"/>
        <v>4.1815094341518666</v>
      </c>
      <c r="L41" s="116">
        <f t="shared" si="22"/>
        <v>5.1024300072414643</v>
      </c>
      <c r="M41" s="30">
        <f t="shared" si="23"/>
        <v>7.2785764023894286</v>
      </c>
      <c r="N41" s="30">
        <f t="shared" si="23"/>
        <v>18.280882964109026</v>
      </c>
      <c r="O41" s="30">
        <f t="shared" si="23"/>
        <v>34.594082817478572</v>
      </c>
      <c r="P41" s="30">
        <f t="shared" si="23"/>
        <v>65.464593167198444</v>
      </c>
      <c r="Q41" s="116">
        <f t="shared" si="23"/>
        <v>164.42096638426352</v>
      </c>
      <c r="R41" s="29">
        <f t="shared" si="32"/>
        <v>6.6123229472963487</v>
      </c>
      <c r="S41" s="29">
        <f t="shared" si="32"/>
        <v>16.607519827741935</v>
      </c>
      <c r="T41" s="29">
        <f t="shared" si="32"/>
        <v>31.427470841631916</v>
      </c>
      <c r="U41" s="29">
        <f t="shared" si="32"/>
        <v>59.472211007193856</v>
      </c>
      <c r="V41" s="124">
        <f t="shared" si="32"/>
        <v>149.3704907298077</v>
      </c>
      <c r="W41" s="30">
        <f t="shared" si="24"/>
        <v>0.66625345509307987</v>
      </c>
      <c r="X41" s="30">
        <f t="shared" si="24"/>
        <v>1.6733631363670902</v>
      </c>
      <c r="Y41" s="30">
        <f t="shared" si="24"/>
        <v>3.1666119758466564</v>
      </c>
      <c r="Z41" s="30">
        <f t="shared" si="24"/>
        <v>5.9923821600045883</v>
      </c>
      <c r="AA41" s="116">
        <f t="shared" si="24"/>
        <v>15.050475654455823</v>
      </c>
      <c r="AB41" s="163">
        <f t="shared" si="33"/>
        <v>0.39339064274990537</v>
      </c>
      <c r="AC41" s="163">
        <f t="shared" si="33"/>
        <v>0.98804050431150148</v>
      </c>
      <c r="AD41" s="163">
        <f t="shared" si="33"/>
        <v>1.8697321732370307</v>
      </c>
      <c r="AE41" s="163">
        <f t="shared" si="33"/>
        <v>3.5382136505362438</v>
      </c>
      <c r="AF41" s="164">
        <f t="shared" si="33"/>
        <v>8.8865824952022443</v>
      </c>
      <c r="AG41" s="163">
        <f t="shared" si="34"/>
        <v>6.6625345509307987E-2</v>
      </c>
      <c r="AH41" s="163">
        <f t="shared" si="34"/>
        <v>0.16733631363670903</v>
      </c>
      <c r="AI41" s="163">
        <f t="shared" si="34"/>
        <v>0.31666119758466565</v>
      </c>
      <c r="AJ41" s="163">
        <f t="shared" si="34"/>
        <v>0.59923821600045879</v>
      </c>
      <c r="AK41" s="164">
        <f t="shared" si="34"/>
        <v>1.5050475654455824</v>
      </c>
      <c r="AL41" s="165">
        <f t="shared" si="30"/>
        <v>0.46001598825921336</v>
      </c>
      <c r="AM41" s="165">
        <f t="shared" si="29"/>
        <v>1.1553768179482105</v>
      </c>
      <c r="AN41" s="165">
        <f t="shared" si="29"/>
        <v>2.1863933708216963</v>
      </c>
      <c r="AO41" s="165">
        <f t="shared" si="29"/>
        <v>4.1374518665367024</v>
      </c>
      <c r="AP41" s="166">
        <f t="shared" si="29"/>
        <v>10.391630060647827</v>
      </c>
    </row>
    <row r="42" spans="1:42" ht="13.15" customHeight="1" x14ac:dyDescent="0.2">
      <c r="B42" s="618"/>
      <c r="C42" s="98" t="s">
        <v>31</v>
      </c>
      <c r="D42" s="29">
        <f t="shared" si="31"/>
        <v>77.162778694325539</v>
      </c>
      <c r="E42" s="29">
        <f t="shared" si="15"/>
        <v>142.07627105301015</v>
      </c>
      <c r="F42" s="34">
        <f t="shared" si="16"/>
        <v>3.6062279729076101</v>
      </c>
      <c r="G42" s="118">
        <f t="shared" si="17"/>
        <v>1.216297025064548</v>
      </c>
      <c r="H42" s="30">
        <f t="shared" si="18"/>
        <v>2.0474806162688983</v>
      </c>
      <c r="I42" s="30">
        <f t="shared" si="19"/>
        <v>2.9684011893584961</v>
      </c>
      <c r="J42" s="30">
        <f t="shared" si="20"/>
        <v>3.6062279729076101</v>
      </c>
      <c r="K42" s="30">
        <f t="shared" si="21"/>
        <v>4.2440547564567241</v>
      </c>
      <c r="L42" s="116">
        <f t="shared" si="22"/>
        <v>5.1649753295463219</v>
      </c>
      <c r="M42" s="30">
        <f t="shared" si="23"/>
        <v>7.7483554145222042</v>
      </c>
      <c r="N42" s="30">
        <f t="shared" si="23"/>
        <v>19.460780606864379</v>
      </c>
      <c r="O42" s="30">
        <f t="shared" si="23"/>
        <v>36.826878511743644</v>
      </c>
      <c r="P42" s="30">
        <f t="shared" si="23"/>
        <v>69.689855115079425</v>
      </c>
      <c r="Q42" s="116">
        <f t="shared" si="23"/>
        <v>175.03314037155019</v>
      </c>
      <c r="R42" s="29">
        <f t="shared" si="32"/>
        <v>7.2301430010169483</v>
      </c>
      <c r="S42" s="29">
        <f t="shared" si="32"/>
        <v>18.159237563539573</v>
      </c>
      <c r="T42" s="29">
        <f t="shared" si="32"/>
        <v>34.363885453930699</v>
      </c>
      <c r="U42" s="29">
        <f t="shared" si="32"/>
        <v>65.028975988609488</v>
      </c>
      <c r="V42" s="124">
        <f t="shared" si="32"/>
        <v>163.3268696517863</v>
      </c>
      <c r="W42" s="30">
        <f t="shared" si="24"/>
        <v>0.51821241350525593</v>
      </c>
      <c r="X42" s="30">
        <f t="shared" si="24"/>
        <v>1.3015430433248056</v>
      </c>
      <c r="Y42" s="30">
        <f t="shared" si="24"/>
        <v>2.4629930578129446</v>
      </c>
      <c r="Z42" s="30">
        <f t="shared" si="24"/>
        <v>4.6608791264699363</v>
      </c>
      <c r="AA42" s="116">
        <f t="shared" si="24"/>
        <v>11.706270719763893</v>
      </c>
      <c r="AB42" s="163">
        <f t="shared" si="33"/>
        <v>0.33597387675252544</v>
      </c>
      <c r="AC42" s="163">
        <f t="shared" si="33"/>
        <v>0.8438324722255619</v>
      </c>
      <c r="AD42" s="163">
        <f t="shared" si="33"/>
        <v>1.5968381005206829</v>
      </c>
      <c r="AE42" s="163">
        <f t="shared" si="33"/>
        <v>3.0217987612509196</v>
      </c>
      <c r="AF42" s="164">
        <f t="shared" si="33"/>
        <v>7.5895541162943605</v>
      </c>
      <c r="AG42" s="163">
        <f t="shared" si="34"/>
        <v>5.1821241350525592E-2</v>
      </c>
      <c r="AH42" s="163">
        <f t="shared" si="34"/>
        <v>0.13015430433248057</v>
      </c>
      <c r="AI42" s="163">
        <f t="shared" si="34"/>
        <v>0.24629930578129447</v>
      </c>
      <c r="AJ42" s="163">
        <f t="shared" si="34"/>
        <v>0.46608791264699362</v>
      </c>
      <c r="AK42" s="164">
        <f t="shared" si="34"/>
        <v>1.1706270719763894</v>
      </c>
      <c r="AL42" s="165">
        <f t="shared" si="30"/>
        <v>0.38779511810305101</v>
      </c>
      <c r="AM42" s="165">
        <f t="shared" si="29"/>
        <v>0.97398677655804244</v>
      </c>
      <c r="AN42" s="165">
        <f t="shared" si="29"/>
        <v>1.8431374063019774</v>
      </c>
      <c r="AO42" s="165">
        <f t="shared" si="29"/>
        <v>3.4878866738979131</v>
      </c>
      <c r="AP42" s="166">
        <f t="shared" si="29"/>
        <v>8.7601811882707494</v>
      </c>
    </row>
    <row r="43" spans="1:42" ht="13.15" customHeight="1" x14ac:dyDescent="0.2">
      <c r="B43" s="618"/>
      <c r="C43" s="98" t="s">
        <v>32</v>
      </c>
      <c r="D43" s="29">
        <f t="shared" si="31"/>
        <v>51.823331459835032</v>
      </c>
      <c r="E43" s="29">
        <f t="shared" si="15"/>
        <v>95.419913745264935</v>
      </c>
      <c r="F43" s="34">
        <f t="shared" si="16"/>
        <v>3.2081512355514681</v>
      </c>
      <c r="G43" s="118">
        <f t="shared" si="17"/>
        <v>1.216297025064548</v>
      </c>
      <c r="H43" s="30">
        <f t="shared" si="18"/>
        <v>1.6494038789127563</v>
      </c>
      <c r="I43" s="30">
        <f t="shared" si="19"/>
        <v>2.570324452002354</v>
      </c>
      <c r="J43" s="30">
        <f t="shared" si="20"/>
        <v>3.2081512355514681</v>
      </c>
      <c r="K43" s="30">
        <f t="shared" si="21"/>
        <v>3.8459780191005817</v>
      </c>
      <c r="L43" s="116">
        <f t="shared" si="22"/>
        <v>4.7668985921901799</v>
      </c>
      <c r="M43" s="30">
        <f t="shared" si="23"/>
        <v>5.2038767616972912</v>
      </c>
      <c r="N43" s="30">
        <f t="shared" si="23"/>
        <v>13.070064361625011</v>
      </c>
      <c r="O43" s="30">
        <f t="shared" si="23"/>
        <v>24.733317851415254</v>
      </c>
      <c r="P43" s="30">
        <f t="shared" si="23"/>
        <v>46.804437607457857</v>
      </c>
      <c r="Q43" s="116">
        <f t="shared" si="23"/>
        <v>117.55409283359221</v>
      </c>
      <c r="R43" s="29">
        <f t="shared" si="32"/>
        <v>4.156799851804152</v>
      </c>
      <c r="S43" s="30">
        <f t="shared" si="32"/>
        <v>10.440224488281977</v>
      </c>
      <c r="T43" s="29">
        <f t="shared" si="32"/>
        <v>19.756703835902339</v>
      </c>
      <c r="U43" s="29">
        <f t="shared" si="32"/>
        <v>37.386872944892929</v>
      </c>
      <c r="V43" s="124">
        <f t="shared" si="32"/>
        <v>93.900923877811124</v>
      </c>
      <c r="W43" s="30">
        <f t="shared" si="24"/>
        <v>1.0470769098931392</v>
      </c>
      <c r="X43" s="30">
        <f t="shared" si="24"/>
        <v>2.6298398733430339</v>
      </c>
      <c r="Y43" s="30">
        <f t="shared" si="24"/>
        <v>4.976614015512915</v>
      </c>
      <c r="Z43" s="30">
        <f t="shared" si="24"/>
        <v>9.4175646625649279</v>
      </c>
      <c r="AA43" s="116">
        <f t="shared" si="24"/>
        <v>23.653168955781084</v>
      </c>
      <c r="AB43" s="163">
        <f t="shared" si="33"/>
        <v>0.1833145091422955</v>
      </c>
      <c r="AC43" s="163">
        <f t="shared" si="33"/>
        <v>0.46041298490090371</v>
      </c>
      <c r="AD43" s="163">
        <f t="shared" si="33"/>
        <v>0.87126890758914988</v>
      </c>
      <c r="AE43" s="163">
        <f t="shared" si="33"/>
        <v>1.6487578201013948</v>
      </c>
      <c r="AF43" s="164">
        <f t="shared" si="33"/>
        <v>4.1410225130752849</v>
      </c>
      <c r="AG43" s="163">
        <f t="shared" si="34"/>
        <v>0.10470769098931391</v>
      </c>
      <c r="AH43" s="163">
        <f t="shared" si="34"/>
        <v>0.26298398733430339</v>
      </c>
      <c r="AI43" s="163">
        <f t="shared" si="34"/>
        <v>0.49766140155129152</v>
      </c>
      <c r="AJ43" s="163">
        <f t="shared" si="34"/>
        <v>0.94175646625649279</v>
      </c>
      <c r="AK43" s="164">
        <f t="shared" si="34"/>
        <v>2.3653168955781085</v>
      </c>
      <c r="AL43" s="165">
        <f t="shared" si="30"/>
        <v>0.2880222001316094</v>
      </c>
      <c r="AM43" s="165">
        <f t="shared" si="29"/>
        <v>0.72339697223520716</v>
      </c>
      <c r="AN43" s="165">
        <f t="shared" si="29"/>
        <v>1.3689303091404414</v>
      </c>
      <c r="AO43" s="165">
        <f t="shared" si="29"/>
        <v>2.5905142863578874</v>
      </c>
      <c r="AP43" s="166">
        <f t="shared" si="29"/>
        <v>6.5063394086533934</v>
      </c>
    </row>
    <row r="44" spans="1:42" ht="13.15" customHeight="1" x14ac:dyDescent="0.2">
      <c r="B44" s="618"/>
      <c r="C44" s="98" t="s">
        <v>33</v>
      </c>
      <c r="D44" s="29">
        <f t="shared" si="31"/>
        <v>43.094577290126018</v>
      </c>
      <c r="E44" s="29">
        <f t="shared" si="15"/>
        <v>79.348060652941427</v>
      </c>
      <c r="F44" s="34">
        <f t="shared" si="16"/>
        <v>3.023707945669222</v>
      </c>
      <c r="G44" s="118">
        <f t="shared" si="17"/>
        <v>1.216297025064548</v>
      </c>
      <c r="H44" s="30">
        <f t="shared" si="18"/>
        <v>1.4649605890305102</v>
      </c>
      <c r="I44" s="30">
        <f t="shared" si="19"/>
        <v>2.3858811621201079</v>
      </c>
      <c r="J44" s="30">
        <f t="shared" si="20"/>
        <v>3.023707945669222</v>
      </c>
      <c r="K44" s="30">
        <f t="shared" si="21"/>
        <v>3.6615347292183356</v>
      </c>
      <c r="L44" s="116">
        <f t="shared" si="22"/>
        <v>4.5824553023079337</v>
      </c>
      <c r="M44" s="30">
        <f t="shared" si="23"/>
        <v>4.3273726909869428</v>
      </c>
      <c r="N44" s="30">
        <f t="shared" si="23"/>
        <v>10.868635476580833</v>
      </c>
      <c r="O44" s="30">
        <f t="shared" si="23"/>
        <v>20.567413320680817</v>
      </c>
      <c r="P44" s="30">
        <f t="shared" si="23"/>
        <v>38.921030300005619</v>
      </c>
      <c r="Q44" s="116">
        <f t="shared" si="23"/>
        <v>97.754115698142243</v>
      </c>
      <c r="R44" s="29">
        <f t="shared" si="32"/>
        <v>4.0955434696023065</v>
      </c>
      <c r="S44" s="29">
        <f t="shared" si="32"/>
        <v>10.28637287061275</v>
      </c>
      <c r="T44" s="29">
        <f t="shared" si="32"/>
        <v>19.465560590048096</v>
      </c>
      <c r="U44" s="29">
        <f t="shared" si="32"/>
        <v>36.835923979320249</v>
      </c>
      <c r="V44" s="124">
        <f t="shared" si="32"/>
        <v>92.517159663214869</v>
      </c>
      <c r="W44" s="30">
        <f t="shared" si="24"/>
        <v>0.23182922138463624</v>
      </c>
      <c r="X44" s="30">
        <f t="shared" si="24"/>
        <v>0.58226260596808288</v>
      </c>
      <c r="Y44" s="30">
        <f t="shared" si="24"/>
        <v>1.1018527306327215</v>
      </c>
      <c r="Z44" s="30">
        <f t="shared" si="24"/>
        <v>2.0851063206853695</v>
      </c>
      <c r="AA44" s="116">
        <f t="shared" si="24"/>
        <v>5.236956034927374</v>
      </c>
      <c r="AB44" s="163">
        <f t="shared" si="33"/>
        <v>0.17064764456676276</v>
      </c>
      <c r="AC44" s="163">
        <f t="shared" si="33"/>
        <v>0.42859886960886462</v>
      </c>
      <c r="AD44" s="163">
        <f t="shared" si="33"/>
        <v>0.81106502458533736</v>
      </c>
      <c r="AE44" s="163">
        <f t="shared" si="33"/>
        <v>1.5348301658050105</v>
      </c>
      <c r="AF44" s="164">
        <f t="shared" si="33"/>
        <v>3.8548816526339533</v>
      </c>
      <c r="AG44" s="163">
        <f t="shared" si="34"/>
        <v>2.3182922138463624E-2</v>
      </c>
      <c r="AH44" s="163">
        <f t="shared" si="34"/>
        <v>5.8226260596808285E-2</v>
      </c>
      <c r="AI44" s="163">
        <f t="shared" si="34"/>
        <v>0.11018527306327215</v>
      </c>
      <c r="AJ44" s="163">
        <f t="shared" si="34"/>
        <v>0.20851063206853696</v>
      </c>
      <c r="AK44" s="164">
        <f t="shared" si="34"/>
        <v>0.52369560349273736</v>
      </c>
      <c r="AL44" s="165">
        <f t="shared" si="30"/>
        <v>0.19383056670522639</v>
      </c>
      <c r="AM44" s="165">
        <f t="shared" si="29"/>
        <v>0.48682513020567292</v>
      </c>
      <c r="AN44" s="165">
        <f t="shared" si="29"/>
        <v>0.92125029764860955</v>
      </c>
      <c r="AO44" s="165">
        <f t="shared" si="29"/>
        <v>1.7433407978735476</v>
      </c>
      <c r="AP44" s="166">
        <f t="shared" si="29"/>
        <v>4.3785772561266905</v>
      </c>
    </row>
    <row r="45" spans="1:42" ht="13.15" customHeight="1" x14ac:dyDescent="0.2">
      <c r="A45" s="108"/>
      <c r="B45" s="618"/>
      <c r="C45" s="98" t="s">
        <v>34</v>
      </c>
      <c r="D45" s="29">
        <f t="shared" si="31"/>
        <v>29.459673753803113</v>
      </c>
      <c r="E45" s="29">
        <f t="shared" si="15"/>
        <v>54.242740660742662</v>
      </c>
      <c r="F45" s="34">
        <f t="shared" si="16"/>
        <v>2.6433331101737387</v>
      </c>
      <c r="G45" s="118">
        <f t="shared" si="17"/>
        <v>1.216297025064548</v>
      </c>
      <c r="H45" s="30">
        <f t="shared" si="18"/>
        <v>1.084585753535027</v>
      </c>
      <c r="I45" s="30">
        <f t="shared" si="19"/>
        <v>2.0055063266246247</v>
      </c>
      <c r="J45" s="30">
        <f t="shared" si="20"/>
        <v>2.6433331101737387</v>
      </c>
      <c r="K45" s="30">
        <f t="shared" si="21"/>
        <v>3.2811598937228523</v>
      </c>
      <c r="L45" s="116">
        <f t="shared" si="22"/>
        <v>4.2020804668124505</v>
      </c>
      <c r="M45" s="30">
        <f t="shared" si="23"/>
        <v>2.9582141351413545</v>
      </c>
      <c r="N45" s="30">
        <f t="shared" si="23"/>
        <v>7.4298548778768048</v>
      </c>
      <c r="O45" s="30">
        <f t="shared" si="23"/>
        <v>14.059989086508788</v>
      </c>
      <c r="P45" s="30">
        <f t="shared" si="23"/>
        <v>26.606615655625991</v>
      </c>
      <c r="Q45" s="116">
        <f t="shared" si="23"/>
        <v>66.825214160265702</v>
      </c>
      <c r="R45" s="29">
        <f t="shared" si="32"/>
        <v>2.9582141351413545</v>
      </c>
      <c r="S45" s="29">
        <f t="shared" si="32"/>
        <v>7.4298548778768048</v>
      </c>
      <c r="T45" s="29">
        <f t="shared" si="32"/>
        <v>14.059989086508788</v>
      </c>
      <c r="U45" s="29">
        <f t="shared" si="32"/>
        <v>26.606615655625991</v>
      </c>
      <c r="V45" s="124">
        <f t="shared" si="32"/>
        <v>66.825214160265702</v>
      </c>
      <c r="W45" s="30">
        <f t="shared" si="24"/>
        <v>0</v>
      </c>
      <c r="X45" s="30">
        <f t="shared" si="24"/>
        <v>0</v>
      </c>
      <c r="Y45" s="30">
        <f t="shared" si="24"/>
        <v>0</v>
      </c>
      <c r="Z45" s="30">
        <f t="shared" si="24"/>
        <v>0</v>
      </c>
      <c r="AA45" s="116">
        <f t="shared" si="24"/>
        <v>0</v>
      </c>
      <c r="AB45" s="163">
        <f t="shared" si="33"/>
        <v>0.12325892229755643</v>
      </c>
      <c r="AC45" s="163">
        <f t="shared" si="33"/>
        <v>0.30957728657820022</v>
      </c>
      <c r="AD45" s="163">
        <f t="shared" si="33"/>
        <v>0.58583287860453281</v>
      </c>
      <c r="AE45" s="163">
        <f t="shared" si="33"/>
        <v>1.108608985651083</v>
      </c>
      <c r="AF45" s="164">
        <f t="shared" si="33"/>
        <v>2.7843839233444045</v>
      </c>
      <c r="AG45" s="163">
        <f t="shared" si="34"/>
        <v>0</v>
      </c>
      <c r="AH45" s="163">
        <f t="shared" si="34"/>
        <v>0</v>
      </c>
      <c r="AI45" s="163">
        <f t="shared" si="34"/>
        <v>0</v>
      </c>
      <c r="AJ45" s="163">
        <f t="shared" si="34"/>
        <v>0</v>
      </c>
      <c r="AK45" s="164">
        <f t="shared" si="34"/>
        <v>0</v>
      </c>
      <c r="AL45" s="165">
        <f t="shared" si="30"/>
        <v>0.12325892229755643</v>
      </c>
      <c r="AM45" s="165">
        <f t="shared" si="29"/>
        <v>0.30957728657820022</v>
      </c>
      <c r="AN45" s="165">
        <f t="shared" si="29"/>
        <v>0.58583287860453281</v>
      </c>
      <c r="AO45" s="165">
        <f t="shared" si="29"/>
        <v>1.108608985651083</v>
      </c>
      <c r="AP45" s="166">
        <f t="shared" si="29"/>
        <v>2.7843839233444045</v>
      </c>
    </row>
    <row r="46" spans="1:42" ht="13.15" customHeight="1" x14ac:dyDescent="0.2">
      <c r="A46" s="108"/>
      <c r="B46" s="608"/>
      <c r="C46" s="121" t="s">
        <v>35</v>
      </c>
      <c r="D46" s="122">
        <f t="shared" si="31"/>
        <v>34.596860312571273</v>
      </c>
      <c r="E46" s="122">
        <f t="shared" si="15"/>
        <v>63.701605703236261</v>
      </c>
      <c r="F46" s="93">
        <f t="shared" si="16"/>
        <v>2.8040737089446672</v>
      </c>
      <c r="G46" s="123">
        <f t="shared" si="17"/>
        <v>1.216297025064548</v>
      </c>
      <c r="H46" s="92">
        <f t="shared" si="18"/>
        <v>1.2453263523059555</v>
      </c>
      <c r="I46" s="92">
        <f t="shared" si="19"/>
        <v>2.1662469253955532</v>
      </c>
      <c r="J46" s="92">
        <f t="shared" si="20"/>
        <v>2.8040737089446672</v>
      </c>
      <c r="K46" s="92">
        <f t="shared" si="21"/>
        <v>3.4419004924937808</v>
      </c>
      <c r="L46" s="117">
        <f t="shared" si="22"/>
        <v>4.362821065583379</v>
      </c>
      <c r="M46" s="92">
        <f t="shared" si="23"/>
        <v>3.4740683845810403</v>
      </c>
      <c r="N46" s="92">
        <f t="shared" si="23"/>
        <v>8.725475152941776</v>
      </c>
      <c r="O46" s="92">
        <f t="shared" si="23"/>
        <v>16.511774111531864</v>
      </c>
      <c r="P46" s="92">
        <f t="shared" si="23"/>
        <v>31.246285105554875</v>
      </c>
      <c r="Q46" s="117">
        <f t="shared" si="23"/>
        <v>78.478214625914191</v>
      </c>
      <c r="R46" s="111">
        <f t="shared" si="32"/>
        <v>3.4740683845810403</v>
      </c>
      <c r="S46" s="122">
        <f t="shared" si="32"/>
        <v>8.725475152941776</v>
      </c>
      <c r="T46" s="122">
        <f t="shared" si="32"/>
        <v>16.511774111531864</v>
      </c>
      <c r="U46" s="122">
        <f t="shared" si="32"/>
        <v>31.246285105554875</v>
      </c>
      <c r="V46" s="125">
        <f t="shared" si="32"/>
        <v>78.478214625914191</v>
      </c>
      <c r="W46" s="92">
        <f t="shared" si="24"/>
        <v>0</v>
      </c>
      <c r="X46" s="92">
        <f t="shared" si="24"/>
        <v>0</v>
      </c>
      <c r="Y46" s="92">
        <f t="shared" si="24"/>
        <v>0</v>
      </c>
      <c r="Z46" s="92">
        <f t="shared" si="24"/>
        <v>0</v>
      </c>
      <c r="AA46" s="117">
        <f t="shared" si="24"/>
        <v>0</v>
      </c>
      <c r="AB46" s="167">
        <f t="shared" si="33"/>
        <v>0.15235482657642674</v>
      </c>
      <c r="AC46" s="168">
        <f t="shared" si="33"/>
        <v>0.38265460162600734</v>
      </c>
      <c r="AD46" s="168">
        <f t="shared" si="33"/>
        <v>0.72412175085463892</v>
      </c>
      <c r="AE46" s="168">
        <f t="shared" si="33"/>
        <v>1.3703018540288463</v>
      </c>
      <c r="AF46" s="169">
        <f t="shared" si="33"/>
        <v>3.4416521080659925</v>
      </c>
      <c r="AG46" s="168">
        <f t="shared" si="34"/>
        <v>0</v>
      </c>
      <c r="AH46" s="168">
        <f t="shared" si="34"/>
        <v>0</v>
      </c>
      <c r="AI46" s="168">
        <f t="shared" si="34"/>
        <v>0</v>
      </c>
      <c r="AJ46" s="168">
        <f t="shared" si="34"/>
        <v>0</v>
      </c>
      <c r="AK46" s="169">
        <f t="shared" si="34"/>
        <v>0</v>
      </c>
      <c r="AL46" s="170">
        <f t="shared" si="30"/>
        <v>0.15235482657642674</v>
      </c>
      <c r="AM46" s="170">
        <f t="shared" si="29"/>
        <v>0.38265460162600734</v>
      </c>
      <c r="AN46" s="170">
        <f t="shared" si="29"/>
        <v>0.72412175085463892</v>
      </c>
      <c r="AO46" s="170">
        <f t="shared" si="29"/>
        <v>1.3703018540288463</v>
      </c>
      <c r="AP46" s="171">
        <f t="shared" si="29"/>
        <v>3.4416521080659925</v>
      </c>
    </row>
    <row r="47" spans="1:42" ht="37.15" customHeight="1" x14ac:dyDescent="0.2">
      <c r="E47" s="28"/>
      <c r="F47" s="28"/>
      <c r="G47" s="31"/>
      <c r="H47" s="115"/>
      <c r="I47" s="108"/>
      <c r="J47" s="115"/>
      <c r="K47" s="115"/>
      <c r="L47" s="27"/>
      <c r="M47" s="27"/>
      <c r="N47" s="108"/>
      <c r="O47" s="108"/>
      <c r="P47" s="108"/>
      <c r="Q47" s="108"/>
      <c r="R47" s="108"/>
      <c r="S47" s="108"/>
      <c r="T47" s="108"/>
      <c r="U47" s="108"/>
      <c r="V47" s="108"/>
    </row>
    <row r="48" spans="1:42" ht="13.15" customHeight="1" x14ac:dyDescent="0.2">
      <c r="E48" s="28"/>
      <c r="F48" s="28"/>
      <c r="G48" s="28"/>
      <c r="H48" s="28"/>
      <c r="I48" s="28"/>
      <c r="J48" s="28"/>
      <c r="K48" s="28"/>
      <c r="M48" s="87"/>
      <c r="N48" s="87"/>
      <c r="T48" s="622"/>
      <c r="U48" s="622"/>
      <c r="V48" s="622"/>
      <c r="W48" s="622"/>
      <c r="X48" s="622"/>
      <c r="Y48" s="622"/>
      <c r="Z48" s="622"/>
      <c r="AA48" s="622"/>
      <c r="AB48" s="622"/>
    </row>
    <row r="49" spans="2:28" ht="13.15" customHeight="1" x14ac:dyDescent="0.2">
      <c r="E49" s="28"/>
      <c r="F49" s="28"/>
      <c r="G49" s="28"/>
      <c r="H49" s="28"/>
      <c r="I49" s="28"/>
      <c r="J49" s="28"/>
      <c r="K49" s="28"/>
      <c r="M49" s="87"/>
      <c r="N49" s="160"/>
      <c r="T49" s="105"/>
      <c r="U49" s="105"/>
      <c r="V49" s="29"/>
      <c r="W49" s="29"/>
      <c r="X49" s="105"/>
      <c r="Y49" s="105"/>
      <c r="Z49" s="105"/>
      <c r="AA49" s="105"/>
      <c r="AB49" s="105"/>
    </row>
    <row r="50" spans="2:28" ht="13.15" customHeight="1" x14ac:dyDescent="0.2">
      <c r="B50" s="114"/>
      <c r="C50" s="32"/>
      <c r="D50" s="32"/>
      <c r="E50" s="32"/>
      <c r="F50" s="32"/>
      <c r="G50" s="32"/>
      <c r="H50" s="32"/>
      <c r="I50" s="32"/>
      <c r="J50" s="33"/>
      <c r="K50" s="33"/>
      <c r="M50" s="87"/>
      <c r="N50" s="160"/>
      <c r="T50" s="105"/>
      <c r="U50" s="105"/>
      <c r="V50" s="140"/>
      <c r="W50" s="140"/>
      <c r="X50" s="105"/>
      <c r="Y50" s="105"/>
      <c r="Z50" s="105"/>
      <c r="AA50" s="105"/>
      <c r="AB50" s="105"/>
    </row>
    <row r="51" spans="2:28" x14ac:dyDescent="0.2">
      <c r="B51" s="114"/>
      <c r="C51" s="32"/>
      <c r="D51" s="32"/>
      <c r="E51" s="32"/>
      <c r="F51" s="32"/>
      <c r="G51" s="32"/>
      <c r="H51" s="32"/>
      <c r="I51" s="32"/>
      <c r="J51" s="33"/>
      <c r="K51" s="33"/>
      <c r="M51" s="87"/>
      <c r="N51" s="160"/>
      <c r="T51" s="105"/>
      <c r="U51" s="105"/>
      <c r="V51" s="140"/>
      <c r="W51" s="140"/>
      <c r="X51" s="105"/>
      <c r="Y51" s="105"/>
      <c r="Z51" s="105"/>
      <c r="AA51" s="105"/>
      <c r="AB51" s="105"/>
    </row>
    <row r="52" spans="2:28" x14ac:dyDescent="0.2">
      <c r="B52" s="114"/>
      <c r="C52" s="32"/>
      <c r="D52" s="32"/>
      <c r="E52" s="32"/>
      <c r="F52" s="32"/>
      <c r="G52" s="32"/>
      <c r="H52" s="32"/>
      <c r="I52" s="32"/>
      <c r="J52" s="33"/>
      <c r="K52" s="33"/>
      <c r="L52" s="29"/>
      <c r="M52" s="87"/>
      <c r="N52" s="160"/>
      <c r="P52" s="29"/>
      <c r="Q52" s="29"/>
      <c r="R52" s="29"/>
      <c r="T52" s="105"/>
      <c r="U52" s="105"/>
      <c r="V52" s="140"/>
      <c r="W52" s="140"/>
      <c r="X52" s="105"/>
      <c r="Y52" s="105"/>
      <c r="Z52" s="105"/>
      <c r="AA52" s="105"/>
      <c r="AB52" s="105"/>
    </row>
    <row r="53" spans="2:28" x14ac:dyDescent="0.2">
      <c r="B53" s="114"/>
      <c r="C53" s="32"/>
      <c r="D53" s="32"/>
      <c r="E53" s="32"/>
      <c r="F53" s="32"/>
      <c r="G53" s="32"/>
      <c r="H53" s="32"/>
      <c r="I53" s="32"/>
      <c r="J53" s="33"/>
      <c r="K53" s="33"/>
      <c r="L53" s="29"/>
      <c r="M53" s="87"/>
      <c r="N53" s="160"/>
      <c r="P53" s="29"/>
      <c r="Q53" s="29"/>
      <c r="R53" s="18"/>
      <c r="S53" s="18"/>
      <c r="T53" s="105"/>
      <c r="U53" s="21"/>
      <c r="V53" s="140"/>
      <c r="W53" s="140"/>
      <c r="X53" s="21"/>
      <c r="Y53" s="21"/>
      <c r="Z53" s="21"/>
      <c r="AA53" s="21"/>
      <c r="AB53" s="105"/>
    </row>
    <row r="54" spans="2:28" x14ac:dyDescent="0.2">
      <c r="B54" s="114"/>
      <c r="C54" s="32"/>
      <c r="D54" s="32"/>
      <c r="E54" s="32"/>
      <c r="F54" s="32"/>
      <c r="G54" s="32"/>
      <c r="H54" s="32"/>
      <c r="I54" s="32"/>
      <c r="J54" s="33"/>
      <c r="K54" s="33"/>
      <c r="L54" s="29"/>
      <c r="M54" s="87"/>
      <c r="N54" s="160"/>
      <c r="P54" s="29"/>
      <c r="Q54" s="29"/>
      <c r="R54" s="18"/>
      <c r="S54" s="18"/>
      <c r="T54" s="105"/>
      <c r="U54" s="21"/>
      <c r="V54" s="140"/>
      <c r="W54" s="140"/>
      <c r="X54" s="21"/>
      <c r="Y54" s="21"/>
      <c r="Z54" s="21"/>
      <c r="AA54" s="21"/>
      <c r="AB54" s="105"/>
    </row>
    <row r="55" spans="2:28" ht="17.45" customHeight="1" x14ac:dyDescent="0.2">
      <c r="B55" s="114"/>
      <c r="C55" s="32"/>
      <c r="D55" s="32"/>
      <c r="E55" s="32"/>
      <c r="F55" s="32"/>
      <c r="G55" s="32"/>
      <c r="H55" s="32"/>
      <c r="I55" s="32"/>
      <c r="J55" s="33"/>
      <c r="K55" s="33"/>
      <c r="L55" s="29"/>
      <c r="M55" s="87"/>
      <c r="N55" s="160"/>
      <c r="P55" s="29"/>
      <c r="Q55" s="29"/>
      <c r="R55" s="18"/>
      <c r="S55" s="35"/>
      <c r="T55" s="105"/>
      <c r="U55" s="141"/>
      <c r="V55" s="140"/>
      <c r="W55" s="140"/>
      <c r="X55" s="141"/>
      <c r="Y55" s="141"/>
      <c r="Z55" s="21"/>
      <c r="AA55" s="21"/>
      <c r="AB55" s="105"/>
    </row>
    <row r="56" spans="2:28" x14ac:dyDescent="0.2">
      <c r="B56" s="114"/>
      <c r="C56" s="32"/>
      <c r="D56" s="32"/>
      <c r="E56" s="32"/>
      <c r="F56" s="32"/>
      <c r="G56" s="32"/>
      <c r="H56" s="32"/>
      <c r="I56" s="32"/>
      <c r="J56" s="33"/>
      <c r="K56" s="33"/>
      <c r="L56" s="29"/>
      <c r="M56" s="29"/>
      <c r="N56" s="160"/>
      <c r="P56" s="29"/>
      <c r="Q56" s="29"/>
      <c r="R56" s="18"/>
      <c r="S56" s="35"/>
      <c r="T56" s="105"/>
      <c r="U56" s="141"/>
      <c r="V56" s="140"/>
      <c r="W56" s="140"/>
      <c r="X56" s="141"/>
      <c r="Y56" s="21"/>
      <c r="Z56" s="21"/>
      <c r="AA56" s="21"/>
      <c r="AB56" s="105"/>
    </row>
    <row r="57" spans="2:28" x14ac:dyDescent="0.2">
      <c r="B57" s="114"/>
      <c r="C57" s="32"/>
      <c r="D57" s="32"/>
      <c r="E57" s="32"/>
      <c r="F57" s="32"/>
      <c r="G57" s="32"/>
      <c r="H57" s="32"/>
      <c r="I57" s="32"/>
      <c r="J57" s="33"/>
      <c r="K57" s="33"/>
      <c r="L57" s="29"/>
      <c r="M57" s="29"/>
      <c r="N57" s="160"/>
      <c r="P57" s="29"/>
      <c r="Q57" s="29"/>
      <c r="R57" s="18"/>
      <c r="S57" s="23"/>
      <c r="T57" s="105"/>
      <c r="U57" s="142"/>
      <c r="V57" s="140"/>
      <c r="W57" s="140"/>
      <c r="X57" s="142"/>
      <c r="Y57" s="141"/>
      <c r="Z57" s="21"/>
      <c r="AA57" s="21"/>
      <c r="AB57" s="105"/>
    </row>
    <row r="58" spans="2:28" x14ac:dyDescent="0.2">
      <c r="B58" s="114"/>
      <c r="C58" s="32"/>
      <c r="D58" s="32"/>
      <c r="E58" s="32"/>
      <c r="F58" s="32"/>
      <c r="G58" s="32"/>
      <c r="H58" s="32"/>
      <c r="I58" s="32"/>
      <c r="J58" s="33"/>
      <c r="K58" s="33"/>
      <c r="L58" s="29"/>
      <c r="M58" s="29"/>
      <c r="N58" s="160"/>
      <c r="O58" s="29"/>
      <c r="P58" s="29"/>
      <c r="Q58" s="29"/>
      <c r="R58" s="18"/>
      <c r="S58" s="35"/>
      <c r="T58" s="141"/>
      <c r="U58" s="141"/>
      <c r="V58" s="143"/>
      <c r="W58" s="143"/>
      <c r="X58" s="141"/>
      <c r="Y58" s="141"/>
      <c r="Z58" s="21"/>
      <c r="AA58" s="21"/>
      <c r="AB58" s="105"/>
    </row>
    <row r="59" spans="2:28" x14ac:dyDescent="0.2">
      <c r="B59" s="114"/>
      <c r="C59" s="32"/>
      <c r="D59" s="32"/>
      <c r="E59" s="32"/>
      <c r="F59" s="32"/>
      <c r="G59" s="32"/>
      <c r="H59" s="32"/>
      <c r="I59" s="32"/>
      <c r="J59" s="33"/>
      <c r="K59" s="33"/>
      <c r="L59" s="29"/>
      <c r="M59" s="29"/>
      <c r="N59" s="160"/>
      <c r="O59" s="29"/>
      <c r="P59" s="29"/>
      <c r="Q59" s="29"/>
      <c r="R59" s="18"/>
      <c r="S59" s="36"/>
      <c r="T59" s="144"/>
      <c r="U59" s="144"/>
      <c r="V59" s="144"/>
      <c r="W59" s="144"/>
      <c r="X59" s="144"/>
      <c r="Y59" s="144"/>
      <c r="Z59" s="21"/>
      <c r="AA59" s="21"/>
      <c r="AB59" s="105"/>
    </row>
    <row r="60" spans="2:28" x14ac:dyDescent="0.2">
      <c r="B60" s="114"/>
      <c r="C60" s="32"/>
      <c r="D60" s="32"/>
      <c r="E60" s="32"/>
      <c r="F60" s="32"/>
      <c r="G60" s="32"/>
      <c r="H60" s="32"/>
      <c r="I60" s="32"/>
      <c r="J60" s="33"/>
      <c r="K60" s="33"/>
      <c r="L60" s="29"/>
      <c r="M60" s="29"/>
      <c r="N60" s="160"/>
      <c r="O60" s="29"/>
      <c r="P60" s="29"/>
      <c r="Q60" s="29"/>
      <c r="R60" s="18"/>
      <c r="S60" s="37"/>
      <c r="T60" s="37"/>
      <c r="U60" s="37"/>
      <c r="V60" s="37"/>
      <c r="W60" s="37"/>
      <c r="X60" s="37"/>
      <c r="Y60" s="37"/>
      <c r="Z60" s="37"/>
      <c r="AA60" s="18"/>
    </row>
    <row r="61" spans="2:28" x14ac:dyDescent="0.2">
      <c r="B61" s="114"/>
      <c r="C61" s="32"/>
      <c r="D61" s="32"/>
      <c r="E61" s="32"/>
      <c r="F61" s="32"/>
      <c r="G61" s="32"/>
      <c r="H61" s="32"/>
      <c r="I61" s="32"/>
      <c r="J61" s="33"/>
      <c r="K61" s="33"/>
      <c r="L61" s="29"/>
      <c r="M61" s="29"/>
      <c r="N61" s="29"/>
      <c r="O61" s="29"/>
      <c r="P61" s="29"/>
      <c r="Q61" s="29"/>
      <c r="R61" s="18"/>
      <c r="S61" s="37"/>
      <c r="T61" s="18"/>
      <c r="U61" s="18"/>
      <c r="V61" s="18"/>
      <c r="W61" s="18"/>
      <c r="X61" s="18"/>
      <c r="Y61" s="18"/>
      <c r="Z61" s="18"/>
      <c r="AA61" s="18"/>
    </row>
    <row r="62" spans="2:28" x14ac:dyDescent="0.2">
      <c r="B62" s="114"/>
      <c r="C62" s="32"/>
      <c r="D62" s="32"/>
      <c r="E62" s="32"/>
      <c r="F62" s="32"/>
      <c r="G62" s="32"/>
      <c r="H62" s="32"/>
      <c r="I62" s="32"/>
      <c r="J62" s="33"/>
      <c r="K62" s="33"/>
      <c r="L62" s="29"/>
      <c r="M62" s="29"/>
      <c r="N62" s="29"/>
      <c r="O62" s="29"/>
      <c r="P62" s="29"/>
      <c r="Q62" s="29"/>
      <c r="R62" s="18"/>
      <c r="S62" s="18"/>
      <c r="T62" s="18"/>
      <c r="U62" s="18"/>
      <c r="V62" s="18"/>
      <c r="W62" s="18"/>
      <c r="X62" s="18"/>
      <c r="Y62" s="18"/>
      <c r="Z62" s="18"/>
      <c r="AA62" s="18"/>
    </row>
    <row r="63" spans="2:28" x14ac:dyDescent="0.2">
      <c r="B63" s="114"/>
      <c r="C63" s="32"/>
      <c r="D63" s="32"/>
      <c r="E63" s="32"/>
      <c r="F63" s="32"/>
      <c r="G63" s="32"/>
      <c r="H63" s="32"/>
      <c r="I63" s="32"/>
      <c r="J63" s="33"/>
      <c r="K63" s="33"/>
      <c r="L63" s="29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29"/>
      <c r="X63" s="29"/>
      <c r="Y63" s="29"/>
    </row>
    <row r="64" spans="2:28" x14ac:dyDescent="0.2">
      <c r="B64" s="114"/>
      <c r="C64" s="32"/>
      <c r="D64" s="32"/>
      <c r="E64" s="32"/>
      <c r="F64" s="32"/>
      <c r="G64" s="32"/>
      <c r="H64" s="32"/>
      <c r="I64" s="32"/>
      <c r="J64" s="33"/>
      <c r="K64" s="33"/>
      <c r="L64" s="29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29"/>
      <c r="X64" s="29"/>
      <c r="Y64" s="29"/>
    </row>
    <row r="65" spans="2:25" x14ac:dyDescent="0.2">
      <c r="B65" s="114"/>
      <c r="C65" s="32"/>
      <c r="D65" s="32"/>
      <c r="E65" s="32"/>
      <c r="F65" s="32"/>
      <c r="G65" s="32"/>
      <c r="H65" s="32"/>
      <c r="I65" s="32"/>
      <c r="J65" s="33"/>
      <c r="K65" s="33"/>
      <c r="L65" s="29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29"/>
      <c r="X65" s="29"/>
      <c r="Y65" s="29"/>
    </row>
  </sheetData>
  <mergeCells count="71">
    <mergeCell ref="AO28:AO29"/>
    <mergeCell ref="AP28:AP29"/>
    <mergeCell ref="B31:B38"/>
    <mergeCell ref="B39:B46"/>
    <mergeCell ref="T48:AB48"/>
    <mergeCell ref="AI28:AI29"/>
    <mergeCell ref="AJ28:AJ29"/>
    <mergeCell ref="AK28:AK29"/>
    <mergeCell ref="AL28:AL29"/>
    <mergeCell ref="AM28:AM29"/>
    <mergeCell ref="AN28:AN29"/>
    <mergeCell ref="AC28:AC29"/>
    <mergeCell ref="AD28:AD29"/>
    <mergeCell ref="AE28:AE29"/>
    <mergeCell ref="AF28:AF29"/>
    <mergeCell ref="AG28:AG29"/>
    <mergeCell ref="AH28:AH29"/>
    <mergeCell ref="W28:W29"/>
    <mergeCell ref="X28:X29"/>
    <mergeCell ref="Y28:Y29"/>
    <mergeCell ref="Z28:Z29"/>
    <mergeCell ref="AA28:AA29"/>
    <mergeCell ref="AB28:AB29"/>
    <mergeCell ref="V28:V29"/>
    <mergeCell ref="C28:C29"/>
    <mergeCell ref="D28:D29"/>
    <mergeCell ref="E28:E29"/>
    <mergeCell ref="F28:F29"/>
    <mergeCell ref="G28:G29"/>
    <mergeCell ref="H28:L28"/>
    <mergeCell ref="M28:Q28"/>
    <mergeCell ref="R28:R29"/>
    <mergeCell ref="S28:S29"/>
    <mergeCell ref="T28:T29"/>
    <mergeCell ref="U28:U29"/>
    <mergeCell ref="C27:Q27"/>
    <mergeCell ref="R27:V27"/>
    <mergeCell ref="W27:AA27"/>
    <mergeCell ref="AB27:AF27"/>
    <mergeCell ref="AG27:AK27"/>
    <mergeCell ref="AL27:AP27"/>
    <mergeCell ref="AA15:AB15"/>
    <mergeCell ref="AC15:AD15"/>
    <mergeCell ref="AI15:AJ15"/>
    <mergeCell ref="AK15:AL15"/>
    <mergeCell ref="AM15:AN15"/>
    <mergeCell ref="AO15:AP15"/>
    <mergeCell ref="Y15:Z15"/>
    <mergeCell ref="B15:D15"/>
    <mergeCell ref="E15:F15"/>
    <mergeCell ref="G15:H15"/>
    <mergeCell ref="I15:J15"/>
    <mergeCell ref="K15:L15"/>
    <mergeCell ref="M15:N15"/>
    <mergeCell ref="O15:P15"/>
    <mergeCell ref="Q15:R15"/>
    <mergeCell ref="S15:T15"/>
    <mergeCell ref="U15:V15"/>
    <mergeCell ref="W15:X15"/>
    <mergeCell ref="AI13:AL13"/>
    <mergeCell ref="AM13:AP13"/>
    <mergeCell ref="AG14:AH14"/>
    <mergeCell ref="B13:D13"/>
    <mergeCell ref="E13:R13"/>
    <mergeCell ref="S13:AD13"/>
    <mergeCell ref="AE13:AH13"/>
    <mergeCell ref="E14:J14"/>
    <mergeCell ref="K14:R14"/>
    <mergeCell ref="S14:X14"/>
    <mergeCell ref="Y14:AD14"/>
    <mergeCell ref="AE14:AF14"/>
  </mergeCells>
  <pageMargins left="0.42" right="0.93" top="0.98425196850393704" bottom="0.98425196850393704" header="0.51181102362204722" footer="0.51181102362204722"/>
  <pageSetup paperSize="9" orientation="landscape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4" tint="-0.499984740745262"/>
  </sheetPr>
  <dimension ref="B1:M23"/>
  <sheetViews>
    <sheetView showGridLines="0" zoomScaleNormal="100" workbookViewId="0"/>
  </sheetViews>
  <sheetFormatPr defaultRowHeight="12.75" x14ac:dyDescent="0.2"/>
  <cols>
    <col min="1" max="1" width="6.140625" style="204" customWidth="1"/>
    <col min="2" max="2" width="31.5703125" style="204" customWidth="1"/>
    <col min="3" max="5" width="9.140625" style="204"/>
    <col min="6" max="6" width="17.85546875" style="204" customWidth="1"/>
    <col min="7" max="8" width="9.140625" style="204"/>
    <col min="9" max="9" width="9.5703125" style="204" bestFit="1" customWidth="1"/>
    <col min="10" max="17" width="9.140625" style="204"/>
    <col min="18" max="18" width="11.140625" style="204" customWidth="1"/>
    <col min="19" max="16384" width="9.140625" style="204"/>
  </cols>
  <sheetData>
    <row r="1" spans="2:13" x14ac:dyDescent="0.2">
      <c r="B1" s="205"/>
      <c r="C1" s="205"/>
      <c r="D1" s="205"/>
      <c r="E1" s="205"/>
      <c r="F1" s="205"/>
      <c r="G1" s="205"/>
      <c r="H1" s="205"/>
      <c r="I1" s="205"/>
      <c r="J1" s="206"/>
      <c r="K1" s="207"/>
      <c r="L1" s="205"/>
      <c r="M1" s="205"/>
    </row>
    <row r="3" spans="2:13" x14ac:dyDescent="0.2">
      <c r="B3" s="207"/>
      <c r="C3" s="212"/>
      <c r="F3" s="663" t="s">
        <v>162</v>
      </c>
    </row>
    <row r="4" spans="2:13" x14ac:dyDescent="0.2">
      <c r="B4" s="224" t="s">
        <v>157</v>
      </c>
      <c r="C4" s="218"/>
      <c r="D4" s="220" t="s">
        <v>146</v>
      </c>
      <c r="E4" s="219" t="s">
        <v>147</v>
      </c>
      <c r="F4" s="664"/>
    </row>
    <row r="5" spans="2:13" x14ac:dyDescent="0.2">
      <c r="B5" s="222" t="s">
        <v>148</v>
      </c>
      <c r="C5" s="349"/>
      <c r="D5" s="342">
        <v>0.94399999999999995</v>
      </c>
      <c r="E5" s="343">
        <v>4.5</v>
      </c>
      <c r="F5" s="350">
        <f>D5^(1/E5^0.5)</f>
        <v>0.97319906938028322</v>
      </c>
    </row>
    <row r="6" spans="2:13" x14ac:dyDescent="0.2">
      <c r="B6" s="665" t="s">
        <v>149</v>
      </c>
      <c r="C6" s="207" t="s">
        <v>39</v>
      </c>
      <c r="D6" s="323">
        <v>0.8</v>
      </c>
      <c r="E6" s="311">
        <v>30.9</v>
      </c>
      <c r="F6" s="209">
        <f t="shared" ref="F6:F11" si="0">D6^(1/E6^0.5)</f>
        <v>0.96065247560449929</v>
      </c>
    </row>
    <row r="7" spans="2:13" x14ac:dyDescent="0.2">
      <c r="B7" s="667"/>
      <c r="C7" s="219" t="s">
        <v>40</v>
      </c>
      <c r="D7" s="344">
        <v>0.86</v>
      </c>
      <c r="E7" s="313">
        <v>30.1</v>
      </c>
      <c r="F7" s="221">
        <f t="shared" si="0"/>
        <v>0.97288384048792509</v>
      </c>
      <c r="I7" s="326"/>
      <c r="K7" s="327"/>
    </row>
    <row r="8" spans="2:13" x14ac:dyDescent="0.2">
      <c r="B8" s="223" t="s">
        <v>143</v>
      </c>
      <c r="C8" s="207"/>
      <c r="D8" s="323">
        <v>0.84</v>
      </c>
      <c r="E8" s="311">
        <v>7.5</v>
      </c>
      <c r="F8" s="209">
        <f t="shared" si="0"/>
        <v>0.93831941951583364</v>
      </c>
    </row>
    <row r="9" spans="2:13" x14ac:dyDescent="0.2">
      <c r="B9" s="222" t="s">
        <v>150</v>
      </c>
      <c r="C9" s="207"/>
      <c r="D9" s="323">
        <v>0.72</v>
      </c>
      <c r="E9" s="311">
        <v>31.5</v>
      </c>
      <c r="F9" s="209">
        <f t="shared" si="0"/>
        <v>0.94314906211536642</v>
      </c>
    </row>
    <row r="10" spans="2:13" x14ac:dyDescent="0.2">
      <c r="B10" s="665" t="s">
        <v>151</v>
      </c>
      <c r="C10" s="345" t="s">
        <v>145</v>
      </c>
      <c r="D10" s="346">
        <v>0.85961557225572693</v>
      </c>
      <c r="E10" s="347">
        <v>11.25</v>
      </c>
      <c r="F10" s="348">
        <f t="shared" si="0"/>
        <v>0.95590188686474464</v>
      </c>
    </row>
    <row r="11" spans="2:13" x14ac:dyDescent="0.2">
      <c r="B11" s="666"/>
      <c r="C11" s="219" t="s">
        <v>30</v>
      </c>
      <c r="D11" s="344">
        <v>0.92794549014833527</v>
      </c>
      <c r="E11" s="313">
        <v>11.25</v>
      </c>
      <c r="F11" s="221">
        <f t="shared" si="0"/>
        <v>0.97795094343237232</v>
      </c>
    </row>
    <row r="12" spans="2:13" x14ac:dyDescent="0.2">
      <c r="B12" s="222" t="s">
        <v>152</v>
      </c>
      <c r="C12" s="207"/>
      <c r="D12" s="323">
        <v>0.83</v>
      </c>
      <c r="E12" s="311">
        <v>10</v>
      </c>
      <c r="F12" s="209">
        <f>D12^(1/E12^0.375)</f>
        <v>0.9244331578735252</v>
      </c>
    </row>
    <row r="13" spans="2:13" ht="12.75" customHeight="1" x14ac:dyDescent="0.2">
      <c r="B13" s="226" t="s">
        <v>153</v>
      </c>
      <c r="C13" s="227"/>
      <c r="D13" s="324">
        <v>0.81</v>
      </c>
      <c r="E13" s="328">
        <v>11</v>
      </c>
      <c r="F13" s="228">
        <f>D13^(1/E13^0.25)</f>
        <v>0.89073615217571622</v>
      </c>
    </row>
    <row r="14" spans="2:13" ht="12.75" customHeight="1" x14ac:dyDescent="0.2">
      <c r="B14" s="226" t="s">
        <v>154</v>
      </c>
      <c r="C14" s="227"/>
      <c r="D14" s="324">
        <v>0.72</v>
      </c>
      <c r="E14" s="328">
        <f>3*6</f>
        <v>18</v>
      </c>
      <c r="F14" s="228">
        <v>0.92549259217415814</v>
      </c>
    </row>
    <row r="15" spans="2:13" ht="12.75" customHeight="1" x14ac:dyDescent="0.2">
      <c r="B15" s="226" t="s">
        <v>155</v>
      </c>
      <c r="C15" s="227"/>
      <c r="D15" s="324">
        <v>0.78</v>
      </c>
      <c r="E15" s="328">
        <f>0.5*3.5*7</f>
        <v>12.25</v>
      </c>
      <c r="F15" s="228">
        <v>0.93147217571033913</v>
      </c>
    </row>
    <row r="16" spans="2:13" ht="12.75" customHeight="1" x14ac:dyDescent="0.2">
      <c r="B16" s="226" t="s">
        <v>156</v>
      </c>
      <c r="C16" s="227"/>
      <c r="D16" s="324">
        <v>0.89</v>
      </c>
      <c r="E16" s="328">
        <v>11</v>
      </c>
      <c r="F16" s="228">
        <f>D16^(1/E16^0.375)</f>
        <v>0.95369008020895385</v>
      </c>
    </row>
    <row r="17" spans="2:6" x14ac:dyDescent="0.2">
      <c r="B17" s="229" t="s">
        <v>144</v>
      </c>
      <c r="C17" s="227"/>
      <c r="D17" s="324">
        <v>0.86</v>
      </c>
      <c r="E17" s="328">
        <v>11.25</v>
      </c>
      <c r="F17" s="228">
        <f>D17^(1/E17)</f>
        <v>0.98668298749634353</v>
      </c>
    </row>
    <row r="18" spans="2:6" x14ac:dyDescent="0.2">
      <c r="B18" s="229" t="s">
        <v>144</v>
      </c>
      <c r="C18" s="227"/>
      <c r="D18" s="324">
        <v>0.8</v>
      </c>
      <c r="E18" s="328">
        <v>22.5</v>
      </c>
      <c r="F18" s="228">
        <f>(D18/D17)^(1/(E18-E17))</f>
        <v>0.9935921153695555</v>
      </c>
    </row>
    <row r="19" spans="2:6" x14ac:dyDescent="0.2">
      <c r="B19" s="230" t="s">
        <v>144</v>
      </c>
      <c r="C19" s="231"/>
      <c r="D19" s="325">
        <v>0.75</v>
      </c>
      <c r="E19" s="329">
        <v>56.25</v>
      </c>
      <c r="F19" s="232">
        <f>(D19/D18)^(1/(E19-E18))</f>
        <v>0.99808957471175141</v>
      </c>
    </row>
    <row r="20" spans="2:6" x14ac:dyDescent="0.2">
      <c r="B20" s="216"/>
      <c r="C20" s="213"/>
      <c r="D20" s="214"/>
      <c r="E20" s="215"/>
      <c r="F20" s="217"/>
    </row>
    <row r="21" spans="2:6" x14ac:dyDescent="0.2">
      <c r="B21" s="225" t="s">
        <v>158</v>
      </c>
      <c r="C21" s="210"/>
      <c r="D21" s="210"/>
      <c r="E21" s="210"/>
      <c r="F21" s="211"/>
    </row>
    <row r="22" spans="2:6" x14ac:dyDescent="0.2">
      <c r="B22" s="233" t="s">
        <v>161</v>
      </c>
      <c r="C22" s="210"/>
      <c r="D22" s="210"/>
      <c r="E22" s="210"/>
      <c r="F22" s="211"/>
    </row>
    <row r="23" spans="2:6" x14ac:dyDescent="0.2">
      <c r="B23" s="208"/>
      <c r="C23" s="208"/>
      <c r="D23" s="208"/>
      <c r="E23" s="208"/>
    </row>
  </sheetData>
  <mergeCells count="3">
    <mergeCell ref="F3:F4"/>
    <mergeCell ref="B10:B11"/>
    <mergeCell ref="B6:B7"/>
  </mergeCells>
  <pageMargins left="0.7" right="0.7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-0.499984740745262"/>
  </sheetPr>
  <dimension ref="B2:AB42"/>
  <sheetViews>
    <sheetView showGridLines="0" zoomScaleNormal="100" workbookViewId="0">
      <selection activeCell="B33" sqref="B33:B40"/>
    </sheetView>
  </sheetViews>
  <sheetFormatPr defaultColWidth="9.140625" defaultRowHeight="12.75" x14ac:dyDescent="0.2"/>
  <cols>
    <col min="1" max="1" width="4" style="7" customWidth="1"/>
    <col min="2" max="2" width="9.140625" style="172"/>
    <col min="3" max="3" width="9.140625" style="173"/>
    <col min="4" max="6" width="9.140625" style="172"/>
    <col min="7" max="10" width="9.140625" style="7"/>
    <col min="11" max="11" width="9.140625" style="7" customWidth="1"/>
    <col min="12" max="16384" width="9.140625" style="7"/>
  </cols>
  <sheetData>
    <row r="2" spans="2:28" x14ac:dyDescent="0.2">
      <c r="B2" s="178" t="s">
        <v>222</v>
      </c>
      <c r="C2" s="174"/>
      <c r="D2" s="174"/>
      <c r="E2" s="174"/>
      <c r="F2" s="174"/>
      <c r="G2" s="174"/>
      <c r="H2" s="175"/>
    </row>
    <row r="3" spans="2:28" x14ac:dyDescent="0.2">
      <c r="B3" s="178"/>
      <c r="C3" s="174"/>
      <c r="D3" s="174"/>
      <c r="E3" s="174"/>
      <c r="F3" s="174"/>
      <c r="G3" s="174"/>
      <c r="H3" s="175"/>
    </row>
    <row r="4" spans="2:28" x14ac:dyDescent="0.2">
      <c r="B4" s="176"/>
      <c r="C4" s="177"/>
      <c r="D4" s="668" t="s">
        <v>218</v>
      </c>
      <c r="E4" s="669"/>
      <c r="F4" s="669"/>
      <c r="G4" s="669"/>
      <c r="H4" s="669"/>
    </row>
    <row r="5" spans="2:28" x14ac:dyDescent="0.2">
      <c r="B5" s="184" t="s">
        <v>131</v>
      </c>
      <c r="C5" s="296" t="s">
        <v>0</v>
      </c>
      <c r="D5" s="179">
        <v>1</v>
      </c>
      <c r="E5" s="179">
        <v>2</v>
      </c>
      <c r="F5" s="179">
        <v>3</v>
      </c>
      <c r="G5" s="179">
        <v>4</v>
      </c>
      <c r="H5" s="179">
        <v>5</v>
      </c>
      <c r="I5" s="175"/>
    </row>
    <row r="6" spans="2:28" x14ac:dyDescent="0.2">
      <c r="B6" s="704" t="str">
        <f t="shared" ref="B6:H6" si="0">B25</f>
        <v>men</v>
      </c>
      <c r="C6" s="700" t="s">
        <v>6</v>
      </c>
      <c r="D6" s="398">
        <f t="shared" si="0"/>
        <v>0</v>
      </c>
      <c r="E6" s="398">
        <f t="shared" si="0"/>
        <v>0</v>
      </c>
      <c r="F6" s="398">
        <f t="shared" si="0"/>
        <v>0</v>
      </c>
      <c r="G6" s="398">
        <f t="shared" si="0"/>
        <v>0</v>
      </c>
      <c r="H6" s="398">
        <f t="shared" si="0"/>
        <v>0</v>
      </c>
      <c r="I6" s="175"/>
    </row>
    <row r="7" spans="2:28" x14ac:dyDescent="0.2">
      <c r="B7" s="705"/>
      <c r="C7" s="701" t="s">
        <v>53</v>
      </c>
      <c r="D7" s="398">
        <f t="shared" ref="D7:H7" si="1">D26</f>
        <v>0</v>
      </c>
      <c r="E7" s="398">
        <f t="shared" si="1"/>
        <v>0</v>
      </c>
      <c r="F7" s="398">
        <f t="shared" si="1"/>
        <v>0</v>
      </c>
      <c r="G7" s="398">
        <f t="shared" si="1"/>
        <v>0</v>
      </c>
      <c r="H7" s="398">
        <f t="shared" si="1"/>
        <v>0</v>
      </c>
      <c r="I7" s="175"/>
    </row>
    <row r="8" spans="2:28" x14ac:dyDescent="0.2">
      <c r="B8" s="705"/>
      <c r="C8" s="701" t="s">
        <v>30</v>
      </c>
      <c r="D8" s="403">
        <v>64.877499999999998</v>
      </c>
      <c r="E8" s="403">
        <v>64.877499999999998</v>
      </c>
      <c r="F8" s="403">
        <v>64.877499999999998</v>
      </c>
      <c r="G8" s="403">
        <v>64.877499999999998</v>
      </c>
      <c r="H8" s="403">
        <v>64.877499999999998</v>
      </c>
      <c r="I8" s="175"/>
    </row>
    <row r="9" spans="2:28" x14ac:dyDescent="0.2">
      <c r="B9" s="705"/>
      <c r="C9" s="701" t="s">
        <v>31</v>
      </c>
      <c r="D9" s="403">
        <v>67.693749999999994</v>
      </c>
      <c r="E9" s="403">
        <v>67.693749999999994</v>
      </c>
      <c r="F9" s="403">
        <v>67.693749999999994</v>
      </c>
      <c r="G9" s="403">
        <v>67.693749999999994</v>
      </c>
      <c r="H9" s="403">
        <v>67.693749999999994</v>
      </c>
      <c r="I9" s="175"/>
    </row>
    <row r="10" spans="2:28" x14ac:dyDescent="0.2">
      <c r="B10" s="705"/>
      <c r="C10" s="701" t="s">
        <v>32</v>
      </c>
      <c r="D10" s="403">
        <v>57.774999999999999</v>
      </c>
      <c r="E10" s="403">
        <v>57.774999999999999</v>
      </c>
      <c r="F10" s="403">
        <v>57.774999999999999</v>
      </c>
      <c r="G10" s="403">
        <v>57.774999999999999</v>
      </c>
      <c r="H10" s="403">
        <v>57.774999999999999</v>
      </c>
      <c r="I10" s="175"/>
    </row>
    <row r="11" spans="2:28" x14ac:dyDescent="0.2">
      <c r="B11" s="705"/>
      <c r="C11" s="701" t="s">
        <v>33</v>
      </c>
      <c r="D11" s="403">
        <v>23.0833333333333</v>
      </c>
      <c r="E11" s="403">
        <v>23.0833333333333</v>
      </c>
      <c r="F11" s="403">
        <v>23.0833333333333</v>
      </c>
      <c r="G11" s="403">
        <v>23.0833333333333</v>
      </c>
      <c r="H11" s="403">
        <v>23.0833333333333</v>
      </c>
      <c r="I11" s="175"/>
    </row>
    <row r="12" spans="2:28" x14ac:dyDescent="0.2">
      <c r="B12" s="705"/>
      <c r="C12" s="701" t="s">
        <v>34</v>
      </c>
      <c r="D12" s="403">
        <v>1.875</v>
      </c>
      <c r="E12" s="403">
        <v>1.875</v>
      </c>
      <c r="F12" s="403">
        <v>1.875</v>
      </c>
      <c r="G12" s="403">
        <v>1.875</v>
      </c>
      <c r="H12" s="403">
        <v>1.875</v>
      </c>
      <c r="I12" s="175"/>
    </row>
    <row r="13" spans="2:28" x14ac:dyDescent="0.2">
      <c r="B13" s="706"/>
      <c r="C13" s="452" t="s">
        <v>35</v>
      </c>
      <c r="D13" s="404">
        <v>0.33333333333333298</v>
      </c>
      <c r="E13" s="405">
        <v>0.33333333333333298</v>
      </c>
      <c r="F13" s="405">
        <v>0.33333333333333298</v>
      </c>
      <c r="G13" s="405">
        <v>0.33333333333333298</v>
      </c>
      <c r="H13" s="405">
        <v>0.33333333333333298</v>
      </c>
      <c r="I13" s="20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</row>
    <row r="14" spans="2:28" x14ac:dyDescent="0.2">
      <c r="B14" s="704" t="str">
        <f>B33</f>
        <v>women</v>
      </c>
      <c r="C14" s="451" t="s">
        <v>6</v>
      </c>
      <c r="D14" s="702">
        <f t="shared" ref="D14:H15" si="2">D33</f>
        <v>0</v>
      </c>
      <c r="E14" s="398">
        <f t="shared" si="2"/>
        <v>0</v>
      </c>
      <c r="F14" s="398">
        <f t="shared" si="2"/>
        <v>0</v>
      </c>
      <c r="G14" s="398">
        <f t="shared" si="2"/>
        <v>0</v>
      </c>
      <c r="H14" s="398">
        <f t="shared" si="2"/>
        <v>0</v>
      </c>
      <c r="I14" s="20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</row>
    <row r="15" spans="2:28" x14ac:dyDescent="0.2">
      <c r="B15" s="705"/>
      <c r="C15" s="701" t="s">
        <v>53</v>
      </c>
      <c r="D15" s="398">
        <f t="shared" si="2"/>
        <v>0</v>
      </c>
      <c r="E15" s="398">
        <f t="shared" si="2"/>
        <v>0</v>
      </c>
      <c r="F15" s="398">
        <f t="shared" si="2"/>
        <v>0</v>
      </c>
      <c r="G15" s="398">
        <f t="shared" si="2"/>
        <v>0</v>
      </c>
      <c r="H15" s="398">
        <f t="shared" si="2"/>
        <v>0</v>
      </c>
      <c r="I15" s="20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</row>
    <row r="16" spans="2:28" x14ac:dyDescent="0.2">
      <c r="B16" s="705"/>
      <c r="C16" s="701" t="s">
        <v>30</v>
      </c>
      <c r="D16" s="403">
        <v>37.5</v>
      </c>
      <c r="E16" s="403">
        <v>37.5</v>
      </c>
      <c r="F16" s="403">
        <v>37.5</v>
      </c>
      <c r="G16" s="403">
        <v>37.5</v>
      </c>
      <c r="H16" s="403">
        <v>37.5</v>
      </c>
      <c r="I16" s="175"/>
    </row>
    <row r="17" spans="2:15" x14ac:dyDescent="0.2">
      <c r="B17" s="705"/>
      <c r="C17" s="701" t="s">
        <v>31</v>
      </c>
      <c r="D17" s="403">
        <v>37.563333333333297</v>
      </c>
      <c r="E17" s="403">
        <v>37.563333333333297</v>
      </c>
      <c r="F17" s="403">
        <v>37.563333333333297</v>
      </c>
      <c r="G17" s="403">
        <v>37.563333333333297</v>
      </c>
      <c r="H17" s="403">
        <v>37.563333333333297</v>
      </c>
      <c r="I17" s="175"/>
    </row>
    <row r="18" spans="2:15" x14ac:dyDescent="0.2">
      <c r="B18" s="705"/>
      <c r="C18" s="701" t="s">
        <v>32</v>
      </c>
      <c r="D18" s="403">
        <v>37.753333333333302</v>
      </c>
      <c r="E18" s="403">
        <v>37.753333333333302</v>
      </c>
      <c r="F18" s="403">
        <v>37.753333333333302</v>
      </c>
      <c r="G18" s="403">
        <v>37.753333333333302</v>
      </c>
      <c r="H18" s="403">
        <v>37.753333333333302</v>
      </c>
      <c r="I18" s="175"/>
    </row>
    <row r="19" spans="2:15" x14ac:dyDescent="0.2">
      <c r="B19" s="705"/>
      <c r="C19" s="701" t="s">
        <v>33</v>
      </c>
      <c r="D19" s="403">
        <v>9</v>
      </c>
      <c r="E19" s="403">
        <v>9</v>
      </c>
      <c r="F19" s="403">
        <v>9</v>
      </c>
      <c r="G19" s="403">
        <v>9</v>
      </c>
      <c r="H19" s="403">
        <v>9</v>
      </c>
      <c r="I19" s="175"/>
    </row>
    <row r="20" spans="2:15" x14ac:dyDescent="0.2">
      <c r="B20" s="705"/>
      <c r="C20" s="701" t="s">
        <v>34</v>
      </c>
      <c r="D20" s="403">
        <v>0.5</v>
      </c>
      <c r="E20" s="403">
        <v>0.5</v>
      </c>
      <c r="F20" s="403">
        <v>0.5</v>
      </c>
      <c r="G20" s="403">
        <v>0.5</v>
      </c>
      <c r="H20" s="403">
        <v>0.5</v>
      </c>
      <c r="I20" s="175"/>
    </row>
    <row r="21" spans="2:15" x14ac:dyDescent="0.2">
      <c r="B21" s="706"/>
      <c r="C21" s="452" t="s">
        <v>35</v>
      </c>
      <c r="D21" s="404">
        <v>8.3333333333333301E-2</v>
      </c>
      <c r="E21" s="405">
        <v>8.3333333333333301E-2</v>
      </c>
      <c r="F21" s="405">
        <v>8.3333333333333301E-2</v>
      </c>
      <c r="G21" s="405">
        <v>8.3333333333333301E-2</v>
      </c>
      <c r="H21" s="405">
        <v>8.3333333333333301E-2</v>
      </c>
      <c r="I21" s="175"/>
    </row>
    <row r="22" spans="2:15" x14ac:dyDescent="0.2">
      <c r="B22" s="177"/>
      <c r="C22" s="177"/>
      <c r="D22" s="399"/>
      <c r="E22" s="399"/>
      <c r="F22" s="399"/>
      <c r="G22" s="399"/>
      <c r="H22" s="399"/>
      <c r="I22" s="175"/>
    </row>
    <row r="23" spans="2:15" x14ac:dyDescent="0.2">
      <c r="C23" s="175"/>
      <c r="D23" s="406"/>
      <c r="E23" s="406"/>
      <c r="F23" s="406"/>
      <c r="G23" s="406"/>
      <c r="H23" s="406"/>
      <c r="I23" s="175"/>
    </row>
    <row r="24" spans="2:15" x14ac:dyDescent="0.2">
      <c r="B24" s="183" t="s">
        <v>130</v>
      </c>
      <c r="C24" s="296"/>
      <c r="D24" s="400"/>
      <c r="E24" s="401"/>
      <c r="F24" s="401"/>
      <c r="G24" s="401"/>
      <c r="H24" s="401"/>
      <c r="I24" s="175"/>
      <c r="N24" s="18"/>
      <c r="O24" s="18"/>
    </row>
    <row r="25" spans="2:15" x14ac:dyDescent="0.2">
      <c r="B25" s="704" t="s">
        <v>128</v>
      </c>
      <c r="C25" s="700" t="s">
        <v>6</v>
      </c>
      <c r="D25" s="402">
        <v>0</v>
      </c>
      <c r="E25" s="402">
        <v>0</v>
      </c>
      <c r="F25" s="402">
        <v>0</v>
      </c>
      <c r="G25" s="402">
        <v>0</v>
      </c>
      <c r="H25" s="402">
        <v>0</v>
      </c>
      <c r="I25" s="175"/>
      <c r="N25" s="18"/>
      <c r="O25" s="18"/>
    </row>
    <row r="26" spans="2:15" x14ac:dyDescent="0.2">
      <c r="B26" s="705"/>
      <c r="C26" s="701" t="s">
        <v>53</v>
      </c>
      <c r="D26" s="402">
        <v>0</v>
      </c>
      <c r="E26" s="402">
        <v>0</v>
      </c>
      <c r="F26" s="402">
        <v>0</v>
      </c>
      <c r="G26" s="402">
        <v>0</v>
      </c>
      <c r="H26" s="402">
        <v>0</v>
      </c>
      <c r="I26" s="175"/>
      <c r="N26" s="18"/>
      <c r="O26" s="18"/>
    </row>
    <row r="27" spans="2:15" x14ac:dyDescent="0.2">
      <c r="B27" s="705"/>
      <c r="C27" s="701" t="s">
        <v>30</v>
      </c>
      <c r="D27" s="403">
        <v>64.877499999999998</v>
      </c>
      <c r="E27" s="403">
        <v>64.877499999999998</v>
      </c>
      <c r="F27" s="403">
        <v>64.877499999999998</v>
      </c>
      <c r="G27" s="403">
        <v>64.877499999999998</v>
      </c>
      <c r="H27" s="403">
        <v>64.877499999999998</v>
      </c>
      <c r="I27" s="175"/>
      <c r="N27" s="18"/>
      <c r="O27" s="18"/>
    </row>
    <row r="28" spans="2:15" x14ac:dyDescent="0.2">
      <c r="B28" s="705"/>
      <c r="C28" s="701" t="s">
        <v>31</v>
      </c>
      <c r="D28" s="403">
        <v>67.693749999999994</v>
      </c>
      <c r="E28" s="403">
        <v>67.693749999999994</v>
      </c>
      <c r="F28" s="403">
        <v>67.693749999999994</v>
      </c>
      <c r="G28" s="403">
        <v>67.693749999999994</v>
      </c>
      <c r="H28" s="403">
        <v>67.693749999999994</v>
      </c>
      <c r="I28" s="175"/>
      <c r="N28" s="18"/>
      <c r="O28" s="18"/>
    </row>
    <row r="29" spans="2:15" x14ac:dyDescent="0.2">
      <c r="B29" s="705"/>
      <c r="C29" s="701" t="s">
        <v>32</v>
      </c>
      <c r="D29" s="403">
        <v>57.774999999999999</v>
      </c>
      <c r="E29" s="403">
        <v>57.774999999999999</v>
      </c>
      <c r="F29" s="403">
        <v>57.774999999999999</v>
      </c>
      <c r="G29" s="403">
        <v>57.774999999999999</v>
      </c>
      <c r="H29" s="403">
        <v>57.774999999999999</v>
      </c>
      <c r="I29" s="175"/>
      <c r="N29" s="18"/>
      <c r="O29" s="18"/>
    </row>
    <row r="30" spans="2:15" x14ac:dyDescent="0.2">
      <c r="B30" s="705"/>
      <c r="C30" s="701" t="s">
        <v>33</v>
      </c>
      <c r="D30" s="403">
        <v>23.0833333333333</v>
      </c>
      <c r="E30" s="403">
        <v>23.0833333333333</v>
      </c>
      <c r="F30" s="403">
        <v>23.0833333333333</v>
      </c>
      <c r="G30" s="403">
        <v>23.0833333333333</v>
      </c>
      <c r="H30" s="403">
        <v>23.0833333333333</v>
      </c>
      <c r="I30" s="175"/>
      <c r="N30" s="18"/>
      <c r="O30" s="18"/>
    </row>
    <row r="31" spans="2:15" x14ac:dyDescent="0.2">
      <c r="B31" s="705"/>
      <c r="C31" s="701" t="s">
        <v>34</v>
      </c>
      <c r="D31" s="403">
        <v>1.875</v>
      </c>
      <c r="E31" s="403">
        <v>1.875</v>
      </c>
      <c r="F31" s="403">
        <v>1.875</v>
      </c>
      <c r="G31" s="403">
        <v>1.875</v>
      </c>
      <c r="H31" s="403">
        <v>1.875</v>
      </c>
      <c r="I31" s="175"/>
      <c r="N31" s="18"/>
      <c r="O31" s="18"/>
    </row>
    <row r="32" spans="2:15" x14ac:dyDescent="0.2">
      <c r="B32" s="706"/>
      <c r="C32" s="703" t="s">
        <v>35</v>
      </c>
      <c r="D32" s="403">
        <v>0.33333333333333298</v>
      </c>
      <c r="E32" s="403">
        <v>0.33333333333333298</v>
      </c>
      <c r="F32" s="403">
        <v>0.33333333333333298</v>
      </c>
      <c r="G32" s="403">
        <v>0.33333333333333298</v>
      </c>
      <c r="H32" s="403">
        <v>0.33333333333333298</v>
      </c>
      <c r="I32" s="175"/>
      <c r="N32" s="18"/>
      <c r="O32" s="18"/>
    </row>
    <row r="33" spans="2:9" x14ac:dyDescent="0.2">
      <c r="B33" s="704" t="s">
        <v>129</v>
      </c>
      <c r="C33" s="701" t="s">
        <v>6</v>
      </c>
      <c r="D33" s="402">
        <v>0</v>
      </c>
      <c r="E33" s="402">
        <v>0</v>
      </c>
      <c r="F33" s="402">
        <v>0</v>
      </c>
      <c r="G33" s="402">
        <v>0</v>
      </c>
      <c r="H33" s="402">
        <v>0</v>
      </c>
      <c r="I33" s="175"/>
    </row>
    <row r="34" spans="2:9" x14ac:dyDescent="0.2">
      <c r="B34" s="705"/>
      <c r="C34" s="701" t="s">
        <v>53</v>
      </c>
      <c r="D34" s="402">
        <v>0</v>
      </c>
      <c r="E34" s="402">
        <v>0</v>
      </c>
      <c r="F34" s="402">
        <v>0</v>
      </c>
      <c r="G34" s="402">
        <v>0</v>
      </c>
      <c r="H34" s="402">
        <v>0</v>
      </c>
      <c r="I34" s="175"/>
    </row>
    <row r="35" spans="2:9" x14ac:dyDescent="0.2">
      <c r="B35" s="705"/>
      <c r="C35" s="701" t="s">
        <v>30</v>
      </c>
      <c r="D35" s="403">
        <v>37.5</v>
      </c>
      <c r="E35" s="403">
        <v>37.5</v>
      </c>
      <c r="F35" s="403">
        <v>37.5</v>
      </c>
      <c r="G35" s="403">
        <v>37.5</v>
      </c>
      <c r="H35" s="403">
        <v>37.5</v>
      </c>
      <c r="I35" s="175"/>
    </row>
    <row r="36" spans="2:9" x14ac:dyDescent="0.2">
      <c r="B36" s="705"/>
      <c r="C36" s="701" t="s">
        <v>31</v>
      </c>
      <c r="D36" s="403">
        <v>37.563333333333297</v>
      </c>
      <c r="E36" s="403">
        <v>37.563333333333297</v>
      </c>
      <c r="F36" s="403">
        <v>37.563333333333297</v>
      </c>
      <c r="G36" s="403">
        <v>37.563333333333297</v>
      </c>
      <c r="H36" s="403">
        <v>37.563333333333297</v>
      </c>
      <c r="I36" s="175"/>
    </row>
    <row r="37" spans="2:9" x14ac:dyDescent="0.2">
      <c r="B37" s="705"/>
      <c r="C37" s="701" t="s">
        <v>32</v>
      </c>
      <c r="D37" s="403">
        <v>37.753333333333302</v>
      </c>
      <c r="E37" s="403">
        <v>37.753333333333302</v>
      </c>
      <c r="F37" s="403">
        <v>37.753333333333302</v>
      </c>
      <c r="G37" s="403">
        <v>37.753333333333302</v>
      </c>
      <c r="H37" s="403">
        <v>37.753333333333302</v>
      </c>
      <c r="I37" s="175"/>
    </row>
    <row r="38" spans="2:9" x14ac:dyDescent="0.2">
      <c r="B38" s="705"/>
      <c r="C38" s="701" t="s">
        <v>33</v>
      </c>
      <c r="D38" s="403">
        <v>9</v>
      </c>
      <c r="E38" s="403">
        <v>9</v>
      </c>
      <c r="F38" s="403">
        <v>9</v>
      </c>
      <c r="G38" s="403">
        <v>9</v>
      </c>
      <c r="H38" s="403">
        <v>9</v>
      </c>
      <c r="I38" s="175"/>
    </row>
    <row r="39" spans="2:9" x14ac:dyDescent="0.2">
      <c r="B39" s="705"/>
      <c r="C39" s="701" t="s">
        <v>34</v>
      </c>
      <c r="D39" s="403">
        <v>0.5</v>
      </c>
      <c r="E39" s="403">
        <v>0.5</v>
      </c>
      <c r="F39" s="403">
        <v>0.5</v>
      </c>
      <c r="G39" s="403">
        <v>0.5</v>
      </c>
      <c r="H39" s="403">
        <v>0.5</v>
      </c>
      <c r="I39" s="175"/>
    </row>
    <row r="40" spans="2:9" x14ac:dyDescent="0.2">
      <c r="B40" s="706"/>
      <c r="C40" s="703" t="s">
        <v>35</v>
      </c>
      <c r="D40" s="403">
        <v>8.3333333333333301E-2</v>
      </c>
      <c r="E40" s="403">
        <v>8.3333333333333301E-2</v>
      </c>
      <c r="F40" s="403">
        <v>8.3333333333333301E-2</v>
      </c>
      <c r="G40" s="403">
        <v>8.3333333333333301E-2</v>
      </c>
      <c r="H40" s="403">
        <v>8.3333333333333301E-2</v>
      </c>
      <c r="I40" s="175"/>
    </row>
    <row r="41" spans="2:9" x14ac:dyDescent="0.2">
      <c r="B41" s="181"/>
      <c r="C41" s="180"/>
      <c r="D41" s="181"/>
      <c r="E41" s="181"/>
      <c r="F41" s="181"/>
      <c r="G41" s="182"/>
      <c r="H41" s="182"/>
      <c r="I41" s="175"/>
    </row>
    <row r="42" spans="2:9" x14ac:dyDescent="0.2">
      <c r="B42" s="176"/>
      <c r="C42" s="177"/>
      <c r="D42" s="176"/>
      <c r="E42" s="176"/>
      <c r="F42" s="176"/>
      <c r="G42" s="175"/>
      <c r="H42" s="175"/>
      <c r="I42" s="175"/>
    </row>
  </sheetData>
  <mergeCells count="5">
    <mergeCell ref="D4:H4"/>
    <mergeCell ref="B6:B13"/>
    <mergeCell ref="B14:B21"/>
    <mergeCell ref="B25:B32"/>
    <mergeCell ref="B33:B40"/>
  </mergeCells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00B050"/>
  </sheetPr>
  <dimension ref="B2:BJ48"/>
  <sheetViews>
    <sheetView showGridLines="0" workbookViewId="0"/>
  </sheetViews>
  <sheetFormatPr defaultRowHeight="12.75" x14ac:dyDescent="0.2"/>
  <cols>
    <col min="1" max="1" width="5" style="4" customWidth="1"/>
    <col min="2" max="2" width="8.7109375" style="4" customWidth="1"/>
    <col min="3" max="3" width="6.140625" style="4" bestFit="1" customWidth="1"/>
    <col min="4" max="6" width="3.5703125" style="4" bestFit="1" customWidth="1"/>
    <col min="7" max="7" width="4.5703125" style="4" customWidth="1"/>
    <col min="8" max="13" width="4.5703125" style="4" bestFit="1" customWidth="1"/>
    <col min="14" max="14" width="6.28515625" style="4" customWidth="1"/>
    <col min="15" max="20" width="4.5703125" style="4" bestFit="1" customWidth="1"/>
    <col min="21" max="21" width="5.7109375" style="4" customWidth="1"/>
    <col min="22" max="24" width="7.5703125" style="4" bestFit="1" customWidth="1"/>
    <col min="25" max="25" width="6.42578125" style="4" customWidth="1"/>
    <col min="26" max="26" width="5.5703125" style="4" customWidth="1"/>
    <col min="27" max="27" width="5.28515625" style="4" customWidth="1"/>
    <col min="28" max="28" width="5.140625" style="4" customWidth="1"/>
    <col min="29" max="29" width="5.5703125" style="4" customWidth="1"/>
    <col min="30" max="30" width="7.28515625" style="4" customWidth="1"/>
    <col min="31" max="31" width="7.42578125" style="4" customWidth="1"/>
    <col min="32" max="36" width="4.5703125" style="4" bestFit="1" customWidth="1"/>
    <col min="37" max="46" width="5.5703125" style="4" bestFit="1" customWidth="1"/>
    <col min="47" max="47" width="8.7109375" style="4" bestFit="1" customWidth="1"/>
    <col min="48" max="48" width="5.85546875" style="4" bestFit="1" customWidth="1"/>
    <col min="49" max="49" width="6.42578125" style="4" bestFit="1" customWidth="1"/>
    <col min="50" max="50" width="7.28515625" style="4" bestFit="1" customWidth="1"/>
    <col min="51" max="16384" width="9.140625" style="4"/>
  </cols>
  <sheetData>
    <row r="2" spans="2:62" x14ac:dyDescent="0.2">
      <c r="B2" s="56" t="s">
        <v>174</v>
      </c>
    </row>
    <row r="3" spans="2:62" ht="12.75" customHeight="1" x14ac:dyDescent="0.2">
      <c r="U3" s="708"/>
      <c r="V3" s="708"/>
      <c r="W3" s="708"/>
      <c r="X3" s="708"/>
      <c r="Z3" s="712"/>
      <c r="AA3" s="712"/>
      <c r="AB3" s="712"/>
      <c r="AC3" s="712"/>
    </row>
    <row r="4" spans="2:62" ht="12.75" customHeight="1" x14ac:dyDescent="0.2">
      <c r="B4" s="189" t="s">
        <v>65</v>
      </c>
      <c r="C4" s="197"/>
      <c r="D4" s="673" t="s">
        <v>141</v>
      </c>
      <c r="E4" s="674"/>
      <c r="F4" s="674"/>
      <c r="G4" s="674"/>
      <c r="H4" s="675"/>
      <c r="I4" s="673" t="s">
        <v>142</v>
      </c>
      <c r="J4" s="674"/>
      <c r="K4" s="674"/>
      <c r="L4" s="674"/>
      <c r="M4" s="675"/>
      <c r="N4" s="676" t="s">
        <v>136</v>
      </c>
      <c r="O4" s="672" t="s">
        <v>163</v>
      </c>
      <c r="P4" s="671"/>
      <c r="Q4" s="671"/>
      <c r="R4" s="671"/>
      <c r="S4" s="678"/>
      <c r="T4" s="709" t="s">
        <v>132</v>
      </c>
      <c r="U4" s="671"/>
      <c r="V4" s="671"/>
      <c r="W4" s="671"/>
      <c r="X4" s="671"/>
      <c r="Y4" s="707" t="s">
        <v>166</v>
      </c>
      <c r="Z4" s="672"/>
      <c r="AA4" s="672"/>
      <c r="AB4" s="672"/>
      <c r="AC4" s="713"/>
      <c r="AD4" s="676" t="s">
        <v>2</v>
      </c>
      <c r="AE4" s="679" t="s">
        <v>165</v>
      </c>
      <c r="AF4" s="672" t="s">
        <v>164</v>
      </c>
      <c r="AG4" s="671"/>
      <c r="AH4" s="671"/>
      <c r="AI4" s="671"/>
      <c r="AJ4" s="678"/>
      <c r="AK4" s="671" t="s">
        <v>133</v>
      </c>
      <c r="AL4" s="671"/>
      <c r="AM4" s="671"/>
      <c r="AN4" s="671"/>
      <c r="AO4" s="678"/>
      <c r="AP4" s="681" t="s">
        <v>134</v>
      </c>
      <c r="AQ4" s="681"/>
      <c r="AR4" s="681"/>
      <c r="AS4" s="681"/>
      <c r="AT4" s="682"/>
      <c r="AU4" s="670" t="s">
        <v>135</v>
      </c>
      <c r="AV4" s="670"/>
      <c r="AW4" s="670"/>
      <c r="AX4" s="670"/>
      <c r="AY4" s="186"/>
      <c r="AZ4" s="186"/>
      <c r="BA4" s="186"/>
      <c r="BB4" s="186"/>
      <c r="BC4" s="186"/>
      <c r="BD4" s="186"/>
      <c r="BE4" s="186"/>
      <c r="BF4" s="186"/>
      <c r="BG4" s="186"/>
      <c r="BH4" s="186"/>
      <c r="BI4" s="186"/>
      <c r="BJ4" s="186"/>
    </row>
    <row r="5" spans="2:62" x14ac:dyDescent="0.2">
      <c r="B5" s="192" t="s">
        <v>1</v>
      </c>
      <c r="C5" s="198" t="s">
        <v>0</v>
      </c>
      <c r="D5" s="193">
        <v>1</v>
      </c>
      <c r="E5" s="193">
        <v>2</v>
      </c>
      <c r="F5" s="193">
        <v>3</v>
      </c>
      <c r="G5" s="193">
        <v>4</v>
      </c>
      <c r="H5" s="194">
        <v>5</v>
      </c>
      <c r="I5" s="193">
        <v>1</v>
      </c>
      <c r="J5" s="193">
        <v>2</v>
      </c>
      <c r="K5" s="193">
        <v>3</v>
      </c>
      <c r="L5" s="193">
        <v>4</v>
      </c>
      <c r="M5" s="194">
        <v>5</v>
      </c>
      <c r="N5" s="677"/>
      <c r="O5" s="236">
        <v>1</v>
      </c>
      <c r="P5" s="236">
        <v>2</v>
      </c>
      <c r="Q5" s="236">
        <v>3</v>
      </c>
      <c r="R5" s="236">
        <v>4</v>
      </c>
      <c r="S5" s="243">
        <v>5</v>
      </c>
      <c r="T5" s="254">
        <v>1</v>
      </c>
      <c r="U5" s="255">
        <v>2</v>
      </c>
      <c r="V5" s="255">
        <v>3</v>
      </c>
      <c r="W5" s="255">
        <v>4</v>
      </c>
      <c r="X5" s="256">
        <v>5</v>
      </c>
      <c r="Y5" s="255">
        <v>1</v>
      </c>
      <c r="Z5" s="255">
        <v>2</v>
      </c>
      <c r="AA5" s="255">
        <v>3</v>
      </c>
      <c r="AB5" s="255">
        <v>4</v>
      </c>
      <c r="AC5" s="256">
        <v>5</v>
      </c>
      <c r="AD5" s="676"/>
      <c r="AE5" s="680"/>
      <c r="AF5" s="254">
        <v>1</v>
      </c>
      <c r="AG5" s="255">
        <v>2</v>
      </c>
      <c r="AH5" s="255">
        <v>3</v>
      </c>
      <c r="AI5" s="255">
        <v>4</v>
      </c>
      <c r="AJ5" s="256">
        <v>5</v>
      </c>
      <c r="AK5" s="270">
        <v>1</v>
      </c>
      <c r="AL5" s="193">
        <v>2</v>
      </c>
      <c r="AM5" s="193">
        <v>3</v>
      </c>
      <c r="AN5" s="193">
        <v>4</v>
      </c>
      <c r="AO5" s="194">
        <v>5</v>
      </c>
      <c r="AP5" s="255">
        <v>1</v>
      </c>
      <c r="AQ5" s="255">
        <v>2</v>
      </c>
      <c r="AR5" s="255">
        <v>3</v>
      </c>
      <c r="AS5" s="255">
        <v>4</v>
      </c>
      <c r="AT5" s="256">
        <v>5</v>
      </c>
      <c r="AU5" s="271" t="s">
        <v>137</v>
      </c>
      <c r="AV5" s="255" t="s">
        <v>138</v>
      </c>
      <c r="AW5" s="255" t="s">
        <v>139</v>
      </c>
      <c r="AX5" s="255" t="s">
        <v>140</v>
      </c>
      <c r="AY5" s="186"/>
      <c r="AZ5" s="186"/>
      <c r="BA5" s="186"/>
      <c r="BB5" s="186"/>
      <c r="BC5" s="186"/>
      <c r="BD5" s="186"/>
      <c r="BE5" s="186"/>
      <c r="BF5" s="186"/>
      <c r="BG5" s="186"/>
      <c r="BH5" s="186"/>
      <c r="BI5" s="186"/>
      <c r="BJ5" s="186"/>
    </row>
    <row r="6" spans="2:62" x14ac:dyDescent="0.2">
      <c r="B6" s="190">
        <v>1</v>
      </c>
      <c r="C6" s="197" t="s">
        <v>6</v>
      </c>
      <c r="D6" s="191">
        <f>Baseline!AL31</f>
        <v>0.32584257613541145</v>
      </c>
      <c r="E6" s="191">
        <f>Baseline!AM31</f>
        <v>0.82008604845897226</v>
      </c>
      <c r="F6" s="191">
        <f>Baseline!AN31</f>
        <v>1.5541324044470577</v>
      </c>
      <c r="G6" s="191">
        <f>Baseline!AO31</f>
        <v>2.9452123165502546</v>
      </c>
      <c r="H6" s="195">
        <f>Baseline!AP31</f>
        <v>7.4125596452093143</v>
      </c>
      <c r="I6" s="191">
        <f>IF(D6+'Non-travel METs'!D6&gt;2.5, D6+'Non-travel METs'!D6, 0.1)</f>
        <v>0.1</v>
      </c>
      <c r="J6" s="191">
        <f>IF(E6+'Non-travel METs'!E6&gt;2.5, E6+'Non-travel METs'!E6, 0.1)</f>
        <v>0.1</v>
      </c>
      <c r="K6" s="191">
        <f>IF(F6+'Non-travel METs'!F6&gt;2.5, F6+'Non-travel METs'!F6, 0.1)</f>
        <v>0.1</v>
      </c>
      <c r="L6" s="191">
        <f>IF(G6+'Non-travel METs'!G6&gt;2.5, G6+'Non-travel METs'!G6, 0.1)</f>
        <v>2.9452123165502546</v>
      </c>
      <c r="M6" s="196">
        <f>IF(H6+'Non-travel METs'!H6&gt;2.5, H6+'Non-travel METs'!H6, 0.1)</f>
        <v>7.4125596452093143</v>
      </c>
      <c r="N6" s="239">
        <v>1</v>
      </c>
      <c r="O6" s="234">
        <f>$N6^(I6^0.5)</f>
        <v>1</v>
      </c>
      <c r="P6" s="234">
        <f t="shared" ref="P6:S21" si="0">$N6^(J6^0.5)</f>
        <v>1</v>
      </c>
      <c r="Q6" s="234">
        <f t="shared" si="0"/>
        <v>1</v>
      </c>
      <c r="R6" s="234">
        <f t="shared" si="0"/>
        <v>1</v>
      </c>
      <c r="S6" s="244">
        <f t="shared" si="0"/>
        <v>1</v>
      </c>
      <c r="T6" s="248"/>
      <c r="U6" s="248"/>
      <c r="V6" s="248"/>
      <c r="W6" s="248"/>
      <c r="X6" s="249"/>
      <c r="Y6" s="235">
        <f>O6/$O6</f>
        <v>1</v>
      </c>
      <c r="Z6" s="235">
        <f t="shared" ref="Z6:AC21" si="1">P6/$O6</f>
        <v>1</v>
      </c>
      <c r="AA6" s="235">
        <f t="shared" si="1"/>
        <v>1</v>
      </c>
      <c r="AB6" s="235">
        <f t="shared" si="1"/>
        <v>1</v>
      </c>
      <c r="AC6" s="259">
        <f t="shared" si="1"/>
        <v>1</v>
      </c>
      <c r="AD6" s="262"/>
      <c r="AE6" s="263"/>
      <c r="AF6" s="187">
        <f>GBDUS!K7/(Y6+Z6+AA6+AB6+AC6)</f>
        <v>0</v>
      </c>
      <c r="AG6" s="187">
        <f>$AF6*Z6</f>
        <v>0</v>
      </c>
      <c r="AH6" s="187">
        <f t="shared" ref="AH6:AJ21" si="2">$AF6*AA6</f>
        <v>0</v>
      </c>
      <c r="AI6" s="187">
        <f t="shared" si="2"/>
        <v>0</v>
      </c>
      <c r="AJ6" s="265">
        <f t="shared" si="2"/>
        <v>0</v>
      </c>
      <c r="AK6" s="274">
        <f>GBDUS!L7/(Y6+Z6+AA6+AB6+AC6)</f>
        <v>0</v>
      </c>
      <c r="AL6" s="274">
        <f>$AK6*Z6</f>
        <v>0</v>
      </c>
      <c r="AM6" s="274">
        <f t="shared" ref="AM6:AO21" si="3">$AK6*AA6</f>
        <v>0</v>
      </c>
      <c r="AN6" s="274">
        <f t="shared" si="3"/>
        <v>0</v>
      </c>
      <c r="AO6" s="276">
        <f t="shared" si="3"/>
        <v>0</v>
      </c>
      <c r="AP6" s="274">
        <f>GBDUS!M7/(Y6+Z6+AA6+AB6+AC6)</f>
        <v>0</v>
      </c>
      <c r="AQ6" s="274">
        <f>$AP6*Z6</f>
        <v>0</v>
      </c>
      <c r="AR6" s="274">
        <f t="shared" ref="AR6:AT21" si="4">$AP6*AA6</f>
        <v>0</v>
      </c>
      <c r="AS6" s="274">
        <f t="shared" si="4"/>
        <v>0</v>
      </c>
      <c r="AT6" s="275">
        <f t="shared" si="4"/>
        <v>0</v>
      </c>
      <c r="AU6" s="272"/>
      <c r="AV6" s="272"/>
      <c r="AW6" s="272"/>
      <c r="AX6" s="272"/>
    </row>
    <row r="7" spans="2:62" x14ac:dyDescent="0.2">
      <c r="B7" s="190">
        <v>1</v>
      </c>
      <c r="C7" s="197" t="s">
        <v>7</v>
      </c>
      <c r="D7" s="191">
        <f>Baseline!AL32</f>
        <v>0.6753691820387282</v>
      </c>
      <c r="E7" s="191">
        <f>Baseline!AM32</f>
        <v>1.6997804593802961</v>
      </c>
      <c r="F7" s="191">
        <f>Baseline!AN32</f>
        <v>3.221227695962912</v>
      </c>
      <c r="G7" s="191">
        <f>Baseline!AO32</f>
        <v>6.1044988557060549</v>
      </c>
      <c r="H7" s="196">
        <f>Baseline!AP32</f>
        <v>15.363904876316242</v>
      </c>
      <c r="I7" s="191">
        <f>IF(D7+'Non-travel METs'!D7&gt;2.5, D7+'Non-travel METs'!D7, 0.1)</f>
        <v>0.1</v>
      </c>
      <c r="J7" s="191">
        <f>IF(E7+'Non-travel METs'!E7&gt;2.5, E7+'Non-travel METs'!E7, 0.1)</f>
        <v>0.1</v>
      </c>
      <c r="K7" s="191">
        <f>IF(F7+'Non-travel METs'!F7&gt;2.5, F7+'Non-travel METs'!F7, 0.1)</f>
        <v>3.221227695962912</v>
      </c>
      <c r="L7" s="191">
        <f>IF(G7+'Non-travel METs'!G7&gt;2.5, G7+'Non-travel METs'!G7, 0.1)</f>
        <v>6.1044988557060549</v>
      </c>
      <c r="M7" s="196">
        <f>IF(H7+'Non-travel METs'!H7&gt;2.5, H7+'Non-travel METs'!H7, 0.1)</f>
        <v>15.363904876316242</v>
      </c>
      <c r="N7" s="239">
        <v>1</v>
      </c>
      <c r="O7" s="234">
        <f t="shared" ref="O7:O13" si="5">$N7^(I7^0.5)</f>
        <v>1</v>
      </c>
      <c r="P7" s="234">
        <f t="shared" si="0"/>
        <v>1</v>
      </c>
      <c r="Q7" s="234">
        <f t="shared" si="0"/>
        <v>1</v>
      </c>
      <c r="R7" s="234">
        <f t="shared" si="0"/>
        <v>1</v>
      </c>
      <c r="S7" s="244">
        <f t="shared" si="0"/>
        <v>1</v>
      </c>
      <c r="T7" s="248"/>
      <c r="U7" s="248"/>
      <c r="V7" s="248"/>
      <c r="W7" s="248"/>
      <c r="X7" s="249"/>
      <c r="Y7" s="235">
        <f t="shared" ref="Y7:Y21" si="6">O7/$O7</f>
        <v>1</v>
      </c>
      <c r="Z7" s="235">
        <f t="shared" si="1"/>
        <v>1</v>
      </c>
      <c r="AA7" s="235">
        <f t="shared" si="1"/>
        <v>1</v>
      </c>
      <c r="AB7" s="235">
        <f t="shared" si="1"/>
        <v>1</v>
      </c>
      <c r="AC7" s="246">
        <f t="shared" si="1"/>
        <v>1</v>
      </c>
      <c r="AD7" s="263"/>
      <c r="AE7" s="263"/>
      <c r="AF7" s="187">
        <f>GBDUS!K8/(Y7+Z7+AA7+AB7+AC7)</f>
        <v>0</v>
      </c>
      <c r="AG7" s="187">
        <f t="shared" ref="AG7:AG21" si="7">$AF7*Z7</f>
        <v>0</v>
      </c>
      <c r="AH7" s="187">
        <f t="shared" si="2"/>
        <v>0</v>
      </c>
      <c r="AI7" s="187">
        <f t="shared" si="2"/>
        <v>0</v>
      </c>
      <c r="AJ7" s="265">
        <f t="shared" si="2"/>
        <v>0</v>
      </c>
      <c r="AK7" s="274">
        <f>GBDUS!L8/(Y7+Z7+AA7+AB7+AC7)</f>
        <v>0</v>
      </c>
      <c r="AL7" s="274">
        <f t="shared" ref="AL7:AL21" si="8">$AK7*Z7</f>
        <v>0</v>
      </c>
      <c r="AM7" s="274">
        <f t="shared" si="3"/>
        <v>0</v>
      </c>
      <c r="AN7" s="274">
        <f t="shared" si="3"/>
        <v>0</v>
      </c>
      <c r="AO7" s="276">
        <f t="shared" si="3"/>
        <v>0</v>
      </c>
      <c r="AP7" s="274">
        <f>GBDUS!M8/(Y7+Z7+AA7+AB7+AC7)</f>
        <v>0</v>
      </c>
      <c r="AQ7" s="274">
        <f t="shared" ref="AQ7:AQ21" si="9">$AP7*Z7</f>
        <v>0</v>
      </c>
      <c r="AR7" s="274">
        <f t="shared" si="4"/>
        <v>0</v>
      </c>
      <c r="AS7" s="274">
        <f t="shared" si="4"/>
        <v>0</v>
      </c>
      <c r="AT7" s="276">
        <f t="shared" si="4"/>
        <v>0</v>
      </c>
      <c r="AU7" s="272"/>
      <c r="AV7" s="272"/>
      <c r="AW7" s="272"/>
      <c r="AX7" s="272"/>
    </row>
    <row r="8" spans="2:62" x14ac:dyDescent="0.2">
      <c r="B8" s="190">
        <v>1</v>
      </c>
      <c r="C8" s="197" t="s">
        <v>8</v>
      </c>
      <c r="D8" s="191">
        <f>Baseline!AL33</f>
        <v>0.52336012682040156</v>
      </c>
      <c r="E8" s="191">
        <f>Baseline!AM33</f>
        <v>1.3172015253978522</v>
      </c>
      <c r="F8" s="191">
        <f>Baseline!AN33</f>
        <v>2.4962082669917658</v>
      </c>
      <c r="G8" s="191">
        <f>Baseline!AO33</f>
        <v>4.7305257335744315</v>
      </c>
      <c r="H8" s="196">
        <f>Baseline!AP33</f>
        <v>11.90586632966081</v>
      </c>
      <c r="I8" s="191">
        <f>IF(D8+'Non-travel METs'!D8&gt;2.5, D8+'Non-travel METs'!D8, 0.1)</f>
        <v>65.400860126820405</v>
      </c>
      <c r="J8" s="191">
        <f>IF(E8+'Non-travel METs'!E8&gt;2.5, E8+'Non-travel METs'!E8, 0.1)</f>
        <v>66.194701525397846</v>
      </c>
      <c r="K8" s="191">
        <f>IF(F8+'Non-travel METs'!F8&gt;2.5, F8+'Non-travel METs'!F8, 0.1)</f>
        <v>67.37370826699177</v>
      </c>
      <c r="L8" s="191">
        <f>IF(G8+'Non-travel METs'!G8&gt;2.5, G8+'Non-travel METs'!G8, 0.1)</f>
        <v>69.608025733574436</v>
      </c>
      <c r="M8" s="196">
        <f>IF(H8+'Non-travel METs'!H8&gt;2.5, H8+'Non-travel METs'!H8, 0.1)</f>
        <v>76.783366329660808</v>
      </c>
      <c r="N8" s="239">
        <v>1</v>
      </c>
      <c r="O8" s="234">
        <f t="shared" si="5"/>
        <v>1</v>
      </c>
      <c r="P8" s="234">
        <f t="shared" si="0"/>
        <v>1</v>
      </c>
      <c r="Q8" s="234">
        <f t="shared" si="0"/>
        <v>1</v>
      </c>
      <c r="R8" s="234">
        <f t="shared" si="0"/>
        <v>1</v>
      </c>
      <c r="S8" s="244">
        <f t="shared" si="0"/>
        <v>1</v>
      </c>
      <c r="T8" s="248"/>
      <c r="U8" s="248"/>
      <c r="V8" s="248"/>
      <c r="W8" s="248"/>
      <c r="X8" s="249"/>
      <c r="Y8" s="235">
        <f t="shared" si="6"/>
        <v>1</v>
      </c>
      <c r="Z8" s="235">
        <f t="shared" si="1"/>
        <v>1</v>
      </c>
      <c r="AA8" s="235">
        <f t="shared" si="1"/>
        <v>1</v>
      </c>
      <c r="AB8" s="235">
        <f t="shared" si="1"/>
        <v>1</v>
      </c>
      <c r="AC8" s="246">
        <f t="shared" si="1"/>
        <v>1</v>
      </c>
      <c r="AD8" s="263"/>
      <c r="AE8" s="263"/>
      <c r="AF8" s="187">
        <f>GBDUS!K9/(Y8+Z8+AA8+AB8+AC8)</f>
        <v>0</v>
      </c>
      <c r="AG8" s="187">
        <f t="shared" si="7"/>
        <v>0</v>
      </c>
      <c r="AH8" s="187">
        <f t="shared" si="2"/>
        <v>0</v>
      </c>
      <c r="AI8" s="187">
        <f t="shared" si="2"/>
        <v>0</v>
      </c>
      <c r="AJ8" s="265">
        <f t="shared" si="2"/>
        <v>0</v>
      </c>
      <c r="AK8" s="274">
        <f>GBDUS!L9/(Y8+Z8+AA8+AB8+AC8)</f>
        <v>0</v>
      </c>
      <c r="AL8" s="274">
        <f t="shared" si="8"/>
        <v>0</v>
      </c>
      <c r="AM8" s="274">
        <f t="shared" si="3"/>
        <v>0</v>
      </c>
      <c r="AN8" s="274">
        <f t="shared" si="3"/>
        <v>0</v>
      </c>
      <c r="AO8" s="276">
        <f t="shared" si="3"/>
        <v>0</v>
      </c>
      <c r="AP8" s="274">
        <f>GBDUS!M9/(Y8+Z8+AA8+AB8+AC8)</f>
        <v>0</v>
      </c>
      <c r="AQ8" s="274">
        <f t="shared" si="9"/>
        <v>0</v>
      </c>
      <c r="AR8" s="274">
        <f t="shared" si="4"/>
        <v>0</v>
      </c>
      <c r="AS8" s="274">
        <f t="shared" si="4"/>
        <v>0</v>
      </c>
      <c r="AT8" s="276">
        <f t="shared" si="4"/>
        <v>0</v>
      </c>
      <c r="AU8" s="272"/>
      <c r="AV8" s="272"/>
      <c r="AW8" s="272"/>
      <c r="AX8" s="272"/>
    </row>
    <row r="9" spans="2:62" x14ac:dyDescent="0.2">
      <c r="B9" s="190">
        <v>1</v>
      </c>
      <c r="C9" s="197" t="s">
        <v>9</v>
      </c>
      <c r="D9" s="191">
        <f>Baseline!AL34</f>
        <v>0.45100860513125557</v>
      </c>
      <c r="E9" s="191">
        <f>Baseline!AM34</f>
        <v>1.1351060048376795</v>
      </c>
      <c r="F9" s="191">
        <f>Baseline!AN34</f>
        <v>2.151121858389879</v>
      </c>
      <c r="G9" s="191">
        <f>Baseline!AO34</f>
        <v>4.0765578103909643</v>
      </c>
      <c r="H9" s="196">
        <f>Baseline!AP34</f>
        <v>10.259948916708694</v>
      </c>
      <c r="I9" s="191">
        <f>IF(D9+'Non-travel METs'!D9&gt;2.5, D9+'Non-travel METs'!D9, 0.1)</f>
        <v>68.144758605131244</v>
      </c>
      <c r="J9" s="191">
        <f>IF(E9+'Non-travel METs'!E9&gt;2.5, E9+'Non-travel METs'!E9, 0.1)</f>
        <v>68.828856004837675</v>
      </c>
      <c r="K9" s="191">
        <f>IF(F9+'Non-travel METs'!F9&gt;2.5, F9+'Non-travel METs'!F9, 0.1)</f>
        <v>69.84487185838988</v>
      </c>
      <c r="L9" s="191">
        <f>IF(G9+'Non-travel METs'!G9&gt;2.5, G9+'Non-travel METs'!G9, 0.1)</f>
        <v>71.77030781039096</v>
      </c>
      <c r="M9" s="196">
        <f>IF(H9+'Non-travel METs'!H9&gt;2.5, H9+'Non-travel METs'!H9, 0.1)</f>
        <v>77.953698916708689</v>
      </c>
      <c r="N9" s="239">
        <v>1</v>
      </c>
      <c r="O9" s="234">
        <f t="shared" si="5"/>
        <v>1</v>
      </c>
      <c r="P9" s="234">
        <f t="shared" si="0"/>
        <v>1</v>
      </c>
      <c r="Q9" s="234">
        <f t="shared" si="0"/>
        <v>1</v>
      </c>
      <c r="R9" s="234">
        <f t="shared" si="0"/>
        <v>1</v>
      </c>
      <c r="S9" s="244">
        <f t="shared" si="0"/>
        <v>1</v>
      </c>
      <c r="T9" s="248"/>
      <c r="U9" s="248"/>
      <c r="V9" s="248"/>
      <c r="W9" s="248"/>
      <c r="X9" s="249"/>
      <c r="Y9" s="235">
        <f t="shared" si="6"/>
        <v>1</v>
      </c>
      <c r="Z9" s="235">
        <f t="shared" si="1"/>
        <v>1</v>
      </c>
      <c r="AA9" s="235">
        <f t="shared" si="1"/>
        <v>1</v>
      </c>
      <c r="AB9" s="235">
        <f t="shared" si="1"/>
        <v>1</v>
      </c>
      <c r="AC9" s="246">
        <f t="shared" si="1"/>
        <v>1</v>
      </c>
      <c r="AD9" s="263"/>
      <c r="AE9" s="263"/>
      <c r="AF9" s="187">
        <f>GBDUS!K10/(Y9+Z9+AA9+AB9+AC9)</f>
        <v>0</v>
      </c>
      <c r="AG9" s="187">
        <f t="shared" si="7"/>
        <v>0</v>
      </c>
      <c r="AH9" s="187">
        <f t="shared" si="2"/>
        <v>0</v>
      </c>
      <c r="AI9" s="187">
        <f t="shared" si="2"/>
        <v>0</v>
      </c>
      <c r="AJ9" s="265">
        <f t="shared" si="2"/>
        <v>0</v>
      </c>
      <c r="AK9" s="274">
        <f>GBDUS!L10/(Y9+Z9+AA9+AB9+AC9)</f>
        <v>0</v>
      </c>
      <c r="AL9" s="274">
        <f t="shared" si="8"/>
        <v>0</v>
      </c>
      <c r="AM9" s="274">
        <f t="shared" si="3"/>
        <v>0</v>
      </c>
      <c r="AN9" s="274">
        <f t="shared" si="3"/>
        <v>0</v>
      </c>
      <c r="AO9" s="276">
        <f t="shared" si="3"/>
        <v>0</v>
      </c>
      <c r="AP9" s="274">
        <f>GBDUS!M10/(Y9+Z9+AA9+AB9+AC9)</f>
        <v>0</v>
      </c>
      <c r="AQ9" s="274">
        <f t="shared" si="9"/>
        <v>0</v>
      </c>
      <c r="AR9" s="274">
        <f t="shared" si="4"/>
        <v>0</v>
      </c>
      <c r="AS9" s="274">
        <f t="shared" si="4"/>
        <v>0</v>
      </c>
      <c r="AT9" s="276">
        <f t="shared" si="4"/>
        <v>0</v>
      </c>
      <c r="AU9" s="272"/>
      <c r="AV9" s="272"/>
      <c r="AW9" s="272"/>
      <c r="AX9" s="272"/>
    </row>
    <row r="10" spans="2:62" x14ac:dyDescent="0.2">
      <c r="B10" s="190">
        <v>1</v>
      </c>
      <c r="C10" s="197" t="s">
        <v>10</v>
      </c>
      <c r="D10" s="191">
        <f>Baseline!AL35</f>
        <v>0.38443114877047524</v>
      </c>
      <c r="E10" s="191">
        <f>Baseline!AM35</f>
        <v>0.96754274852254363</v>
      </c>
      <c r="F10" s="191">
        <f>Baseline!AN35</f>
        <v>1.8335753193122197</v>
      </c>
      <c r="G10" s="191">
        <f>Baseline!AO35</f>
        <v>3.4747802685976854</v>
      </c>
      <c r="H10" s="196">
        <f>Baseline!AP35</f>
        <v>8.7453851290239513</v>
      </c>
      <c r="I10" s="191">
        <f>IF(D10+'Non-travel METs'!D10&gt;2.5, D10+'Non-travel METs'!D10, 0.1)</f>
        <v>58.159431148770473</v>
      </c>
      <c r="J10" s="191">
        <f>IF(E10+'Non-travel METs'!E10&gt;2.5, E10+'Non-travel METs'!E10, 0.1)</f>
        <v>58.742542748522546</v>
      </c>
      <c r="K10" s="191">
        <f>IF(F10+'Non-travel METs'!F10&gt;2.5, F10+'Non-travel METs'!F10, 0.1)</f>
        <v>59.608575319312216</v>
      </c>
      <c r="L10" s="191">
        <f>IF(G10+'Non-travel METs'!G10&gt;2.5, G10+'Non-travel METs'!G10, 0.1)</f>
        <v>61.249780268597682</v>
      </c>
      <c r="M10" s="196">
        <f>IF(H10+'Non-travel METs'!H10&gt;2.5, H10+'Non-travel METs'!H10, 0.1)</f>
        <v>66.52038512902395</v>
      </c>
      <c r="N10" s="239">
        <v>1</v>
      </c>
      <c r="O10" s="234">
        <f t="shared" si="5"/>
        <v>1</v>
      </c>
      <c r="P10" s="234">
        <f t="shared" si="0"/>
        <v>1</v>
      </c>
      <c r="Q10" s="234">
        <f t="shared" si="0"/>
        <v>1</v>
      </c>
      <c r="R10" s="234">
        <f t="shared" si="0"/>
        <v>1</v>
      </c>
      <c r="S10" s="244">
        <f t="shared" si="0"/>
        <v>1</v>
      </c>
      <c r="T10" s="248"/>
      <c r="U10" s="248"/>
      <c r="V10" s="248"/>
      <c r="W10" s="248"/>
      <c r="X10" s="249"/>
      <c r="Y10" s="235">
        <f t="shared" si="6"/>
        <v>1</v>
      </c>
      <c r="Z10" s="235">
        <f t="shared" si="1"/>
        <v>1</v>
      </c>
      <c r="AA10" s="235">
        <f t="shared" si="1"/>
        <v>1</v>
      </c>
      <c r="AB10" s="235">
        <f t="shared" si="1"/>
        <v>1</v>
      </c>
      <c r="AC10" s="246">
        <f t="shared" si="1"/>
        <v>1</v>
      </c>
      <c r="AD10" s="263"/>
      <c r="AE10" s="263"/>
      <c r="AF10" s="187">
        <f>GBDUS!K11/(Y10+Z10+AA10+AB10+AC10)</f>
        <v>0</v>
      </c>
      <c r="AG10" s="187">
        <f>$AF10*Z10</f>
        <v>0</v>
      </c>
      <c r="AH10" s="187">
        <f t="shared" si="2"/>
        <v>0</v>
      </c>
      <c r="AI10" s="187">
        <f t="shared" si="2"/>
        <v>0</v>
      </c>
      <c r="AJ10" s="265">
        <f t="shared" si="2"/>
        <v>0</v>
      </c>
      <c r="AK10" s="274">
        <f>GBDUS!L11/(Y10+Z10+AA10+AB10+AC10)</f>
        <v>0</v>
      </c>
      <c r="AL10" s="274">
        <f t="shared" si="8"/>
        <v>0</v>
      </c>
      <c r="AM10" s="274">
        <f t="shared" si="3"/>
        <v>0</v>
      </c>
      <c r="AN10" s="274">
        <f t="shared" si="3"/>
        <v>0</v>
      </c>
      <c r="AO10" s="276">
        <f t="shared" si="3"/>
        <v>0</v>
      </c>
      <c r="AP10" s="274">
        <f>GBDUS!M11/(Y10+Z10+AA10+AB10+AC10)</f>
        <v>0</v>
      </c>
      <c r="AQ10" s="274">
        <f t="shared" si="9"/>
        <v>0</v>
      </c>
      <c r="AR10" s="274">
        <f t="shared" si="4"/>
        <v>0</v>
      </c>
      <c r="AS10" s="274">
        <f t="shared" si="4"/>
        <v>0</v>
      </c>
      <c r="AT10" s="276">
        <f t="shared" si="4"/>
        <v>0</v>
      </c>
      <c r="AU10" s="272"/>
      <c r="AV10" s="272"/>
      <c r="AW10" s="272"/>
      <c r="AX10" s="272"/>
    </row>
    <row r="11" spans="2:62" x14ac:dyDescent="0.2">
      <c r="B11" s="190">
        <v>1</v>
      </c>
      <c r="C11" s="197" t="s">
        <v>11</v>
      </c>
      <c r="D11" s="191">
        <f>Baseline!AL36</f>
        <v>0.31197165587745512</v>
      </c>
      <c r="E11" s="191">
        <f>Baseline!AM36</f>
        <v>0.78517548422960748</v>
      </c>
      <c r="F11" s="191">
        <f>Baseline!AN36</f>
        <v>1.4879739333593738</v>
      </c>
      <c r="G11" s="191">
        <f>Baseline!AO36</f>
        <v>2.8198364197900889</v>
      </c>
      <c r="H11" s="196">
        <f>Baseline!AP36</f>
        <v>7.0970114901293062</v>
      </c>
      <c r="I11" s="191">
        <f>IF(D11+'Non-travel METs'!D11&gt;2.5, D11+'Non-travel METs'!D11, 0.1)</f>
        <v>23.395304989210754</v>
      </c>
      <c r="J11" s="191">
        <f>IF(E11+'Non-travel METs'!E11&gt;2.5, E11+'Non-travel METs'!E11, 0.1)</f>
        <v>23.868508817562908</v>
      </c>
      <c r="K11" s="191">
        <f>IF(F11+'Non-travel METs'!F11&gt;2.5, F11+'Non-travel METs'!F11, 0.1)</f>
        <v>24.571307266692674</v>
      </c>
      <c r="L11" s="191">
        <f>IF(G11+'Non-travel METs'!G11&gt;2.5, G11+'Non-travel METs'!G11, 0.1)</f>
        <v>25.90316975312339</v>
      </c>
      <c r="M11" s="196">
        <f>IF(H11+'Non-travel METs'!H11&gt;2.5, H11+'Non-travel METs'!H11, 0.1)</f>
        <v>30.180344823462605</v>
      </c>
      <c r="N11" s="239">
        <v>1</v>
      </c>
      <c r="O11" s="234">
        <f t="shared" si="5"/>
        <v>1</v>
      </c>
      <c r="P11" s="234">
        <f t="shared" si="0"/>
        <v>1</v>
      </c>
      <c r="Q11" s="234">
        <f t="shared" si="0"/>
        <v>1</v>
      </c>
      <c r="R11" s="234">
        <f t="shared" si="0"/>
        <v>1</v>
      </c>
      <c r="S11" s="244">
        <f t="shared" si="0"/>
        <v>1</v>
      </c>
      <c r="T11" s="248"/>
      <c r="U11" s="248"/>
      <c r="V11" s="248"/>
      <c r="W11" s="248"/>
      <c r="X11" s="249"/>
      <c r="Y11" s="235">
        <f t="shared" si="6"/>
        <v>1</v>
      </c>
      <c r="Z11" s="235">
        <f t="shared" si="1"/>
        <v>1</v>
      </c>
      <c r="AA11" s="235">
        <f t="shared" si="1"/>
        <v>1</v>
      </c>
      <c r="AB11" s="235">
        <f t="shared" si="1"/>
        <v>1</v>
      </c>
      <c r="AC11" s="246">
        <f t="shared" si="1"/>
        <v>1</v>
      </c>
      <c r="AD11" s="263"/>
      <c r="AE11" s="263"/>
      <c r="AF11" s="187">
        <f>GBDUS!K12/(Y11+Z11+AA11+AB11+AC11)</f>
        <v>0</v>
      </c>
      <c r="AG11" s="187">
        <f t="shared" si="7"/>
        <v>0</v>
      </c>
      <c r="AH11" s="187">
        <f t="shared" si="2"/>
        <v>0</v>
      </c>
      <c r="AI11" s="187">
        <f t="shared" si="2"/>
        <v>0</v>
      </c>
      <c r="AJ11" s="265">
        <f t="shared" si="2"/>
        <v>0</v>
      </c>
      <c r="AK11" s="274">
        <f>GBDUS!L12/(Y11+Z11+AA11+AB11+AC11)</f>
        <v>0</v>
      </c>
      <c r="AL11" s="274">
        <f t="shared" si="8"/>
        <v>0</v>
      </c>
      <c r="AM11" s="274">
        <f t="shared" si="3"/>
        <v>0</v>
      </c>
      <c r="AN11" s="274">
        <f t="shared" si="3"/>
        <v>0</v>
      </c>
      <c r="AO11" s="276">
        <f t="shared" si="3"/>
        <v>0</v>
      </c>
      <c r="AP11" s="274">
        <f>GBDUS!M12/(Y11+Z11+AA11+AB11+AC11)</f>
        <v>0</v>
      </c>
      <c r="AQ11" s="274">
        <f t="shared" si="9"/>
        <v>0</v>
      </c>
      <c r="AR11" s="274">
        <f t="shared" si="4"/>
        <v>0</v>
      </c>
      <c r="AS11" s="274">
        <f t="shared" si="4"/>
        <v>0</v>
      </c>
      <c r="AT11" s="276">
        <f t="shared" si="4"/>
        <v>0</v>
      </c>
      <c r="AU11" s="272"/>
      <c r="AV11" s="272"/>
      <c r="AW11" s="272"/>
      <c r="AX11" s="272"/>
    </row>
    <row r="12" spans="2:62" x14ac:dyDescent="0.2">
      <c r="B12" s="190">
        <v>1</v>
      </c>
      <c r="C12" s="197" t="s">
        <v>12</v>
      </c>
      <c r="D12" s="191">
        <f>Baseline!AL37</f>
        <v>0.18042378449691091</v>
      </c>
      <c r="E12" s="191">
        <f>Baseline!AM37</f>
        <v>0.45409360013958189</v>
      </c>
      <c r="F12" s="191">
        <f>Baseline!AN37</f>
        <v>0.86054576828257767</v>
      </c>
      <c r="G12" s="191">
        <f>Baseline!AO37</f>
        <v>1.6308069945963135</v>
      </c>
      <c r="H12" s="196">
        <f>Baseline!AP37</f>
        <v>4.1044423348836867</v>
      </c>
      <c r="I12" s="191">
        <f>IF(D12+'Non-travel METs'!D12&gt;2.5, D12+'Non-travel METs'!D12, 0.1)</f>
        <v>0.1</v>
      </c>
      <c r="J12" s="191">
        <f>IF(E12+'Non-travel METs'!E12&gt;2.5, E12+'Non-travel METs'!E12, 0.1)</f>
        <v>0.1</v>
      </c>
      <c r="K12" s="191">
        <f>IF(F12+'Non-travel METs'!F12&gt;2.5, F12+'Non-travel METs'!F12, 0.1)</f>
        <v>2.7355457682825777</v>
      </c>
      <c r="L12" s="191">
        <f>IF(G12+'Non-travel METs'!G12&gt;2.5, G12+'Non-travel METs'!G12, 0.1)</f>
        <v>3.5058069945963135</v>
      </c>
      <c r="M12" s="196">
        <f>IF(H12+'Non-travel METs'!H12&gt;2.5, H12+'Non-travel METs'!H12, 0.1)</f>
        <v>5.9794423348836867</v>
      </c>
      <c r="N12" s="239">
        <v>1</v>
      </c>
      <c r="O12" s="234">
        <f t="shared" si="5"/>
        <v>1</v>
      </c>
      <c r="P12" s="234">
        <f t="shared" si="0"/>
        <v>1</v>
      </c>
      <c r="Q12" s="234">
        <f t="shared" si="0"/>
        <v>1</v>
      </c>
      <c r="R12" s="234">
        <f t="shared" si="0"/>
        <v>1</v>
      </c>
      <c r="S12" s="244">
        <f t="shared" si="0"/>
        <v>1</v>
      </c>
      <c r="T12" s="248"/>
      <c r="U12" s="248"/>
      <c r="V12" s="248"/>
      <c r="W12" s="248"/>
      <c r="X12" s="249"/>
      <c r="Y12" s="235">
        <f t="shared" si="6"/>
        <v>1</v>
      </c>
      <c r="Z12" s="235">
        <f t="shared" si="1"/>
        <v>1</v>
      </c>
      <c r="AA12" s="235">
        <f t="shared" si="1"/>
        <v>1</v>
      </c>
      <c r="AB12" s="235">
        <f t="shared" si="1"/>
        <v>1</v>
      </c>
      <c r="AC12" s="246">
        <f t="shared" si="1"/>
        <v>1</v>
      </c>
      <c r="AD12" s="263"/>
      <c r="AE12" s="263"/>
      <c r="AF12" s="187">
        <f>GBDUS!K13/(Y12+Z12+AA12+AB12+AC12)</f>
        <v>0</v>
      </c>
      <c r="AG12" s="187">
        <f t="shared" si="7"/>
        <v>0</v>
      </c>
      <c r="AH12" s="187">
        <f t="shared" si="2"/>
        <v>0</v>
      </c>
      <c r="AI12" s="187">
        <f t="shared" si="2"/>
        <v>0</v>
      </c>
      <c r="AJ12" s="265">
        <f t="shared" si="2"/>
        <v>0</v>
      </c>
      <c r="AK12" s="274">
        <f>GBDUS!L13/(Y12+Z12+AA12+AB12+AC12)</f>
        <v>0</v>
      </c>
      <c r="AL12" s="274">
        <f t="shared" si="8"/>
        <v>0</v>
      </c>
      <c r="AM12" s="274">
        <f t="shared" si="3"/>
        <v>0</v>
      </c>
      <c r="AN12" s="274">
        <f t="shared" si="3"/>
        <v>0</v>
      </c>
      <c r="AO12" s="276">
        <f t="shared" si="3"/>
        <v>0</v>
      </c>
      <c r="AP12" s="274">
        <f>GBDUS!M13/(Y12+Z12+AA12+AB12+AC12)</f>
        <v>0</v>
      </c>
      <c r="AQ12" s="274">
        <f t="shared" si="9"/>
        <v>0</v>
      </c>
      <c r="AR12" s="274">
        <f t="shared" si="4"/>
        <v>0</v>
      </c>
      <c r="AS12" s="274">
        <f t="shared" si="4"/>
        <v>0</v>
      </c>
      <c r="AT12" s="276">
        <f t="shared" si="4"/>
        <v>0</v>
      </c>
      <c r="AU12" s="272"/>
      <c r="AV12" s="272"/>
      <c r="AW12" s="272"/>
      <c r="AX12" s="272"/>
    </row>
    <row r="13" spans="2:62" x14ac:dyDescent="0.2">
      <c r="B13" s="199">
        <v>1</v>
      </c>
      <c r="C13" s="200" t="s">
        <v>13</v>
      </c>
      <c r="D13" s="201">
        <f>Baseline!AL38</f>
        <v>0.16596673213865387</v>
      </c>
      <c r="E13" s="201">
        <f>Baseline!AM38</f>
        <v>0.41770784883150103</v>
      </c>
      <c r="F13" s="201">
        <f>Baseline!AN38</f>
        <v>0.79159169294584864</v>
      </c>
      <c r="G13" s="201">
        <f>Baseline!AO38</f>
        <v>1.5001331914010683</v>
      </c>
      <c r="H13" s="202">
        <f>Baseline!AP38</f>
        <v>3.7755603202295913</v>
      </c>
      <c r="I13" s="203">
        <f>IF(D13+'Non-travel METs'!D13&gt;2.5, D13+'Non-travel METs'!D13, 0.1)</f>
        <v>0.1</v>
      </c>
      <c r="J13" s="201">
        <f>IF(E13+'Non-travel METs'!E13&gt;2.5, E13+'Non-travel METs'!E13, 0.1)</f>
        <v>0.1</v>
      </c>
      <c r="K13" s="201">
        <f>IF(F13+'Non-travel METs'!F13&gt;2.5, F13+'Non-travel METs'!F13, 0.1)</f>
        <v>0.1</v>
      </c>
      <c r="L13" s="201">
        <f>IF(G13+'Non-travel METs'!G13&gt;2.5, G13+'Non-travel METs'!G13, 0.1)</f>
        <v>0.1</v>
      </c>
      <c r="M13" s="202">
        <f>IF(H13+'Non-travel METs'!H13&gt;2.5, H13+'Non-travel METs'!H13, 0.1)</f>
        <v>4.1088936535629239</v>
      </c>
      <c r="N13" s="240">
        <v>1</v>
      </c>
      <c r="O13" s="238">
        <f t="shared" si="5"/>
        <v>1</v>
      </c>
      <c r="P13" s="238">
        <f t="shared" si="0"/>
        <v>1</v>
      </c>
      <c r="Q13" s="238">
        <f t="shared" si="0"/>
        <v>1</v>
      </c>
      <c r="R13" s="238">
        <f t="shared" si="0"/>
        <v>1</v>
      </c>
      <c r="S13" s="245">
        <f t="shared" si="0"/>
        <v>1</v>
      </c>
      <c r="T13" s="248"/>
      <c r="U13" s="248"/>
      <c r="V13" s="248"/>
      <c r="W13" s="248"/>
      <c r="X13" s="249"/>
      <c r="Y13" s="260">
        <f t="shared" si="6"/>
        <v>1</v>
      </c>
      <c r="Z13" s="237">
        <f t="shared" si="1"/>
        <v>1</v>
      </c>
      <c r="AA13" s="237">
        <f t="shared" si="1"/>
        <v>1</v>
      </c>
      <c r="AB13" s="237">
        <f t="shared" si="1"/>
        <v>1</v>
      </c>
      <c r="AC13" s="247">
        <f t="shared" si="1"/>
        <v>1</v>
      </c>
      <c r="AD13" s="263"/>
      <c r="AE13" s="263"/>
      <c r="AF13" s="266">
        <f>GBDUS!K14/(Y13+Z13+AA13+AB13+AC13)</f>
        <v>0</v>
      </c>
      <c r="AG13" s="267">
        <f t="shared" si="7"/>
        <v>0</v>
      </c>
      <c r="AH13" s="267">
        <f t="shared" si="2"/>
        <v>0</v>
      </c>
      <c r="AI13" s="267">
        <f t="shared" si="2"/>
        <v>0</v>
      </c>
      <c r="AJ13" s="268">
        <f t="shared" si="2"/>
        <v>0</v>
      </c>
      <c r="AK13" s="277">
        <f>GBDUS!L14/(Y13+Z13+AA13+AB13+AC13)</f>
        <v>0</v>
      </c>
      <c r="AL13" s="278">
        <f t="shared" si="8"/>
        <v>0</v>
      </c>
      <c r="AM13" s="278">
        <f t="shared" si="3"/>
        <v>0</v>
      </c>
      <c r="AN13" s="278">
        <f t="shared" si="3"/>
        <v>0</v>
      </c>
      <c r="AO13" s="279">
        <f t="shared" si="3"/>
        <v>0</v>
      </c>
      <c r="AP13" s="278">
        <f>GBDUS!M14/(Y13+Z13+AA13+AB13+AC13)</f>
        <v>0</v>
      </c>
      <c r="AQ13" s="278">
        <f t="shared" si="9"/>
        <v>0</v>
      </c>
      <c r="AR13" s="278">
        <f t="shared" si="4"/>
        <v>0</v>
      </c>
      <c r="AS13" s="278">
        <f t="shared" si="4"/>
        <v>0</v>
      </c>
      <c r="AT13" s="279">
        <f t="shared" si="4"/>
        <v>0</v>
      </c>
      <c r="AU13" s="272"/>
      <c r="AV13" s="272"/>
      <c r="AW13" s="272"/>
      <c r="AX13" s="272"/>
    </row>
    <row r="14" spans="2:62" x14ac:dyDescent="0.2">
      <c r="B14" s="190">
        <v>2</v>
      </c>
      <c r="C14" s="197" t="s">
        <v>6</v>
      </c>
      <c r="D14" s="191">
        <f>Baseline!AL39</f>
        <v>0.58571636315218234</v>
      </c>
      <c r="E14" s="191">
        <f>Baseline!AM39</f>
        <v>1.4741407445036221</v>
      </c>
      <c r="F14" s="191">
        <f>Baseline!AN39</f>
        <v>2.7936213572390822</v>
      </c>
      <c r="G14" s="191">
        <f>Baseline!AO39</f>
        <v>5.2941486874445172</v>
      </c>
      <c r="H14" s="196">
        <f>Baseline!AP39</f>
        <v>13.324402011959144</v>
      </c>
      <c r="I14" s="191">
        <f>IF(D14+'Non-travel METs'!D14&gt;2.5, D14+'Non-travel METs'!D14, 0.1)</f>
        <v>0.1</v>
      </c>
      <c r="J14" s="191">
        <f>IF(E14+'Non-travel METs'!E14&gt;2.5, E14+'Non-travel METs'!E14, 0.1)</f>
        <v>0.1</v>
      </c>
      <c r="K14" s="191">
        <f>IF(F14+'Non-travel METs'!F14&gt;2.5, F14+'Non-travel METs'!F14, 0.1)</f>
        <v>2.7936213572390822</v>
      </c>
      <c r="L14" s="191">
        <f>IF(G14+'Non-travel METs'!G14&gt;2.5, G14+'Non-travel METs'!G14, 0.1)</f>
        <v>5.2941486874445172</v>
      </c>
      <c r="M14" s="196">
        <f>IF(H14+'Non-travel METs'!H14&gt;2.5, H14+'Non-travel METs'!H14, 0.1)</f>
        <v>13.324402011959144</v>
      </c>
      <c r="N14" s="241">
        <f>'Phy activity RRs'!$F$5</f>
        <v>0.97319906938028322</v>
      </c>
      <c r="O14" s="235">
        <f>$N14^(I14^0.5)</f>
        <v>0.99144595491037002</v>
      </c>
      <c r="P14" s="235">
        <f t="shared" si="0"/>
        <v>0.99144595491037002</v>
      </c>
      <c r="Q14" s="235">
        <f t="shared" si="0"/>
        <v>0.95560880585393126</v>
      </c>
      <c r="R14" s="235">
        <f t="shared" si="0"/>
        <v>0.93940579892114251</v>
      </c>
      <c r="S14" s="246">
        <f t="shared" si="0"/>
        <v>0.90559304027688281</v>
      </c>
      <c r="T14" s="248"/>
      <c r="U14" s="248"/>
      <c r="V14" s="248"/>
      <c r="W14" s="248"/>
      <c r="X14" s="249"/>
      <c r="Y14" s="235">
        <f t="shared" si="6"/>
        <v>1</v>
      </c>
      <c r="Z14" s="235">
        <f t="shared" si="1"/>
        <v>1</v>
      </c>
      <c r="AA14" s="235">
        <f t="shared" si="1"/>
        <v>0.96385365346547958</v>
      </c>
      <c r="AB14" s="235">
        <f t="shared" si="1"/>
        <v>0.94751084945025355</v>
      </c>
      <c r="AC14" s="246">
        <f t="shared" si="1"/>
        <v>0.91340635946086579</v>
      </c>
      <c r="AD14" s="263"/>
      <c r="AE14" s="263"/>
      <c r="AF14" s="187">
        <f>GBDUS!K15/(Y14+Z14+AA14+AB14+AC14)</f>
        <v>0</v>
      </c>
      <c r="AG14" s="187">
        <f t="shared" si="7"/>
        <v>0</v>
      </c>
      <c r="AH14" s="187">
        <f t="shared" si="2"/>
        <v>0</v>
      </c>
      <c r="AI14" s="187">
        <f t="shared" si="2"/>
        <v>0</v>
      </c>
      <c r="AJ14" s="265">
        <f t="shared" si="2"/>
        <v>0</v>
      </c>
      <c r="AK14" s="274">
        <f>GBDUS!L15/(Y14+Z14+AA14+AB14+AC14)</f>
        <v>0</v>
      </c>
      <c r="AL14" s="274">
        <f t="shared" si="8"/>
        <v>0</v>
      </c>
      <c r="AM14" s="274">
        <f t="shared" si="3"/>
        <v>0</v>
      </c>
      <c r="AN14" s="274">
        <f t="shared" si="3"/>
        <v>0</v>
      </c>
      <c r="AO14" s="276">
        <f t="shared" si="3"/>
        <v>0</v>
      </c>
      <c r="AP14" s="274">
        <f>GBDUS!M15/(Y14+Z14+AA14+AB14+AC14)</f>
        <v>0</v>
      </c>
      <c r="AQ14" s="274">
        <f t="shared" si="9"/>
        <v>0</v>
      </c>
      <c r="AR14" s="274">
        <f t="shared" si="4"/>
        <v>0</v>
      </c>
      <c r="AS14" s="274">
        <f t="shared" si="4"/>
        <v>0</v>
      </c>
      <c r="AT14" s="276">
        <f t="shared" si="4"/>
        <v>0</v>
      </c>
      <c r="AU14" s="272"/>
      <c r="AV14" s="272"/>
      <c r="AW14" s="272"/>
      <c r="AX14" s="272"/>
    </row>
    <row r="15" spans="2:62" x14ac:dyDescent="0.2">
      <c r="B15" s="190">
        <v>2</v>
      </c>
      <c r="C15" s="197" t="s">
        <v>7</v>
      </c>
      <c r="D15" s="191">
        <f>Baseline!AL40</f>
        <v>0.43674060992104319</v>
      </c>
      <c r="E15" s="191">
        <f>Baseline!AM40</f>
        <v>1.099196075723591</v>
      </c>
      <c r="F15" s="191">
        <f>Baseline!AN40</f>
        <v>2.0830695063440512</v>
      </c>
      <c r="G15" s="191">
        <f>Baseline!AO40</f>
        <v>3.9475928490774548</v>
      </c>
      <c r="H15" s="196">
        <f>Baseline!AP40</f>
        <v>9.9353677438993167</v>
      </c>
      <c r="I15" s="191">
        <f>IF(D15+'Non-travel METs'!D15&gt;2.5, D15+'Non-travel METs'!D15, 0.1)</f>
        <v>0.1</v>
      </c>
      <c r="J15" s="191">
        <f>IF(E15+'Non-travel METs'!E15&gt;2.5, E15+'Non-travel METs'!E15, 0.1)</f>
        <v>0.1</v>
      </c>
      <c r="K15" s="191">
        <f>IF(F15+'Non-travel METs'!F15&gt;2.5, F15+'Non-travel METs'!F15, 0.1)</f>
        <v>0.1</v>
      </c>
      <c r="L15" s="191">
        <f>IF(G15+'Non-travel METs'!G15&gt;2.5, G15+'Non-travel METs'!G15, 0.1)</f>
        <v>3.9475928490774548</v>
      </c>
      <c r="M15" s="196">
        <f>IF(H15+'Non-travel METs'!H15&gt;2.5, H15+'Non-travel METs'!H15, 0.1)</f>
        <v>9.9353677438993167</v>
      </c>
      <c r="N15" s="241">
        <f>'Phy activity RRs'!$F$5</f>
        <v>0.97319906938028322</v>
      </c>
      <c r="O15" s="235">
        <f t="shared" ref="O15:O21" si="10">$N15^(I15^0.5)</f>
        <v>0.99144595491037002</v>
      </c>
      <c r="P15" s="235">
        <f t="shared" si="0"/>
        <v>0.99144595491037002</v>
      </c>
      <c r="Q15" s="235">
        <f t="shared" si="0"/>
        <v>0.99144595491037002</v>
      </c>
      <c r="R15" s="235">
        <f t="shared" si="0"/>
        <v>0.94745470893824346</v>
      </c>
      <c r="S15" s="246">
        <f t="shared" si="0"/>
        <v>0.9179334950775947</v>
      </c>
      <c r="T15" s="248"/>
      <c r="U15" s="248"/>
      <c r="V15" s="248"/>
      <c r="W15" s="248"/>
      <c r="X15" s="249"/>
      <c r="Y15" s="235">
        <f t="shared" si="6"/>
        <v>1</v>
      </c>
      <c r="Z15" s="235">
        <f t="shared" si="1"/>
        <v>1</v>
      </c>
      <c r="AA15" s="235">
        <f t="shared" si="1"/>
        <v>1</v>
      </c>
      <c r="AB15" s="235">
        <f t="shared" si="1"/>
        <v>0.95562920424028208</v>
      </c>
      <c r="AC15" s="246">
        <f t="shared" si="1"/>
        <v>0.92585328583097493</v>
      </c>
      <c r="AD15" s="263"/>
      <c r="AE15" s="263"/>
      <c r="AF15" s="187">
        <f>GBDUS!K16/(Y15+Z15+AA15+AB15+AC15)</f>
        <v>0</v>
      </c>
      <c r="AG15" s="187">
        <f t="shared" si="7"/>
        <v>0</v>
      </c>
      <c r="AH15" s="187">
        <f t="shared" si="2"/>
        <v>0</v>
      </c>
      <c r="AI15" s="187">
        <f t="shared" si="2"/>
        <v>0</v>
      </c>
      <c r="AJ15" s="265">
        <f t="shared" si="2"/>
        <v>0</v>
      </c>
      <c r="AK15" s="274">
        <f>GBDUS!L16/(Y15+Z15+AA15+AB15+AC15)</f>
        <v>0</v>
      </c>
      <c r="AL15" s="274">
        <f t="shared" si="8"/>
        <v>0</v>
      </c>
      <c r="AM15" s="274">
        <f t="shared" si="3"/>
        <v>0</v>
      </c>
      <c r="AN15" s="274">
        <f t="shared" si="3"/>
        <v>0</v>
      </c>
      <c r="AO15" s="276">
        <f t="shared" si="3"/>
        <v>0</v>
      </c>
      <c r="AP15" s="274">
        <f>GBDUS!M16/(Y15+Z15+AA15+AB15+AC15)</f>
        <v>0</v>
      </c>
      <c r="AQ15" s="274">
        <f t="shared" si="9"/>
        <v>0</v>
      </c>
      <c r="AR15" s="274">
        <f t="shared" si="4"/>
        <v>0</v>
      </c>
      <c r="AS15" s="274">
        <f t="shared" si="4"/>
        <v>0</v>
      </c>
      <c r="AT15" s="276">
        <f t="shared" si="4"/>
        <v>0</v>
      </c>
      <c r="AU15" s="272"/>
      <c r="AV15" s="272"/>
      <c r="AW15" s="272"/>
      <c r="AX15" s="272"/>
    </row>
    <row r="16" spans="2:62" x14ac:dyDescent="0.2">
      <c r="B16" s="190">
        <v>2</v>
      </c>
      <c r="C16" s="197" t="s">
        <v>8</v>
      </c>
      <c r="D16" s="191">
        <f>Baseline!AL41</f>
        <v>0.42061144034593556</v>
      </c>
      <c r="E16" s="191">
        <f>Baseline!AM41</f>
        <v>1.0586019118219474</v>
      </c>
      <c r="F16" s="191">
        <f>Baseline!AN41</f>
        <v>2.0061401332989548</v>
      </c>
      <c r="G16" s="191">
        <f>Baseline!AO41</f>
        <v>3.8018051823712069</v>
      </c>
      <c r="H16" s="196">
        <f>Baseline!AP41</f>
        <v>9.568446904636458</v>
      </c>
      <c r="I16" s="191">
        <f>IF(D16+'Non-travel METs'!D16&gt;2.5, D16+'Non-travel METs'!D16, 0.1)</f>
        <v>37.920611440345937</v>
      </c>
      <c r="J16" s="191">
        <f>IF(E16+'Non-travel METs'!E16&gt;2.5, E16+'Non-travel METs'!E16, 0.1)</f>
        <v>38.558601911821945</v>
      </c>
      <c r="K16" s="191">
        <f>IF(F16+'Non-travel METs'!F16&gt;2.5, F16+'Non-travel METs'!F16, 0.1)</f>
        <v>39.506140133298956</v>
      </c>
      <c r="L16" s="191">
        <f>IF(G16+'Non-travel METs'!G16&gt;2.5, G16+'Non-travel METs'!G16, 0.1)</f>
        <v>41.301805182371204</v>
      </c>
      <c r="M16" s="196">
        <f>IF(H16+'Non-travel METs'!H16&gt;2.5, H16+'Non-travel METs'!H16, 0.1)</f>
        <v>47.06844690463646</v>
      </c>
      <c r="N16" s="241">
        <f>'Phy activity RRs'!$F$5</f>
        <v>0.97319906938028322</v>
      </c>
      <c r="O16" s="235">
        <f t="shared" si="10"/>
        <v>0.84595315361456103</v>
      </c>
      <c r="P16" s="235">
        <f t="shared" si="0"/>
        <v>0.84476845200297568</v>
      </c>
      <c r="Q16" s="235">
        <f t="shared" si="0"/>
        <v>0.84302989730431743</v>
      </c>
      <c r="R16" s="235">
        <f t="shared" si="0"/>
        <v>0.83980098883834919</v>
      </c>
      <c r="S16" s="246">
        <f t="shared" si="0"/>
        <v>0.82995768655421909</v>
      </c>
      <c r="T16" s="248"/>
      <c r="U16" s="248"/>
      <c r="V16" s="248"/>
      <c r="W16" s="248"/>
      <c r="X16" s="249"/>
      <c r="Y16" s="235">
        <f t="shared" si="6"/>
        <v>1</v>
      </c>
      <c r="Z16" s="235">
        <f t="shared" si="1"/>
        <v>0.99859956593751864</v>
      </c>
      <c r="AA16" s="235">
        <f t="shared" si="1"/>
        <v>0.99654442294144396</v>
      </c>
      <c r="AB16" s="235">
        <f t="shared" si="1"/>
        <v>0.99272753491144861</v>
      </c>
      <c r="AC16" s="246">
        <f t="shared" si="1"/>
        <v>0.98109178151059895</v>
      </c>
      <c r="AD16" s="263"/>
      <c r="AE16" s="263"/>
      <c r="AF16" s="187">
        <f>GBDUS!K17/(Y16+Z16+AA16+AB16+AC16)</f>
        <v>0</v>
      </c>
      <c r="AG16" s="187">
        <f t="shared" si="7"/>
        <v>0</v>
      </c>
      <c r="AH16" s="187">
        <f t="shared" si="2"/>
        <v>0</v>
      </c>
      <c r="AI16" s="187">
        <f t="shared" si="2"/>
        <v>0</v>
      </c>
      <c r="AJ16" s="265">
        <f t="shared" si="2"/>
        <v>0</v>
      </c>
      <c r="AK16" s="274">
        <f>GBDUS!L17/(Y16+Z16+AA16+AB16+AC16)</f>
        <v>4.0378686249510096</v>
      </c>
      <c r="AL16" s="274">
        <f t="shared" si="8"/>
        <v>4.0322138561888039</v>
      </c>
      <c r="AM16" s="274">
        <f t="shared" si="3"/>
        <v>4.023915458765166</v>
      </c>
      <c r="AN16" s="274">
        <f t="shared" si="3"/>
        <v>4.0085033663438967</v>
      </c>
      <c r="AO16" s="276">
        <f t="shared" si="3"/>
        <v>3.9615197227589385</v>
      </c>
      <c r="AP16" s="274">
        <f>GBDUS!M17/(Y16+Z16+AA16+AB16+AC16)</f>
        <v>0.21404286243766868</v>
      </c>
      <c r="AQ16" s="274">
        <f t="shared" si="9"/>
        <v>0.21374310952227996</v>
      </c>
      <c r="AR16" s="274">
        <f t="shared" si="4"/>
        <v>0.21330322083268141</v>
      </c>
      <c r="AS16" s="274">
        <f t="shared" si="4"/>
        <v>0.21248624319313714</v>
      </c>
      <c r="AT16" s="276">
        <f t="shared" si="4"/>
        <v>0.20999569322860043</v>
      </c>
      <c r="AU16" s="272"/>
      <c r="AV16" s="272"/>
      <c r="AW16" s="272"/>
      <c r="AX16" s="272"/>
    </row>
    <row r="17" spans="2:50" x14ac:dyDescent="0.2">
      <c r="B17" s="190">
        <v>2</v>
      </c>
      <c r="C17" s="197" t="s">
        <v>9</v>
      </c>
      <c r="D17" s="191">
        <f>Baseline!AL42</f>
        <v>0.35430197088303461</v>
      </c>
      <c r="E17" s="191">
        <f>Baseline!AM42</f>
        <v>0.89171312941604497</v>
      </c>
      <c r="F17" s="191">
        <f>Baseline!AN42</f>
        <v>1.6898717793096323</v>
      </c>
      <c r="G17" s="191">
        <f>Baseline!AO42</f>
        <v>3.2024499093976431</v>
      </c>
      <c r="H17" s="196">
        <f>Baseline!AP42</f>
        <v>8.0599795236528315</v>
      </c>
      <c r="I17" s="191">
        <f>IF(D17+'Non-travel METs'!D17&gt;2.5, D17+'Non-travel METs'!D17, 0.1)</f>
        <v>37.917635304216333</v>
      </c>
      <c r="J17" s="191">
        <f>IF(E17+'Non-travel METs'!E17&gt;2.5, E17+'Non-travel METs'!E17, 0.1)</f>
        <v>38.455046462749344</v>
      </c>
      <c r="K17" s="191">
        <f>IF(F17+'Non-travel METs'!F17&gt;2.5, F17+'Non-travel METs'!F17, 0.1)</f>
        <v>39.253205112642931</v>
      </c>
      <c r="L17" s="191">
        <f>IF(G17+'Non-travel METs'!G17&gt;2.5, G17+'Non-travel METs'!G17, 0.1)</f>
        <v>40.76578324273094</v>
      </c>
      <c r="M17" s="196">
        <f>IF(H17+'Non-travel METs'!H17&gt;2.5, H17+'Non-travel METs'!H17, 0.1)</f>
        <v>45.623312856986132</v>
      </c>
      <c r="N17" s="241">
        <f>'Phy activity RRs'!$F$5</f>
        <v>0.97319906938028322</v>
      </c>
      <c r="O17" s="235">
        <f t="shared" si="10"/>
        <v>0.84595870724617583</v>
      </c>
      <c r="P17" s="235">
        <f t="shared" si="0"/>
        <v>0.84495996435721576</v>
      </c>
      <c r="Q17" s="235">
        <f t="shared" si="0"/>
        <v>0.84349157726490231</v>
      </c>
      <c r="R17" s="235">
        <f t="shared" si="0"/>
        <v>0.8407560758666851</v>
      </c>
      <c r="S17" s="246">
        <f t="shared" si="0"/>
        <v>0.83235433146702276</v>
      </c>
      <c r="T17" s="248"/>
      <c r="U17" s="248"/>
      <c r="V17" s="248"/>
      <c r="W17" s="248"/>
      <c r="X17" s="249"/>
      <c r="Y17" s="235">
        <f t="shared" si="6"/>
        <v>1</v>
      </c>
      <c r="Z17" s="235">
        <f t="shared" si="1"/>
        <v>0.99881939522531626</v>
      </c>
      <c r="AA17" s="235">
        <f t="shared" si="1"/>
        <v>0.99708362836135978</v>
      </c>
      <c r="AB17" s="235">
        <f t="shared" si="1"/>
        <v>0.99385001734135858</v>
      </c>
      <c r="AC17" s="246">
        <f t="shared" si="1"/>
        <v>0.98391839263237924</v>
      </c>
      <c r="AD17" s="263"/>
      <c r="AE17" s="263"/>
      <c r="AF17" s="187">
        <f>GBDUS!K18/(Y17+Z17+AA17+AB17+AC17)</f>
        <v>0.60317615268213309</v>
      </c>
      <c r="AG17" s="187">
        <f t="shared" si="7"/>
        <v>0.60246404003630116</v>
      </c>
      <c r="AH17" s="187">
        <f t="shared" si="2"/>
        <v>0.60141706685734675</v>
      </c>
      <c r="AI17" s="187">
        <f t="shared" si="2"/>
        <v>0.59946662980303189</v>
      </c>
      <c r="AJ17" s="265">
        <f t="shared" si="2"/>
        <v>0.59347611062118699</v>
      </c>
      <c r="AK17" s="274">
        <f>GBDUS!L18/(Y17+Z17+AA17+AB17+AC17)</f>
        <v>28.152661434986619</v>
      </c>
      <c r="AL17" s="274">
        <f t="shared" si="8"/>
        <v>28.119424268476418</v>
      </c>
      <c r="AM17" s="274">
        <f t="shared" si="3"/>
        <v>28.070557811625385</v>
      </c>
      <c r="AN17" s="274">
        <f t="shared" si="3"/>
        <v>27.979523055366847</v>
      </c>
      <c r="AO17" s="276">
        <f t="shared" si="3"/>
        <v>27.699921387435605</v>
      </c>
      <c r="AP17" s="274">
        <f>GBDUS!M18/(Y17+Z17+AA17+AB17+AC17)</f>
        <v>2.08040592372957</v>
      </c>
      <c r="AQ17" s="274">
        <f t="shared" si="9"/>
        <v>2.0779497865627348</v>
      </c>
      <c r="AR17" s="274">
        <f t="shared" si="4"/>
        <v>2.0743386868967462</v>
      </c>
      <c r="AS17" s="274">
        <f t="shared" si="4"/>
        <v>2.0676114633756981</v>
      </c>
      <c r="AT17" s="276">
        <f t="shared" si="4"/>
        <v>2.0469496524988786</v>
      </c>
      <c r="AU17" s="272"/>
      <c r="AV17" s="272"/>
      <c r="AW17" s="272"/>
      <c r="AX17" s="272"/>
    </row>
    <row r="18" spans="2:50" x14ac:dyDescent="0.2">
      <c r="B18" s="190">
        <v>2</v>
      </c>
      <c r="C18" s="197" t="s">
        <v>10</v>
      </c>
      <c r="D18" s="191">
        <f>Baseline!AL43</f>
        <v>0.26733773499708668</v>
      </c>
      <c r="E18" s="191">
        <f>Baseline!AM43</f>
        <v>0.67284008522760486</v>
      </c>
      <c r="F18" s="191">
        <f>Baseline!AN43</f>
        <v>1.2750888536978389</v>
      </c>
      <c r="G18" s="191">
        <f>Baseline!AO43</f>
        <v>2.4164011932708851</v>
      </c>
      <c r="H18" s="196">
        <f>Baseline!AP43</f>
        <v>6.0816389607033488</v>
      </c>
      <c r="I18" s="191">
        <f>IF(D18+'Non-travel METs'!D18&gt;2.5, D18+'Non-travel METs'!D18, 0.1)</f>
        <v>38.020671068330387</v>
      </c>
      <c r="J18" s="191">
        <f>IF(E18+'Non-travel METs'!E18&gt;2.5, E18+'Non-travel METs'!E18, 0.1)</f>
        <v>38.426173418560907</v>
      </c>
      <c r="K18" s="191">
        <f>IF(F18+'Non-travel METs'!F18&gt;2.5, F18+'Non-travel METs'!F18, 0.1)</f>
        <v>39.02842218703114</v>
      </c>
      <c r="L18" s="191">
        <f>IF(G18+'Non-travel METs'!G18&gt;2.5, G18+'Non-travel METs'!G18, 0.1)</f>
        <v>40.169734526604188</v>
      </c>
      <c r="M18" s="196">
        <f>IF(H18+'Non-travel METs'!H18&gt;2.5, H18+'Non-travel METs'!H18, 0.1)</f>
        <v>43.834972294036653</v>
      </c>
      <c r="N18" s="241">
        <f>'Phy activity RRs'!$F$5</f>
        <v>0.97319906938028322</v>
      </c>
      <c r="O18" s="235">
        <f t="shared" si="10"/>
        <v>0.84576658477391564</v>
      </c>
      <c r="P18" s="235">
        <f t="shared" si="0"/>
        <v>0.84501341500800742</v>
      </c>
      <c r="Q18" s="235">
        <f t="shared" si="0"/>
        <v>0.84390333451475619</v>
      </c>
      <c r="R18" s="235">
        <f t="shared" si="0"/>
        <v>0.84182681140909787</v>
      </c>
      <c r="S18" s="246">
        <f t="shared" si="0"/>
        <v>0.83538319389326499</v>
      </c>
      <c r="T18" s="248"/>
      <c r="U18" s="248"/>
      <c r="V18" s="248"/>
      <c r="W18" s="248"/>
      <c r="X18" s="249"/>
      <c r="Y18" s="235">
        <f t="shared" si="6"/>
        <v>1</v>
      </c>
      <c r="Z18" s="235">
        <f t="shared" si="1"/>
        <v>0.99910948271134459</v>
      </c>
      <c r="AA18" s="235">
        <f t="shared" si="1"/>
        <v>0.99779696869951706</v>
      </c>
      <c r="AB18" s="235">
        <f t="shared" si="1"/>
        <v>0.99534177226229514</v>
      </c>
      <c r="AC18" s="246">
        <f t="shared" si="1"/>
        <v>0.98772310106880579</v>
      </c>
      <c r="AD18" s="263"/>
      <c r="AE18" s="263"/>
      <c r="AF18" s="187">
        <f>GBDUS!K19/(Y18+Z18+AA18+AB18+AC18)</f>
        <v>4.2168917510961998</v>
      </c>
      <c r="AG18" s="187">
        <f t="shared" si="7"/>
        <v>4.2131365360874602</v>
      </c>
      <c r="AH18" s="187">
        <f t="shared" si="2"/>
        <v>4.2076018065777863</v>
      </c>
      <c r="AI18" s="187">
        <f t="shared" si="2"/>
        <v>4.1972485089743445</v>
      </c>
      <c r="AJ18" s="265">
        <f t="shared" si="2"/>
        <v>4.1651213972642056</v>
      </c>
      <c r="AK18" s="274">
        <f>GBDUS!L19/(Y18+Z18+AA18+AB18+AC18)</f>
        <v>142.67453334062091</v>
      </c>
      <c r="AL18" s="274">
        <f t="shared" si="8"/>
        <v>142.54747920203025</v>
      </c>
      <c r="AM18" s="274">
        <f t="shared" si="3"/>
        <v>142.36021687788974</v>
      </c>
      <c r="AN18" s="274">
        <f t="shared" si="3"/>
        <v>142.00992287194953</v>
      </c>
      <c r="AO18" s="276">
        <f t="shared" si="3"/>
        <v>140.9229325147428</v>
      </c>
      <c r="AP18" s="274">
        <f>GBDUS!M19/(Y18+Z18+AA18+AB18+AC18)</f>
        <v>16.703375422717908</v>
      </c>
      <c r="AQ18" s="274">
        <f t="shared" si="9"/>
        <v>16.688500778125075</v>
      </c>
      <c r="AR18" s="274">
        <f t="shared" si="4"/>
        <v>16.666577363837945</v>
      </c>
      <c r="AS18" s="274">
        <f t="shared" si="4"/>
        <v>16.625567296010505</v>
      </c>
      <c r="AT18" s="276">
        <f t="shared" si="4"/>
        <v>16.498309770843406</v>
      </c>
      <c r="AU18" s="272"/>
      <c r="AV18" s="272"/>
      <c r="AW18" s="272"/>
      <c r="AX18" s="272"/>
    </row>
    <row r="19" spans="2:50" x14ac:dyDescent="0.2">
      <c r="B19" s="190">
        <v>2</v>
      </c>
      <c r="C19" s="197" t="s">
        <v>11</v>
      </c>
      <c r="D19" s="191">
        <f>Baseline!AL44</f>
        <v>0.17691769036532026</v>
      </c>
      <c r="E19" s="191">
        <f>Baseline!AM44</f>
        <v>0.44526940375615254</v>
      </c>
      <c r="F19" s="191">
        <f>Baseline!AN44</f>
        <v>0.84382317000345575</v>
      </c>
      <c r="G19" s="191">
        <f>Baseline!AO44</f>
        <v>1.5991162568731561</v>
      </c>
      <c r="H19" s="196">
        <f>Baseline!AP44</f>
        <v>4.0246825558505925</v>
      </c>
      <c r="I19" s="191">
        <f>IF(D19+'Non-travel METs'!D19&gt;2.5, D19+'Non-travel METs'!D19, 0.1)</f>
        <v>9.17691769036532</v>
      </c>
      <c r="J19" s="191">
        <f>IF(E19+'Non-travel METs'!E19&gt;2.5, E19+'Non-travel METs'!E19, 0.1)</f>
        <v>9.4452694037561518</v>
      </c>
      <c r="K19" s="191">
        <f>IF(F19+'Non-travel METs'!F19&gt;2.5, F19+'Non-travel METs'!F19, 0.1)</f>
        <v>9.8438231700034553</v>
      </c>
      <c r="L19" s="191">
        <f>IF(G19+'Non-travel METs'!G19&gt;2.5, G19+'Non-travel METs'!G19, 0.1)</f>
        <v>10.599116256873156</v>
      </c>
      <c r="M19" s="196">
        <f>IF(H19+'Non-travel METs'!H19&gt;2.5, H19+'Non-travel METs'!H19, 0.1)</f>
        <v>13.024682555850593</v>
      </c>
      <c r="N19" s="241">
        <f>'Phy activity RRs'!$F$5</f>
        <v>0.97319906938028322</v>
      </c>
      <c r="O19" s="235">
        <f t="shared" si="10"/>
        <v>0.92099836562507664</v>
      </c>
      <c r="P19" s="235">
        <f t="shared" si="0"/>
        <v>0.91989880174519523</v>
      </c>
      <c r="Q19" s="235">
        <f t="shared" si="0"/>
        <v>0.91829652905297943</v>
      </c>
      <c r="R19" s="235">
        <f t="shared" si="0"/>
        <v>0.91535397226829096</v>
      </c>
      <c r="S19" s="246">
        <f t="shared" si="0"/>
        <v>0.90660937447089474</v>
      </c>
      <c r="T19" s="248"/>
      <c r="U19" s="248"/>
      <c r="V19" s="248"/>
      <c r="W19" s="248"/>
      <c r="X19" s="249"/>
      <c r="Y19" s="235">
        <f t="shared" si="6"/>
        <v>1</v>
      </c>
      <c r="Z19" s="235">
        <f t="shared" si="1"/>
        <v>0.99880611744719527</v>
      </c>
      <c r="AA19" s="235">
        <f t="shared" si="1"/>
        <v>0.99706640459642559</v>
      </c>
      <c r="AB19" s="235">
        <f t="shared" si="1"/>
        <v>0.99387144042003284</v>
      </c>
      <c r="AC19" s="246">
        <f t="shared" si="1"/>
        <v>0.98437674626662752</v>
      </c>
      <c r="AD19" s="263"/>
      <c r="AE19" s="263"/>
      <c r="AF19" s="187">
        <f>GBDUS!K20/(Y19+Z19+AA19+AB19+AC19)</f>
        <v>3.618730033713792</v>
      </c>
      <c r="AG19" s="187">
        <f t="shared" si="7"/>
        <v>3.6144096950632307</v>
      </c>
      <c r="AH19" s="187">
        <f t="shared" si="2"/>
        <v>3.6081141439201128</v>
      </c>
      <c r="AI19" s="187">
        <f t="shared" si="2"/>
        <v>3.5965524310983605</v>
      </c>
      <c r="AJ19" s="265">
        <f t="shared" si="2"/>
        <v>3.5621936962045058</v>
      </c>
      <c r="AK19" s="274">
        <f>GBDUS!L20/(Y19+Z19+AA19+AB19+AC19)</f>
        <v>84.49557969744923</v>
      </c>
      <c r="AL19" s="274">
        <f t="shared" si="8"/>
        <v>84.394701899059328</v>
      </c>
      <c r="AM19" s="274">
        <f t="shared" si="3"/>
        <v>84.24770385322644</v>
      </c>
      <c r="AN19" s="274">
        <f t="shared" si="3"/>
        <v>83.977743503029544</v>
      </c>
      <c r="AO19" s="276">
        <f t="shared" si="3"/>
        <v>83.175483816487585</v>
      </c>
      <c r="AP19" s="274">
        <f>GBDUS!M20/(Y19+Z19+AA19+AB19+AC19)</f>
        <v>15.08332971336112</v>
      </c>
      <c r="AQ19" s="274">
        <f t="shared" si="9"/>
        <v>15.065321989178138</v>
      </c>
      <c r="AR19" s="274">
        <f t="shared" si="4"/>
        <v>15.039081326643407</v>
      </c>
      <c r="AS19" s="274">
        <f t="shared" si="4"/>
        <v>14.990890628548497</v>
      </c>
      <c r="AT19" s="276">
        <f t="shared" si="4"/>
        <v>14.847679026105164</v>
      </c>
      <c r="AU19" s="272"/>
      <c r="AV19" s="272"/>
      <c r="AW19" s="272"/>
      <c r="AX19" s="272"/>
    </row>
    <row r="20" spans="2:50" x14ac:dyDescent="0.2">
      <c r="B20" s="190">
        <v>2</v>
      </c>
      <c r="C20" s="197" t="s">
        <v>12</v>
      </c>
      <c r="D20" s="191">
        <f>Baseline!AL45</f>
        <v>0.11157070141951282</v>
      </c>
      <c r="E20" s="191">
        <f>Baseline!AM45</f>
        <v>0.28080300842238665</v>
      </c>
      <c r="F20" s="191">
        <f>Baseline!AN45</f>
        <v>0.5321454443414837</v>
      </c>
      <c r="G20" s="191">
        <f>Baseline!AO45</f>
        <v>1.0084606127418505</v>
      </c>
      <c r="H20" s="196">
        <f>Baseline!AP45</f>
        <v>2.5381105463218789</v>
      </c>
      <c r="I20" s="191">
        <f>IF(D20+'Non-travel METs'!D20&gt;2.5, D20+'Non-travel METs'!D20, 0.1)</f>
        <v>0.1</v>
      </c>
      <c r="J20" s="191">
        <f>IF(E20+'Non-travel METs'!E20&gt;2.5, E20+'Non-travel METs'!E20, 0.1)</f>
        <v>0.1</v>
      </c>
      <c r="K20" s="191">
        <f>IF(F20+'Non-travel METs'!F20&gt;2.5, F20+'Non-travel METs'!F20, 0.1)</f>
        <v>0.1</v>
      </c>
      <c r="L20" s="191">
        <f>IF(G20+'Non-travel METs'!G20&gt;2.5, G20+'Non-travel METs'!G20, 0.1)</f>
        <v>0.1</v>
      </c>
      <c r="M20" s="196">
        <f>IF(H20+'Non-travel METs'!H20&gt;2.5, H20+'Non-travel METs'!H20, 0.1)</f>
        <v>3.0381105463218789</v>
      </c>
      <c r="N20" s="241">
        <f>'Phy activity RRs'!$F$5</f>
        <v>0.97319906938028322</v>
      </c>
      <c r="O20" s="235">
        <f t="shared" si="10"/>
        <v>0.99144595491037002</v>
      </c>
      <c r="P20" s="235">
        <f t="shared" si="0"/>
        <v>0.99144595491037002</v>
      </c>
      <c r="Q20" s="235">
        <f t="shared" si="0"/>
        <v>0.99144595491037002</v>
      </c>
      <c r="R20" s="235">
        <f t="shared" si="0"/>
        <v>0.99144595491037002</v>
      </c>
      <c r="S20" s="246">
        <f t="shared" si="0"/>
        <v>0.95375170774909968</v>
      </c>
      <c r="T20" s="248"/>
      <c r="U20" s="248"/>
      <c r="V20" s="248"/>
      <c r="W20" s="248"/>
      <c r="X20" s="249"/>
      <c r="Y20" s="235">
        <f t="shared" si="6"/>
        <v>1</v>
      </c>
      <c r="Z20" s="235">
        <f t="shared" si="1"/>
        <v>1</v>
      </c>
      <c r="AA20" s="235">
        <f t="shared" si="1"/>
        <v>1</v>
      </c>
      <c r="AB20" s="235">
        <f t="shared" si="1"/>
        <v>1</v>
      </c>
      <c r="AC20" s="246">
        <f t="shared" si="1"/>
        <v>0.96198053260030902</v>
      </c>
      <c r="AD20" s="263"/>
      <c r="AE20" s="263"/>
      <c r="AF20" s="187">
        <f>GBDUS!K21/(Y20+Z20+AA20+AB20+AC20)</f>
        <v>2.2168567425304846</v>
      </c>
      <c r="AG20" s="187">
        <f t="shared" si="7"/>
        <v>2.2168567425304846</v>
      </c>
      <c r="AH20" s="187">
        <f t="shared" si="2"/>
        <v>2.2168567425304846</v>
      </c>
      <c r="AI20" s="187">
        <f t="shared" si="2"/>
        <v>2.2168567425304846</v>
      </c>
      <c r="AJ20" s="265">
        <f t="shared" si="2"/>
        <v>2.1325730298780616</v>
      </c>
      <c r="AK20" s="274">
        <f>GBDUS!L21/(Y20+Z20+AA20+AB20+AC20)</f>
        <v>32.748539109904428</v>
      </c>
      <c r="AL20" s="274">
        <f t="shared" si="8"/>
        <v>32.748539109904428</v>
      </c>
      <c r="AM20" s="274">
        <f t="shared" si="3"/>
        <v>32.748539109904428</v>
      </c>
      <c r="AN20" s="274">
        <f t="shared" si="3"/>
        <v>32.748539109904428</v>
      </c>
      <c r="AO20" s="276">
        <f t="shared" si="3"/>
        <v>31.503457094827912</v>
      </c>
      <c r="AP20" s="274">
        <f>GBDUS!M21/(Y20+Z20+AA20+AB20+AC20)</f>
        <v>9.2202854768444134</v>
      </c>
      <c r="AQ20" s="274">
        <f t="shared" si="9"/>
        <v>9.2202854768444134</v>
      </c>
      <c r="AR20" s="274">
        <f t="shared" si="4"/>
        <v>9.2202854768444134</v>
      </c>
      <c r="AS20" s="274">
        <f t="shared" si="4"/>
        <v>9.2202854768444134</v>
      </c>
      <c r="AT20" s="276">
        <f t="shared" si="4"/>
        <v>8.869735133741683</v>
      </c>
      <c r="AU20" s="272"/>
      <c r="AV20" s="272"/>
      <c r="AW20" s="272"/>
      <c r="AX20" s="272"/>
    </row>
    <row r="21" spans="2:50" x14ac:dyDescent="0.2">
      <c r="B21" s="199">
        <v>2</v>
      </c>
      <c r="C21" s="200" t="s">
        <v>13</v>
      </c>
      <c r="D21" s="201">
        <f>Baseline!AL46</f>
        <v>0.1379075408816644</v>
      </c>
      <c r="E21" s="201">
        <f>Baseline!AM46</f>
        <v>0.3470880067168956</v>
      </c>
      <c r="F21" s="201">
        <f>Baseline!AN46</f>
        <v>0.65776112085712712</v>
      </c>
      <c r="G21" s="201">
        <f>Baseline!AO46</f>
        <v>1.2465129412095104</v>
      </c>
      <c r="H21" s="202">
        <f>Baseline!AP46</f>
        <v>3.1372446303170025</v>
      </c>
      <c r="I21" s="203">
        <f>IF(D21+'Non-travel METs'!D21&gt;2.5, D21+'Non-travel METs'!D21, 0.1)</f>
        <v>0.1</v>
      </c>
      <c r="J21" s="201">
        <f>IF(E21+'Non-travel METs'!E21&gt;2.5, E21+'Non-travel METs'!E21, 0.1)</f>
        <v>0.1</v>
      </c>
      <c r="K21" s="201">
        <f>IF(F21+'Non-travel METs'!F21&gt;2.5, F21+'Non-travel METs'!F21, 0.1)</f>
        <v>0.1</v>
      </c>
      <c r="L21" s="201">
        <f>IF(G21+'Non-travel METs'!G21&gt;2.5, G21+'Non-travel METs'!G21, 0.1)</f>
        <v>0.1</v>
      </c>
      <c r="M21" s="202">
        <f>IF(H21+'Non-travel METs'!H21&gt;2.5, H21+'Non-travel METs'!H21, 0.1)</f>
        <v>3.220577963650336</v>
      </c>
      <c r="N21" s="242">
        <f>'Phy activity RRs'!$F$5</f>
        <v>0.97319906938028322</v>
      </c>
      <c r="O21" s="237">
        <f t="shared" si="10"/>
        <v>0.99144595491037002</v>
      </c>
      <c r="P21" s="237">
        <f t="shared" si="0"/>
        <v>0.99144595491037002</v>
      </c>
      <c r="Q21" s="237">
        <f t="shared" si="0"/>
        <v>0.99144595491037002</v>
      </c>
      <c r="R21" s="237">
        <f t="shared" si="0"/>
        <v>0.99144595491037002</v>
      </c>
      <c r="S21" s="247">
        <f t="shared" si="0"/>
        <v>0.95241621485207739</v>
      </c>
      <c r="T21" s="250"/>
      <c r="U21" s="251"/>
      <c r="V21" s="251"/>
      <c r="W21" s="251"/>
      <c r="X21" s="252"/>
      <c r="Y21" s="260">
        <f t="shared" si="6"/>
        <v>1</v>
      </c>
      <c r="Z21" s="237">
        <f t="shared" si="1"/>
        <v>1</v>
      </c>
      <c r="AA21" s="237">
        <f t="shared" si="1"/>
        <v>1</v>
      </c>
      <c r="AB21" s="237">
        <f t="shared" si="1"/>
        <v>1</v>
      </c>
      <c r="AC21" s="247">
        <f t="shared" si="1"/>
        <v>0.96063351727344426</v>
      </c>
      <c r="AD21" s="263"/>
      <c r="AE21" s="264"/>
      <c r="AF21" s="266">
        <f>GBDUS!K22/(Y21+Z21+AA21+AB21+AC21)</f>
        <v>5.2412660418201193</v>
      </c>
      <c r="AG21" s="267">
        <f t="shared" si="7"/>
        <v>5.2412660418201193</v>
      </c>
      <c r="AH21" s="267">
        <f t="shared" si="2"/>
        <v>5.2412660418201193</v>
      </c>
      <c r="AI21" s="267">
        <f t="shared" si="2"/>
        <v>5.2412660418201193</v>
      </c>
      <c r="AJ21" s="268">
        <f t="shared" si="2"/>
        <v>5.0349358327195244</v>
      </c>
      <c r="AK21" s="277">
        <f>GBDUS!L22/(Y21+Z21+AA21+AB21+AC21)</f>
        <v>28.699004424824459</v>
      </c>
      <c r="AL21" s="278">
        <f t="shared" si="8"/>
        <v>28.699004424824459</v>
      </c>
      <c r="AM21" s="278">
        <f t="shared" si="3"/>
        <v>28.699004424824459</v>
      </c>
      <c r="AN21" s="278">
        <f t="shared" si="3"/>
        <v>28.699004424824459</v>
      </c>
      <c r="AO21" s="279">
        <f t="shared" si="3"/>
        <v>27.56922556286526</v>
      </c>
      <c r="AP21" s="277">
        <f>GBDUS!M22/(Y21+Z21+AA21+AB21+AC21)</f>
        <v>16.365518412974769</v>
      </c>
      <c r="AQ21" s="278">
        <f t="shared" si="9"/>
        <v>16.365518412974769</v>
      </c>
      <c r="AR21" s="278">
        <f t="shared" si="4"/>
        <v>16.365518412974769</v>
      </c>
      <c r="AS21" s="278">
        <f t="shared" si="4"/>
        <v>16.365518412974769</v>
      </c>
      <c r="AT21" s="279">
        <f t="shared" si="4"/>
        <v>15.721265515059267</v>
      </c>
      <c r="AU21" s="273"/>
      <c r="AV21" s="273"/>
      <c r="AW21" s="273"/>
      <c r="AX21" s="273"/>
    </row>
    <row r="22" spans="2:50" x14ac:dyDescent="0.2">
      <c r="B22" s="185"/>
      <c r="C22" s="185"/>
      <c r="AD22" s="261"/>
      <c r="AK22" s="188"/>
      <c r="AL22" s="188"/>
      <c r="AM22" s="188"/>
      <c r="AN22" s="188"/>
      <c r="AO22" s="188"/>
    </row>
    <row r="23" spans="2:50" x14ac:dyDescent="0.2">
      <c r="B23" s="310" t="s">
        <v>37</v>
      </c>
      <c r="C23" s="292"/>
      <c r="D23" s="253"/>
      <c r="E23" s="253"/>
      <c r="F23" s="253"/>
      <c r="G23" s="253"/>
      <c r="H23" s="253"/>
      <c r="I23" s="253"/>
      <c r="J23" s="253"/>
      <c r="K23" s="253"/>
      <c r="L23" s="253"/>
      <c r="M23" s="253"/>
      <c r="N23" s="253"/>
      <c r="O23" s="253"/>
      <c r="P23" s="253"/>
      <c r="Q23" s="253"/>
      <c r="R23" s="253"/>
      <c r="S23" s="253"/>
      <c r="T23" s="253"/>
      <c r="U23" s="253"/>
      <c r="V23" s="253"/>
      <c r="W23" s="253"/>
      <c r="X23" s="253"/>
      <c r="Y23" s="253"/>
      <c r="Z23" s="253"/>
      <c r="AA23" s="253"/>
      <c r="AB23" s="253"/>
      <c r="AC23" s="253"/>
      <c r="AD23" s="253"/>
      <c r="AE23" s="253"/>
      <c r="AF23" s="253"/>
      <c r="AG23" s="253"/>
      <c r="AH23" s="253"/>
      <c r="AI23" s="253"/>
      <c r="AJ23" s="253"/>
      <c r="AK23" s="293"/>
      <c r="AL23" s="293"/>
      <c r="AM23" s="293"/>
      <c r="AN23" s="293"/>
      <c r="AO23" s="293"/>
      <c r="AP23" s="253"/>
      <c r="AQ23" s="253"/>
      <c r="AR23" s="253"/>
      <c r="AS23" s="253"/>
      <c r="AT23" s="253"/>
      <c r="AU23" s="253"/>
      <c r="AV23" s="253"/>
      <c r="AW23" s="253"/>
      <c r="AX23" s="253"/>
    </row>
    <row r="24" spans="2:50" x14ac:dyDescent="0.2">
      <c r="B24" s="185">
        <v>1</v>
      </c>
      <c r="C24" s="297" t="s">
        <v>6</v>
      </c>
      <c r="D24" s="188">
        <f>Scenario!AL31</f>
        <v>0.35885603949224421</v>
      </c>
      <c r="E24" s="188">
        <f>Scenario!AM31</f>
        <v>0.9013033450837723</v>
      </c>
      <c r="F24" s="188">
        <f>Scenario!AN31</f>
        <v>1.7055939051037041</v>
      </c>
      <c r="G24" s="188">
        <f>Scenario!AO31</f>
        <v>3.2276043187840591</v>
      </c>
      <c r="H24" s="294">
        <f>Scenario!AP31</f>
        <v>8.1064556506921353</v>
      </c>
      <c r="I24" s="191">
        <f>IF(D24+'Non-travel METs'!D25&gt;2.5, D24+'Non-travel METs'!D25, 0.1)</f>
        <v>0.1</v>
      </c>
      <c r="J24" s="191">
        <f>IF(E24+'Non-travel METs'!E25&gt;2.5, E24+'Non-travel METs'!E25, 0.1)</f>
        <v>0.1</v>
      </c>
      <c r="K24" s="191">
        <f>IF(F24+'Non-travel METs'!F25&gt;2.5, F24+'Non-travel METs'!F25, 0.1)</f>
        <v>0.1</v>
      </c>
      <c r="L24" s="191">
        <f>IF(G24+'Non-travel METs'!G25&gt;2.5, G24+'Non-travel METs'!G25, 0.1)</f>
        <v>3.2276043187840591</v>
      </c>
      <c r="M24" s="196">
        <f>IF(H24+'Non-travel METs'!H25&gt;2.5, H24+'Non-travel METs'!H25, 0.1)</f>
        <v>8.1064556506921353</v>
      </c>
      <c r="N24" s="257">
        <v>1</v>
      </c>
      <c r="O24" s="188">
        <f>$N24^(I24^0.5)</f>
        <v>1</v>
      </c>
      <c r="P24" s="188">
        <f t="shared" ref="P24:S39" si="11">$N24^(J24^0.5)</f>
        <v>1</v>
      </c>
      <c r="Q24" s="188">
        <f t="shared" si="11"/>
        <v>1</v>
      </c>
      <c r="R24" s="188">
        <f t="shared" si="11"/>
        <v>1</v>
      </c>
      <c r="S24" s="294">
        <f t="shared" si="11"/>
        <v>1</v>
      </c>
      <c r="T24" s="269">
        <f>O24/O6</f>
        <v>1</v>
      </c>
      <c r="U24" s="269">
        <f t="shared" ref="U24:X39" si="12">P24/P6</f>
        <v>1</v>
      </c>
      <c r="V24" s="269">
        <f t="shared" si="12"/>
        <v>1</v>
      </c>
      <c r="W24" s="269">
        <f t="shared" si="12"/>
        <v>1</v>
      </c>
      <c r="X24" s="300">
        <f t="shared" si="12"/>
        <v>1</v>
      </c>
      <c r="Y24" s="269">
        <f>O24/$O24</f>
        <v>1</v>
      </c>
      <c r="Z24" s="269">
        <f t="shared" ref="Z24:AC39" si="13">P24/$O24</f>
        <v>1</v>
      </c>
      <c r="AA24" s="269">
        <f t="shared" si="13"/>
        <v>1</v>
      </c>
      <c r="AB24" s="269">
        <f t="shared" si="13"/>
        <v>1</v>
      </c>
      <c r="AC24" s="300">
        <f t="shared" si="13"/>
        <v>1</v>
      </c>
      <c r="AD24" s="305">
        <f>(5-SUM(T24:X24))/5</f>
        <v>0</v>
      </c>
      <c r="AE24" s="306">
        <f>1-AD24</f>
        <v>1</v>
      </c>
      <c r="AF24" s="187">
        <f>AE24*GBDUS!K7/(Y24+Z24+AA24+AB24+AC24)</f>
        <v>0</v>
      </c>
      <c r="AG24" s="187">
        <f>$AF24*Z24</f>
        <v>0</v>
      </c>
      <c r="AH24" s="187">
        <f t="shared" ref="AH24:AJ39" si="14">$AF24*AA24</f>
        <v>0</v>
      </c>
      <c r="AI24" s="187">
        <f t="shared" si="14"/>
        <v>0</v>
      </c>
      <c r="AJ24" s="265">
        <f t="shared" si="14"/>
        <v>0</v>
      </c>
      <c r="AK24" s="274">
        <f>AE24*GBDUS!L7/(Y24+Z24+AA24+AB24+AC24)</f>
        <v>0</v>
      </c>
      <c r="AL24" s="274">
        <f>$AK24*Z24</f>
        <v>0</v>
      </c>
      <c r="AM24" s="274">
        <f t="shared" ref="AM24:AO39" si="15">$AK24*AA24</f>
        <v>0</v>
      </c>
      <c r="AN24" s="274">
        <f t="shared" si="15"/>
        <v>0</v>
      </c>
      <c r="AO24" s="276">
        <f t="shared" si="15"/>
        <v>0</v>
      </c>
      <c r="AP24" s="274">
        <f>AE24*GBDUS!M7/(Y24+Z24+AA24+AB24+AC24)</f>
        <v>0</v>
      </c>
      <c r="AQ24" s="274">
        <f>$AP24*Z24</f>
        <v>0</v>
      </c>
      <c r="AR24" s="274">
        <f t="shared" ref="AR24:AT39" si="16">$AP24*AA24</f>
        <v>0</v>
      </c>
      <c r="AS24" s="274">
        <f t="shared" si="16"/>
        <v>0</v>
      </c>
      <c r="AT24" s="276">
        <f t="shared" si="16"/>
        <v>0</v>
      </c>
      <c r="AU24" s="235">
        <f>SUM(AF24:AJ24)-SUM(AF6:AJ6)</f>
        <v>0</v>
      </c>
      <c r="AV24" s="234">
        <f>SUM(AK24:AO24)-SUM(AK6:AO6)</f>
        <v>0</v>
      </c>
      <c r="AW24" s="235">
        <f>SUM(AP24:AT24)-SUM(AP6:AT6)</f>
        <v>0</v>
      </c>
      <c r="AX24" s="235">
        <f>AV24+AW24</f>
        <v>0</v>
      </c>
    </row>
    <row r="25" spans="2:50" x14ac:dyDescent="0.2">
      <c r="B25" s="185">
        <v>1</v>
      </c>
      <c r="C25" s="297" t="s">
        <v>7</v>
      </c>
      <c r="D25" s="188">
        <f>Scenario!AL32</f>
        <v>0.72455011766948996</v>
      </c>
      <c r="E25" s="188">
        <f>Scenario!AM32</f>
        <v>1.8197811179668499</v>
      </c>
      <c r="F25" s="188">
        <f>Scenario!AN32</f>
        <v>3.4436880772239649</v>
      </c>
      <c r="G25" s="331">
        <f>Scenario!AO32</f>
        <v>6.5167109693191785</v>
      </c>
      <c r="H25" s="294">
        <f>Scenario!AP32</f>
        <v>16.36738064629516</v>
      </c>
      <c r="I25" s="191">
        <f>IF(D25+'Non-travel METs'!D26&gt;2.5, D25+'Non-travel METs'!D26, 0.1)</f>
        <v>0.1</v>
      </c>
      <c r="J25" s="191">
        <f>IF(E25+'Non-travel METs'!E26&gt;2.5, E25+'Non-travel METs'!E26, 0.1)</f>
        <v>0.1</v>
      </c>
      <c r="K25" s="191">
        <f>IF(F25+'Non-travel METs'!F26&gt;2.5, F25+'Non-travel METs'!F26, 0.1)</f>
        <v>3.4436880772239649</v>
      </c>
      <c r="L25" s="191">
        <f>IF(G25+'Non-travel METs'!G26&gt;2.5, G25+'Non-travel METs'!G26, 0.1)</f>
        <v>6.5167109693191785</v>
      </c>
      <c r="M25" s="196">
        <f>IF(H25+'Non-travel METs'!H26&gt;2.5, H25+'Non-travel METs'!H26, 0.1)</f>
        <v>16.36738064629516</v>
      </c>
      <c r="N25" s="257">
        <v>1</v>
      </c>
      <c r="O25" s="188">
        <f t="shared" ref="O25:O39" si="17">$N25^(I25^0.5)</f>
        <v>1</v>
      </c>
      <c r="P25" s="188">
        <f t="shared" si="11"/>
        <v>1</v>
      </c>
      <c r="Q25" s="188">
        <f t="shared" si="11"/>
        <v>1</v>
      </c>
      <c r="R25" s="188">
        <f t="shared" si="11"/>
        <v>1</v>
      </c>
      <c r="S25" s="294">
        <f t="shared" si="11"/>
        <v>1</v>
      </c>
      <c r="T25" s="269">
        <f t="shared" ref="T25:T39" si="18">O25/O7</f>
        <v>1</v>
      </c>
      <c r="U25" s="269">
        <f t="shared" si="12"/>
        <v>1</v>
      </c>
      <c r="V25" s="269">
        <f t="shared" si="12"/>
        <v>1</v>
      </c>
      <c r="W25" s="269">
        <f t="shared" si="12"/>
        <v>1</v>
      </c>
      <c r="X25" s="300">
        <f t="shared" si="12"/>
        <v>1</v>
      </c>
      <c r="Y25" s="269">
        <f t="shared" ref="Y25:Y39" si="19">O25/$O25</f>
        <v>1</v>
      </c>
      <c r="Z25" s="269">
        <f t="shared" si="13"/>
        <v>1</v>
      </c>
      <c r="AA25" s="269">
        <f t="shared" si="13"/>
        <v>1</v>
      </c>
      <c r="AB25" s="269">
        <f t="shared" si="13"/>
        <v>1</v>
      </c>
      <c r="AC25" s="300">
        <f t="shared" si="13"/>
        <v>1</v>
      </c>
      <c r="AD25" s="305">
        <f t="shared" ref="AD25:AD39" si="20">(5-SUM(T25:X25))/5</f>
        <v>0</v>
      </c>
      <c r="AE25" s="306">
        <f t="shared" ref="AE25:AE39" si="21">1-AD25</f>
        <v>1</v>
      </c>
      <c r="AF25" s="187">
        <f>AE25*GBDUS!K8/(Y25+Z25+AA25+AB25+AC25)</f>
        <v>0</v>
      </c>
      <c r="AG25" s="187">
        <f t="shared" ref="AG25:AG39" si="22">$AF25*Z25</f>
        <v>0</v>
      </c>
      <c r="AH25" s="187">
        <f t="shared" si="14"/>
        <v>0</v>
      </c>
      <c r="AI25" s="187">
        <f t="shared" si="14"/>
        <v>0</v>
      </c>
      <c r="AJ25" s="265">
        <f t="shared" si="14"/>
        <v>0</v>
      </c>
      <c r="AK25" s="274">
        <f>AE25*GBDUS!L8/(Y25+Z25+AA25+AB25+AC25)</f>
        <v>0</v>
      </c>
      <c r="AL25" s="274">
        <f t="shared" ref="AL25:AL39" si="23">$AK25*Z25</f>
        <v>0</v>
      </c>
      <c r="AM25" s="274">
        <f t="shared" si="15"/>
        <v>0</v>
      </c>
      <c r="AN25" s="274">
        <f t="shared" si="15"/>
        <v>0</v>
      </c>
      <c r="AO25" s="276">
        <f t="shared" si="15"/>
        <v>0</v>
      </c>
      <c r="AP25" s="274">
        <f>AE25*GBDUS!M8/(Y25+Z25+AA25+AB25+AC25)</f>
        <v>0</v>
      </c>
      <c r="AQ25" s="274">
        <f t="shared" ref="AQ25:AQ39" si="24">$AP25*Z25</f>
        <v>0</v>
      </c>
      <c r="AR25" s="274">
        <f t="shared" si="16"/>
        <v>0</v>
      </c>
      <c r="AS25" s="274">
        <f t="shared" si="16"/>
        <v>0</v>
      </c>
      <c r="AT25" s="276">
        <f t="shared" si="16"/>
        <v>0</v>
      </c>
      <c r="AU25" s="235">
        <f t="shared" ref="AU25:AU39" si="25">SUM(AF25:AJ25)-SUM(AF7:AJ7)</f>
        <v>0</v>
      </c>
      <c r="AV25" s="234">
        <f t="shared" ref="AV25:AV39" si="26">SUM(AK25:AO25)-SUM(AK7:AO7)</f>
        <v>0</v>
      </c>
      <c r="AW25" s="235">
        <f t="shared" ref="AW25:AW39" si="27">SUM(AP25:AT25)-SUM(AP7:AT7)</f>
        <v>0</v>
      </c>
      <c r="AX25" s="235">
        <f t="shared" ref="AX25:AX39" si="28">AV25+AW25</f>
        <v>0</v>
      </c>
    </row>
    <row r="26" spans="2:50" x14ac:dyDescent="0.2">
      <c r="B26" s="185">
        <v>1</v>
      </c>
      <c r="C26" s="297" t="s">
        <v>8</v>
      </c>
      <c r="D26" s="188">
        <f>Scenario!AL33</f>
        <v>0.55835336477175823</v>
      </c>
      <c r="E26" s="188">
        <f>Scenario!AM33</f>
        <v>1.4023611142775319</v>
      </c>
      <c r="F26" s="188">
        <f>Scenario!AN33</f>
        <v>2.6537775348474759</v>
      </c>
      <c r="G26" s="188">
        <f>Scenario!AO33</f>
        <v>5.0219127817796902</v>
      </c>
      <c r="H26" s="294">
        <f>Scenario!AP33</f>
        <v>12.613043367867888</v>
      </c>
      <c r="I26" s="191">
        <f>IF(D26+'Non-travel METs'!D27&gt;2.5, D26+'Non-travel METs'!D27, 0.1)</f>
        <v>65.435853364771759</v>
      </c>
      <c r="J26" s="191">
        <f>IF(E26+'Non-travel METs'!E27&gt;2.5, E26+'Non-travel METs'!E27, 0.1)</f>
        <v>66.279861114277523</v>
      </c>
      <c r="K26" s="191">
        <f>IF(F26+'Non-travel METs'!F27&gt;2.5, F26+'Non-travel METs'!F27, 0.1)</f>
        <v>67.531277534847476</v>
      </c>
      <c r="L26" s="191">
        <f>IF(G26+'Non-travel METs'!G27&gt;2.5, G26+'Non-travel METs'!G27, 0.1)</f>
        <v>69.899412781779688</v>
      </c>
      <c r="M26" s="196">
        <f>IF(H26+'Non-travel METs'!H27&gt;2.5, H26+'Non-travel METs'!H27, 0.1)</f>
        <v>77.490543367867886</v>
      </c>
      <c r="N26" s="257">
        <v>1</v>
      </c>
      <c r="O26" s="188">
        <f t="shared" si="17"/>
        <v>1</v>
      </c>
      <c r="P26" s="188">
        <f t="shared" si="11"/>
        <v>1</v>
      </c>
      <c r="Q26" s="188">
        <f t="shared" si="11"/>
        <v>1</v>
      </c>
      <c r="R26" s="188">
        <f t="shared" si="11"/>
        <v>1</v>
      </c>
      <c r="S26" s="294">
        <f t="shared" si="11"/>
        <v>1</v>
      </c>
      <c r="T26" s="269">
        <f t="shared" si="18"/>
        <v>1</v>
      </c>
      <c r="U26" s="269">
        <f t="shared" si="12"/>
        <v>1</v>
      </c>
      <c r="V26" s="269">
        <f t="shared" si="12"/>
        <v>1</v>
      </c>
      <c r="W26" s="269">
        <f t="shared" si="12"/>
        <v>1</v>
      </c>
      <c r="X26" s="300">
        <f t="shared" si="12"/>
        <v>1</v>
      </c>
      <c r="Y26" s="269">
        <f t="shared" si="19"/>
        <v>1</v>
      </c>
      <c r="Z26" s="269">
        <f t="shared" si="13"/>
        <v>1</v>
      </c>
      <c r="AA26" s="269">
        <f t="shared" si="13"/>
        <v>1</v>
      </c>
      <c r="AB26" s="269">
        <f t="shared" si="13"/>
        <v>1</v>
      </c>
      <c r="AC26" s="300">
        <f t="shared" si="13"/>
        <v>1</v>
      </c>
      <c r="AD26" s="305">
        <f t="shared" si="20"/>
        <v>0</v>
      </c>
      <c r="AE26" s="306">
        <f t="shared" si="21"/>
        <v>1</v>
      </c>
      <c r="AF26" s="187">
        <f>AE26*GBDUS!K9/(Y26+Z26+AA26+AB26+AC26)</f>
        <v>0</v>
      </c>
      <c r="AG26" s="187">
        <f t="shared" si="22"/>
        <v>0</v>
      </c>
      <c r="AH26" s="187">
        <f t="shared" si="14"/>
        <v>0</v>
      </c>
      <c r="AI26" s="187">
        <f t="shared" si="14"/>
        <v>0</v>
      </c>
      <c r="AJ26" s="265">
        <f t="shared" si="14"/>
        <v>0</v>
      </c>
      <c r="AK26" s="274">
        <f>AE26*GBDUS!L9/(Y26+Z26+AA26+AB26+AC26)</f>
        <v>0</v>
      </c>
      <c r="AL26" s="274">
        <f t="shared" si="23"/>
        <v>0</v>
      </c>
      <c r="AM26" s="274">
        <f t="shared" si="15"/>
        <v>0</v>
      </c>
      <c r="AN26" s="274">
        <f t="shared" si="15"/>
        <v>0</v>
      </c>
      <c r="AO26" s="276">
        <f t="shared" si="15"/>
        <v>0</v>
      </c>
      <c r="AP26" s="274">
        <f>AE26*GBDUS!M9/(Y26+Z26+AA26+AB26+AC26)</f>
        <v>0</v>
      </c>
      <c r="AQ26" s="274">
        <f t="shared" si="24"/>
        <v>0</v>
      </c>
      <c r="AR26" s="274">
        <f t="shared" si="16"/>
        <v>0</v>
      </c>
      <c r="AS26" s="274">
        <f t="shared" si="16"/>
        <v>0</v>
      </c>
      <c r="AT26" s="276">
        <f t="shared" si="16"/>
        <v>0</v>
      </c>
      <c r="AU26" s="235">
        <f t="shared" si="25"/>
        <v>0</v>
      </c>
      <c r="AV26" s="234">
        <f t="shared" si="26"/>
        <v>0</v>
      </c>
      <c r="AW26" s="235">
        <f t="shared" si="27"/>
        <v>0</v>
      </c>
      <c r="AX26" s="235">
        <f t="shared" si="28"/>
        <v>0</v>
      </c>
    </row>
    <row r="27" spans="2:50" x14ac:dyDescent="0.2">
      <c r="B27" s="185">
        <v>1</v>
      </c>
      <c r="C27" s="297" t="s">
        <v>9</v>
      </c>
      <c r="D27" s="188">
        <f>Scenario!AL34</f>
        <v>0.48139446095649707</v>
      </c>
      <c r="E27" s="188">
        <f>Scenario!AM34</f>
        <v>1.2090710207324453</v>
      </c>
      <c r="F27" s="188">
        <f>Scenario!AN34</f>
        <v>2.2880023413283812</v>
      </c>
      <c r="G27" s="188">
        <f>Scenario!AO34</f>
        <v>4.3297330133285801</v>
      </c>
      <c r="H27" s="294">
        <f>Scenario!AP34</f>
        <v>10.874563665569944</v>
      </c>
      <c r="I27" s="191">
        <f>IF(D27+'Non-travel METs'!D28&gt;2.5, D27+'Non-travel METs'!D28, 0.1)</f>
        <v>68.175144460956489</v>
      </c>
      <c r="J27" s="191">
        <f>IF(E27+'Non-travel METs'!E28&gt;2.5, E27+'Non-travel METs'!E28, 0.1)</f>
        <v>68.902821020732446</v>
      </c>
      <c r="K27" s="191">
        <f>IF(F27+'Non-travel METs'!F28&gt;2.5, F27+'Non-travel METs'!F28, 0.1)</f>
        <v>69.981752341328374</v>
      </c>
      <c r="L27" s="191">
        <f>IF(G27+'Non-travel METs'!G28&gt;2.5, G27+'Non-travel METs'!G28, 0.1)</f>
        <v>72.023483013328573</v>
      </c>
      <c r="M27" s="196">
        <f>IF(H27+'Non-travel METs'!H28&gt;2.5, H27+'Non-travel METs'!H28, 0.1)</f>
        <v>78.568313665569946</v>
      </c>
      <c r="N27" s="257">
        <v>1</v>
      </c>
      <c r="O27" s="188">
        <f t="shared" si="17"/>
        <v>1</v>
      </c>
      <c r="P27" s="188">
        <f t="shared" si="11"/>
        <v>1</v>
      </c>
      <c r="Q27" s="188">
        <f t="shared" si="11"/>
        <v>1</v>
      </c>
      <c r="R27" s="188">
        <f t="shared" si="11"/>
        <v>1</v>
      </c>
      <c r="S27" s="294">
        <f t="shared" si="11"/>
        <v>1</v>
      </c>
      <c r="T27" s="269">
        <f t="shared" si="18"/>
        <v>1</v>
      </c>
      <c r="U27" s="269">
        <f t="shared" si="12"/>
        <v>1</v>
      </c>
      <c r="V27" s="269">
        <f t="shared" si="12"/>
        <v>1</v>
      </c>
      <c r="W27" s="269">
        <f t="shared" si="12"/>
        <v>1</v>
      </c>
      <c r="X27" s="300">
        <f t="shared" si="12"/>
        <v>1</v>
      </c>
      <c r="Y27" s="269">
        <f t="shared" si="19"/>
        <v>1</v>
      </c>
      <c r="Z27" s="269">
        <f t="shared" si="13"/>
        <v>1</v>
      </c>
      <c r="AA27" s="269">
        <f t="shared" si="13"/>
        <v>1</v>
      </c>
      <c r="AB27" s="269">
        <f t="shared" si="13"/>
        <v>1</v>
      </c>
      <c r="AC27" s="300">
        <f t="shared" si="13"/>
        <v>1</v>
      </c>
      <c r="AD27" s="305">
        <f t="shared" si="20"/>
        <v>0</v>
      </c>
      <c r="AE27" s="306">
        <f t="shared" si="21"/>
        <v>1</v>
      </c>
      <c r="AF27" s="187">
        <f>AE27*GBDUS!K10/(Y27+Z27+AA27+AB27+AC27)</f>
        <v>0</v>
      </c>
      <c r="AG27" s="187">
        <f t="shared" si="22"/>
        <v>0</v>
      </c>
      <c r="AH27" s="187">
        <f t="shared" si="14"/>
        <v>0</v>
      </c>
      <c r="AI27" s="187">
        <f t="shared" si="14"/>
        <v>0</v>
      </c>
      <c r="AJ27" s="265">
        <f t="shared" si="14"/>
        <v>0</v>
      </c>
      <c r="AK27" s="274">
        <f>AE27*GBDUS!L10/(Y27+Z27+AA27+AB27+AC27)</f>
        <v>0</v>
      </c>
      <c r="AL27" s="274">
        <f t="shared" si="23"/>
        <v>0</v>
      </c>
      <c r="AM27" s="274">
        <f t="shared" si="15"/>
        <v>0</v>
      </c>
      <c r="AN27" s="274">
        <f t="shared" si="15"/>
        <v>0</v>
      </c>
      <c r="AO27" s="276">
        <f t="shared" si="15"/>
        <v>0</v>
      </c>
      <c r="AP27" s="274">
        <f>AE27*GBDUS!M10/(Y27+Z27+AA27+AB27+AC27)</f>
        <v>0</v>
      </c>
      <c r="AQ27" s="274">
        <f t="shared" si="24"/>
        <v>0</v>
      </c>
      <c r="AR27" s="274">
        <f t="shared" si="16"/>
        <v>0</v>
      </c>
      <c r="AS27" s="274">
        <f t="shared" si="16"/>
        <v>0</v>
      </c>
      <c r="AT27" s="276">
        <f t="shared" si="16"/>
        <v>0</v>
      </c>
      <c r="AU27" s="235">
        <f t="shared" si="25"/>
        <v>0</v>
      </c>
      <c r="AV27" s="234">
        <f t="shared" si="26"/>
        <v>0</v>
      </c>
      <c r="AW27" s="235">
        <f t="shared" si="27"/>
        <v>0</v>
      </c>
      <c r="AX27" s="235">
        <f t="shared" si="28"/>
        <v>0</v>
      </c>
    </row>
    <row r="28" spans="2:50" x14ac:dyDescent="0.2">
      <c r="B28" s="185">
        <v>1</v>
      </c>
      <c r="C28" s="297" t="s">
        <v>10</v>
      </c>
      <c r="D28" s="188">
        <f>Scenario!AL35</f>
        <v>0.40591226731191066</v>
      </c>
      <c r="E28" s="188">
        <f>Scenario!AM35</f>
        <v>1.0194898345766048</v>
      </c>
      <c r="F28" s="188">
        <f>Scenario!AN35</f>
        <v>1.9292457502278801</v>
      </c>
      <c r="G28" s="188">
        <f>Scenario!AO35</f>
        <v>3.6508349946599323</v>
      </c>
      <c r="H28" s="294">
        <f>Scenario!AP35</f>
        <v>9.1694424251344167</v>
      </c>
      <c r="I28" s="191">
        <f>IF(D28+'Non-travel METs'!D29&gt;2.5, D28+'Non-travel METs'!D29, 0.1)</f>
        <v>58.180912267311911</v>
      </c>
      <c r="J28" s="191">
        <f>IF(E28+'Non-travel METs'!E29&gt;2.5, E28+'Non-travel METs'!E29, 0.1)</f>
        <v>58.794489834576602</v>
      </c>
      <c r="K28" s="191">
        <f>IF(F28+'Non-travel METs'!F29&gt;2.5, F28+'Non-travel METs'!F29, 0.1)</f>
        <v>59.704245750227876</v>
      </c>
      <c r="L28" s="191">
        <f>IF(G28+'Non-travel METs'!G29&gt;2.5, G28+'Non-travel METs'!G29, 0.1)</f>
        <v>61.42583499465993</v>
      </c>
      <c r="M28" s="196">
        <f>IF(H28+'Non-travel METs'!H29&gt;2.5, H28+'Non-travel METs'!H29, 0.1)</f>
        <v>66.944442425134412</v>
      </c>
      <c r="N28" s="257">
        <v>1</v>
      </c>
      <c r="O28" s="188">
        <f t="shared" si="17"/>
        <v>1</v>
      </c>
      <c r="P28" s="188">
        <f t="shared" si="11"/>
        <v>1</v>
      </c>
      <c r="Q28" s="188">
        <f t="shared" si="11"/>
        <v>1</v>
      </c>
      <c r="R28" s="188">
        <f t="shared" si="11"/>
        <v>1</v>
      </c>
      <c r="S28" s="294">
        <f t="shared" si="11"/>
        <v>1</v>
      </c>
      <c r="T28" s="269">
        <f t="shared" si="18"/>
        <v>1</v>
      </c>
      <c r="U28" s="269">
        <f t="shared" si="12"/>
        <v>1</v>
      </c>
      <c r="V28" s="269">
        <f t="shared" si="12"/>
        <v>1</v>
      </c>
      <c r="W28" s="269">
        <f t="shared" si="12"/>
        <v>1</v>
      </c>
      <c r="X28" s="300">
        <f t="shared" si="12"/>
        <v>1</v>
      </c>
      <c r="Y28" s="269">
        <f t="shared" si="19"/>
        <v>1</v>
      </c>
      <c r="Z28" s="269">
        <f t="shared" si="13"/>
        <v>1</v>
      </c>
      <c r="AA28" s="269">
        <f t="shared" si="13"/>
        <v>1</v>
      </c>
      <c r="AB28" s="269">
        <f t="shared" si="13"/>
        <v>1</v>
      </c>
      <c r="AC28" s="300">
        <f t="shared" si="13"/>
        <v>1</v>
      </c>
      <c r="AD28" s="305">
        <f t="shared" si="20"/>
        <v>0</v>
      </c>
      <c r="AE28" s="306">
        <f t="shared" si="21"/>
        <v>1</v>
      </c>
      <c r="AF28" s="187">
        <f>AE28*GBDUS!K11/(Y28+Z28+AA28+AB28+AC28)</f>
        <v>0</v>
      </c>
      <c r="AG28" s="187">
        <f t="shared" si="22"/>
        <v>0</v>
      </c>
      <c r="AH28" s="187">
        <f t="shared" si="14"/>
        <v>0</v>
      </c>
      <c r="AI28" s="187">
        <f t="shared" si="14"/>
        <v>0</v>
      </c>
      <c r="AJ28" s="265">
        <f t="shared" si="14"/>
        <v>0</v>
      </c>
      <c r="AK28" s="274">
        <f>AE28*GBDUS!L11/(Y28+Z28+AA28+AB28+AC28)</f>
        <v>0</v>
      </c>
      <c r="AL28" s="274">
        <f t="shared" si="23"/>
        <v>0</v>
      </c>
      <c r="AM28" s="274">
        <f t="shared" si="15"/>
        <v>0</v>
      </c>
      <c r="AN28" s="274">
        <f t="shared" si="15"/>
        <v>0</v>
      </c>
      <c r="AO28" s="276">
        <f t="shared" si="15"/>
        <v>0</v>
      </c>
      <c r="AP28" s="274">
        <f>AE28*GBDUS!M11/(Y28+Z28+AA28+AB28+AC28)</f>
        <v>0</v>
      </c>
      <c r="AQ28" s="274">
        <f t="shared" si="24"/>
        <v>0</v>
      </c>
      <c r="AR28" s="274">
        <f t="shared" si="16"/>
        <v>0</v>
      </c>
      <c r="AS28" s="274">
        <f t="shared" si="16"/>
        <v>0</v>
      </c>
      <c r="AT28" s="276">
        <f t="shared" si="16"/>
        <v>0</v>
      </c>
      <c r="AU28" s="235">
        <f t="shared" si="25"/>
        <v>0</v>
      </c>
      <c r="AV28" s="234">
        <f t="shared" si="26"/>
        <v>0</v>
      </c>
      <c r="AW28" s="235">
        <f t="shared" si="27"/>
        <v>0</v>
      </c>
      <c r="AX28" s="235">
        <f t="shared" si="28"/>
        <v>0</v>
      </c>
    </row>
    <row r="29" spans="2:50" x14ac:dyDescent="0.2">
      <c r="B29" s="185">
        <v>1</v>
      </c>
      <c r="C29" s="297" t="s">
        <v>11</v>
      </c>
      <c r="D29" s="188">
        <f>Scenario!AL36</f>
        <v>0.33207313165469332</v>
      </c>
      <c r="E29" s="188">
        <f>Scenario!AM36</f>
        <v>0.83403535522574834</v>
      </c>
      <c r="F29" s="188">
        <f>Scenario!AN36</f>
        <v>1.5782983900740115</v>
      </c>
      <c r="G29" s="188">
        <f>Scenario!AO36</f>
        <v>2.9867148826514303</v>
      </c>
      <c r="H29" s="294">
        <f>Scenario!AP36</f>
        <v>7.5014373963278462</v>
      </c>
      <c r="I29" s="191">
        <f>IF(D29+'Non-travel METs'!D30&gt;2.5, D29+'Non-travel METs'!D30, 0.1)</f>
        <v>23.415406464987992</v>
      </c>
      <c r="J29" s="191">
        <f>IF(E29+'Non-travel METs'!E30&gt;2.5, E29+'Non-travel METs'!E30, 0.1)</f>
        <v>23.917368688559048</v>
      </c>
      <c r="K29" s="191">
        <f>IF(F29+'Non-travel METs'!F30&gt;2.5, F29+'Non-travel METs'!F30, 0.1)</f>
        <v>24.661631723407311</v>
      </c>
      <c r="L29" s="191">
        <f>IF(G29+'Non-travel METs'!G30&gt;2.5, G29+'Non-travel METs'!G30, 0.1)</f>
        <v>26.07004821598473</v>
      </c>
      <c r="M29" s="196">
        <f>IF(H29+'Non-travel METs'!H30&gt;2.5, H29+'Non-travel METs'!H30, 0.1)</f>
        <v>30.584770729661145</v>
      </c>
      <c r="N29" s="257">
        <v>1</v>
      </c>
      <c r="O29" s="188">
        <f t="shared" si="17"/>
        <v>1</v>
      </c>
      <c r="P29" s="188">
        <f t="shared" si="11"/>
        <v>1</v>
      </c>
      <c r="Q29" s="188">
        <f t="shared" si="11"/>
        <v>1</v>
      </c>
      <c r="R29" s="188">
        <f t="shared" si="11"/>
        <v>1</v>
      </c>
      <c r="S29" s="294">
        <f t="shared" si="11"/>
        <v>1</v>
      </c>
      <c r="T29" s="269">
        <f t="shared" si="18"/>
        <v>1</v>
      </c>
      <c r="U29" s="269">
        <f t="shared" si="12"/>
        <v>1</v>
      </c>
      <c r="V29" s="269">
        <f t="shared" si="12"/>
        <v>1</v>
      </c>
      <c r="W29" s="269">
        <f t="shared" si="12"/>
        <v>1</v>
      </c>
      <c r="X29" s="300">
        <f t="shared" si="12"/>
        <v>1</v>
      </c>
      <c r="Y29" s="269">
        <f t="shared" si="19"/>
        <v>1</v>
      </c>
      <c r="Z29" s="269">
        <f t="shared" si="13"/>
        <v>1</v>
      </c>
      <c r="AA29" s="269">
        <f t="shared" si="13"/>
        <v>1</v>
      </c>
      <c r="AB29" s="269">
        <f t="shared" si="13"/>
        <v>1</v>
      </c>
      <c r="AC29" s="300">
        <f t="shared" si="13"/>
        <v>1</v>
      </c>
      <c r="AD29" s="305">
        <f t="shared" si="20"/>
        <v>0</v>
      </c>
      <c r="AE29" s="306">
        <f t="shared" si="21"/>
        <v>1</v>
      </c>
      <c r="AF29" s="187">
        <f>AE29*GBDUS!K12/(Y29+Z29+AA29+AB29+AC29)</f>
        <v>0</v>
      </c>
      <c r="AG29" s="187">
        <f t="shared" si="22"/>
        <v>0</v>
      </c>
      <c r="AH29" s="187">
        <f t="shared" si="14"/>
        <v>0</v>
      </c>
      <c r="AI29" s="187">
        <f t="shared" si="14"/>
        <v>0</v>
      </c>
      <c r="AJ29" s="265">
        <f t="shared" si="14"/>
        <v>0</v>
      </c>
      <c r="AK29" s="274">
        <f>AE29*GBDUS!L12/(Y29+Z29+AA29+AB29+AC29)</f>
        <v>0</v>
      </c>
      <c r="AL29" s="274">
        <f t="shared" si="23"/>
        <v>0</v>
      </c>
      <c r="AM29" s="274">
        <f t="shared" si="15"/>
        <v>0</v>
      </c>
      <c r="AN29" s="274">
        <f t="shared" si="15"/>
        <v>0</v>
      </c>
      <c r="AO29" s="276">
        <f t="shared" si="15"/>
        <v>0</v>
      </c>
      <c r="AP29" s="274">
        <f>AE29*GBDUS!M12/(Y29+Z29+AA29+AB29+AC29)</f>
        <v>0</v>
      </c>
      <c r="AQ29" s="274">
        <f t="shared" si="24"/>
        <v>0</v>
      </c>
      <c r="AR29" s="274">
        <f t="shared" si="16"/>
        <v>0</v>
      </c>
      <c r="AS29" s="274">
        <f t="shared" si="16"/>
        <v>0</v>
      </c>
      <c r="AT29" s="276">
        <f t="shared" si="16"/>
        <v>0</v>
      </c>
      <c r="AU29" s="235">
        <f t="shared" si="25"/>
        <v>0</v>
      </c>
      <c r="AV29" s="234">
        <f t="shared" si="26"/>
        <v>0</v>
      </c>
      <c r="AW29" s="235">
        <f t="shared" si="27"/>
        <v>0</v>
      </c>
      <c r="AX29" s="235">
        <f t="shared" si="28"/>
        <v>0</v>
      </c>
    </row>
    <row r="30" spans="2:50" x14ac:dyDescent="0.2">
      <c r="B30" s="185">
        <v>1</v>
      </c>
      <c r="C30" s="297" t="s">
        <v>12</v>
      </c>
      <c r="D30" s="188">
        <f>Scenario!AL37</f>
        <v>0.19177331888346999</v>
      </c>
      <c r="E30" s="188">
        <f>Scenario!AM37</f>
        <v>0.48165814361673631</v>
      </c>
      <c r="F30" s="188">
        <f>Scenario!AN37</f>
        <v>0.91147247880225446</v>
      </c>
      <c r="G30" s="188">
        <f>Scenario!AO37</f>
        <v>1.7248376065556441</v>
      </c>
      <c r="H30" s="294">
        <f>Scenario!AP37</f>
        <v>4.3321046141916462</v>
      </c>
      <c r="I30" s="191">
        <f>IF(D30+'Non-travel METs'!D31&gt;2.5, D30+'Non-travel METs'!D31, 0.1)</f>
        <v>0.1</v>
      </c>
      <c r="J30" s="191">
        <f>IF(E30+'Non-travel METs'!E31&gt;2.5, E30+'Non-travel METs'!E31, 0.1)</f>
        <v>0.1</v>
      </c>
      <c r="K30" s="191">
        <f>IF(F30+'Non-travel METs'!F31&gt;2.5, F30+'Non-travel METs'!F31, 0.1)</f>
        <v>2.7864724788022546</v>
      </c>
      <c r="L30" s="191">
        <f>IF(G30+'Non-travel METs'!G31&gt;2.5, G30+'Non-travel METs'!G31, 0.1)</f>
        <v>3.5998376065556439</v>
      </c>
      <c r="M30" s="196">
        <f>IF(H30+'Non-travel METs'!H31&gt;2.5, H30+'Non-travel METs'!H31, 0.1)</f>
        <v>6.2071046141916462</v>
      </c>
      <c r="N30" s="257">
        <v>1</v>
      </c>
      <c r="O30" s="188">
        <f t="shared" si="17"/>
        <v>1</v>
      </c>
      <c r="P30" s="188">
        <f t="shared" si="11"/>
        <v>1</v>
      </c>
      <c r="Q30" s="188">
        <f t="shared" si="11"/>
        <v>1</v>
      </c>
      <c r="R30" s="188">
        <f t="shared" si="11"/>
        <v>1</v>
      </c>
      <c r="S30" s="294">
        <f t="shared" si="11"/>
        <v>1</v>
      </c>
      <c r="T30" s="269">
        <f t="shared" si="18"/>
        <v>1</v>
      </c>
      <c r="U30" s="269">
        <f t="shared" si="12"/>
        <v>1</v>
      </c>
      <c r="V30" s="269">
        <f t="shared" si="12"/>
        <v>1</v>
      </c>
      <c r="W30" s="269">
        <f t="shared" si="12"/>
        <v>1</v>
      </c>
      <c r="X30" s="300">
        <f t="shared" si="12"/>
        <v>1</v>
      </c>
      <c r="Y30" s="269">
        <f t="shared" si="19"/>
        <v>1</v>
      </c>
      <c r="Z30" s="269">
        <f t="shared" si="13"/>
        <v>1</v>
      </c>
      <c r="AA30" s="269">
        <f t="shared" si="13"/>
        <v>1</v>
      </c>
      <c r="AB30" s="269">
        <f t="shared" si="13"/>
        <v>1</v>
      </c>
      <c r="AC30" s="300">
        <f t="shared" si="13"/>
        <v>1</v>
      </c>
      <c r="AD30" s="305">
        <f t="shared" si="20"/>
        <v>0</v>
      </c>
      <c r="AE30" s="306">
        <f t="shared" si="21"/>
        <v>1</v>
      </c>
      <c r="AF30" s="187">
        <f>AE30*GBDUS!K13/(Y30+Z30+AA30+AB30+AC30)</f>
        <v>0</v>
      </c>
      <c r="AG30" s="187">
        <f t="shared" si="22"/>
        <v>0</v>
      </c>
      <c r="AH30" s="187">
        <f t="shared" si="14"/>
        <v>0</v>
      </c>
      <c r="AI30" s="187">
        <f t="shared" si="14"/>
        <v>0</v>
      </c>
      <c r="AJ30" s="265">
        <f t="shared" si="14"/>
        <v>0</v>
      </c>
      <c r="AK30" s="274">
        <f>AE30*GBDUS!L13/(Y30+Z30+AA30+AB30+AC30)</f>
        <v>0</v>
      </c>
      <c r="AL30" s="274">
        <f t="shared" si="23"/>
        <v>0</v>
      </c>
      <c r="AM30" s="274">
        <f t="shared" si="15"/>
        <v>0</v>
      </c>
      <c r="AN30" s="274">
        <f t="shared" si="15"/>
        <v>0</v>
      </c>
      <c r="AO30" s="276">
        <f t="shared" si="15"/>
        <v>0</v>
      </c>
      <c r="AP30" s="274">
        <f>AE30*GBDUS!M13/(Y30+Z30+AA30+AB30+AC30)</f>
        <v>0</v>
      </c>
      <c r="AQ30" s="274">
        <f t="shared" si="24"/>
        <v>0</v>
      </c>
      <c r="AR30" s="274">
        <f t="shared" si="16"/>
        <v>0</v>
      </c>
      <c r="AS30" s="274">
        <f t="shared" si="16"/>
        <v>0</v>
      </c>
      <c r="AT30" s="276">
        <f t="shared" si="16"/>
        <v>0</v>
      </c>
      <c r="AU30" s="235">
        <f t="shared" si="25"/>
        <v>0</v>
      </c>
      <c r="AV30" s="234">
        <f t="shared" si="26"/>
        <v>0</v>
      </c>
      <c r="AW30" s="235">
        <f t="shared" si="27"/>
        <v>0</v>
      </c>
      <c r="AX30" s="235">
        <f t="shared" si="28"/>
        <v>0</v>
      </c>
    </row>
    <row r="31" spans="2:50" x14ac:dyDescent="0.2">
      <c r="B31" s="292">
        <v>1</v>
      </c>
      <c r="C31" s="298" t="s">
        <v>13</v>
      </c>
      <c r="D31" s="293">
        <f>Scenario!AL38</f>
        <v>0.18242608873991903</v>
      </c>
      <c r="E31" s="293">
        <f>Scenario!AM38</f>
        <v>0.45818162694010256</v>
      </c>
      <c r="F31" s="293">
        <f>Scenario!AN38</f>
        <v>0.86704636635616106</v>
      </c>
      <c r="G31" s="293">
        <f>Scenario!AO38</f>
        <v>1.6407672355436893</v>
      </c>
      <c r="H31" s="295">
        <f>Scenario!AP38</f>
        <v>4.1209533494038997</v>
      </c>
      <c r="I31" s="203">
        <f>IF(D31+'Non-travel METs'!D32&gt;2.5, D31+'Non-travel METs'!D32, 0.1)</f>
        <v>0.1</v>
      </c>
      <c r="J31" s="201">
        <f>IF(E31+'Non-travel METs'!E32&gt;2.5, E31+'Non-travel METs'!E32, 0.1)</f>
        <v>0.1</v>
      </c>
      <c r="K31" s="201">
        <f>IF(F31+'Non-travel METs'!F32&gt;2.5, F31+'Non-travel METs'!F32, 0.1)</f>
        <v>0.1</v>
      </c>
      <c r="L31" s="201">
        <f>IF(G31+'Non-travel METs'!G32&gt;2.5, G31+'Non-travel METs'!G32, 0.1)</f>
        <v>0.1</v>
      </c>
      <c r="M31" s="202">
        <f>IF(H31+'Non-travel METs'!H32&gt;2.5, H31+'Non-travel METs'!H32, 0.1)</f>
        <v>4.4542866827372327</v>
      </c>
      <c r="N31" s="258">
        <v>1</v>
      </c>
      <c r="O31" s="299">
        <f t="shared" si="17"/>
        <v>1</v>
      </c>
      <c r="P31" s="293">
        <f t="shared" si="11"/>
        <v>1</v>
      </c>
      <c r="Q31" s="293">
        <f t="shared" si="11"/>
        <v>1</v>
      </c>
      <c r="R31" s="293">
        <f t="shared" si="11"/>
        <v>1</v>
      </c>
      <c r="S31" s="295">
        <f t="shared" si="11"/>
        <v>1</v>
      </c>
      <c r="T31" s="301">
        <f t="shared" si="18"/>
        <v>1</v>
      </c>
      <c r="U31" s="302">
        <f t="shared" si="12"/>
        <v>1</v>
      </c>
      <c r="V31" s="302">
        <f t="shared" si="12"/>
        <v>1</v>
      </c>
      <c r="W31" s="302">
        <f t="shared" si="12"/>
        <v>1</v>
      </c>
      <c r="X31" s="303">
        <f t="shared" si="12"/>
        <v>1</v>
      </c>
      <c r="Y31" s="301">
        <f t="shared" si="19"/>
        <v>1</v>
      </c>
      <c r="Z31" s="302">
        <f t="shared" si="13"/>
        <v>1</v>
      </c>
      <c r="AA31" s="302">
        <f t="shared" si="13"/>
        <v>1</v>
      </c>
      <c r="AB31" s="302">
        <f t="shared" si="13"/>
        <v>1</v>
      </c>
      <c r="AC31" s="303">
        <f t="shared" si="13"/>
        <v>1</v>
      </c>
      <c r="AD31" s="304">
        <f t="shared" si="20"/>
        <v>0</v>
      </c>
      <c r="AE31" s="306">
        <f t="shared" si="21"/>
        <v>1</v>
      </c>
      <c r="AF31" s="266">
        <f>AE31*GBDUS!K14/(Y31+Z31+AA31+AB31+AC31)</f>
        <v>0</v>
      </c>
      <c r="AG31" s="267">
        <f t="shared" si="22"/>
        <v>0</v>
      </c>
      <c r="AH31" s="267">
        <f t="shared" si="14"/>
        <v>0</v>
      </c>
      <c r="AI31" s="267">
        <f t="shared" si="14"/>
        <v>0</v>
      </c>
      <c r="AJ31" s="268">
        <f t="shared" si="14"/>
        <v>0</v>
      </c>
      <c r="AK31" s="277">
        <f>AE31*GBDUS!L14/(Y31+Z31+AA31+AB31+AC31)</f>
        <v>0</v>
      </c>
      <c r="AL31" s="278">
        <f t="shared" si="23"/>
        <v>0</v>
      </c>
      <c r="AM31" s="278">
        <f t="shared" si="15"/>
        <v>0</v>
      </c>
      <c r="AN31" s="278">
        <f t="shared" si="15"/>
        <v>0</v>
      </c>
      <c r="AO31" s="279">
        <f t="shared" si="15"/>
        <v>0</v>
      </c>
      <c r="AP31" s="278">
        <f>AE31*GBDUS!M14/(Y31+Z31+AA31+AB31+AC31)</f>
        <v>0</v>
      </c>
      <c r="AQ31" s="278">
        <f t="shared" si="24"/>
        <v>0</v>
      </c>
      <c r="AR31" s="278">
        <f t="shared" si="16"/>
        <v>0</v>
      </c>
      <c r="AS31" s="278">
        <f t="shared" si="16"/>
        <v>0</v>
      </c>
      <c r="AT31" s="279">
        <f t="shared" si="16"/>
        <v>0</v>
      </c>
      <c r="AU31" s="260">
        <f t="shared" si="25"/>
        <v>0</v>
      </c>
      <c r="AV31" s="238">
        <f t="shared" si="26"/>
        <v>0</v>
      </c>
      <c r="AW31" s="237">
        <f t="shared" si="27"/>
        <v>0</v>
      </c>
      <c r="AX31" s="237">
        <f t="shared" si="28"/>
        <v>0</v>
      </c>
    </row>
    <row r="32" spans="2:50" x14ac:dyDescent="0.2">
      <c r="B32" s="185">
        <v>2</v>
      </c>
      <c r="C32" s="297" t="s">
        <v>6</v>
      </c>
      <c r="D32" s="188">
        <f>Scenario!AL39</f>
        <v>0.63983865075854696</v>
      </c>
      <c r="E32" s="188">
        <f>Scenario!AM39</f>
        <v>1.6070196757968449</v>
      </c>
      <c r="F32" s="188">
        <f>Scenario!AN39</f>
        <v>3.0410660066573612</v>
      </c>
      <c r="G32" s="331">
        <f>Scenario!AO39</f>
        <v>5.7548035012460339</v>
      </c>
      <c r="H32" s="294">
        <f>Scenario!AP39</f>
        <v>14.453772753307545</v>
      </c>
      <c r="I32" s="191">
        <f>IF(D32+'Non-travel METs'!D33&gt;2.5, D32+'Non-travel METs'!D33, 0.1)</f>
        <v>0.1</v>
      </c>
      <c r="J32" s="191">
        <f>IF(E32+'Non-travel METs'!E33&gt;2.5, E32+'Non-travel METs'!E33, 0.1)</f>
        <v>0.1</v>
      </c>
      <c r="K32" s="191">
        <f>IF(F32+'Non-travel METs'!F33&gt;2.5, F32+'Non-travel METs'!F33, 0.1)</f>
        <v>3.0410660066573612</v>
      </c>
      <c r="L32" s="191">
        <f>IF(G32+'Non-travel METs'!G33&gt;2.5, G32+'Non-travel METs'!G33, 0.1)</f>
        <v>5.7548035012460339</v>
      </c>
      <c r="M32" s="196">
        <f>IF(H32+'Non-travel METs'!H33&gt;2.5, H32+'Non-travel METs'!H33, 0.1)</f>
        <v>14.453772753307545</v>
      </c>
      <c r="N32" s="241">
        <f>'Phy activity RRs'!$F$5</f>
        <v>0.97319906938028322</v>
      </c>
      <c r="O32" s="187">
        <f t="shared" si="17"/>
        <v>0.99144595491037002</v>
      </c>
      <c r="P32" s="187">
        <f t="shared" si="11"/>
        <v>0.99144595491037002</v>
      </c>
      <c r="Q32" s="187">
        <f t="shared" si="11"/>
        <v>0.95372974666487698</v>
      </c>
      <c r="R32" s="187">
        <f t="shared" si="11"/>
        <v>0.93690772475932238</v>
      </c>
      <c r="S32" s="265">
        <f t="shared" si="11"/>
        <v>0.90187225586415543</v>
      </c>
      <c r="T32" s="269">
        <f t="shared" si="18"/>
        <v>1</v>
      </c>
      <c r="U32" s="269">
        <f t="shared" si="12"/>
        <v>1</v>
      </c>
      <c r="V32" s="269">
        <f t="shared" si="12"/>
        <v>0.9980336522878992</v>
      </c>
      <c r="W32" s="269">
        <f t="shared" si="12"/>
        <v>0.99734079333479841</v>
      </c>
      <c r="X32" s="300">
        <f t="shared" si="12"/>
        <v>0.99589132839228778</v>
      </c>
      <c r="Y32" s="269">
        <f t="shared" si="19"/>
        <v>1</v>
      </c>
      <c r="Z32" s="269">
        <f t="shared" si="13"/>
        <v>1</v>
      </c>
      <c r="AA32" s="269">
        <f t="shared" si="13"/>
        <v>0.96195838203918771</v>
      </c>
      <c r="AB32" s="269">
        <f t="shared" si="13"/>
        <v>0.94499122228404464</v>
      </c>
      <c r="AC32" s="300">
        <f t="shared" si="13"/>
        <v>0.90965347268544516</v>
      </c>
      <c r="AD32" s="333">
        <f t="shared" si="20"/>
        <v>1.7468451970028553E-3</v>
      </c>
      <c r="AE32" s="308">
        <f t="shared" si="21"/>
        <v>0.99825315480299714</v>
      </c>
      <c r="AF32" s="187">
        <f>AE32*GBDUS!K15/(Y32+Z32+AA32+AB32+AC32)</f>
        <v>0</v>
      </c>
      <c r="AG32" s="187">
        <f t="shared" si="22"/>
        <v>0</v>
      </c>
      <c r="AH32" s="187">
        <f t="shared" si="14"/>
        <v>0</v>
      </c>
      <c r="AI32" s="187">
        <f t="shared" si="14"/>
        <v>0</v>
      </c>
      <c r="AJ32" s="265">
        <f t="shared" si="14"/>
        <v>0</v>
      </c>
      <c r="AK32" s="274">
        <f>AE32*GBDUS!L15/(Y32+Z32+AA32+AB32+AC32)</f>
        <v>0</v>
      </c>
      <c r="AL32" s="274">
        <f t="shared" si="23"/>
        <v>0</v>
      </c>
      <c r="AM32" s="274">
        <f t="shared" si="15"/>
        <v>0</v>
      </c>
      <c r="AN32" s="274">
        <f t="shared" si="15"/>
        <v>0</v>
      </c>
      <c r="AO32" s="276">
        <f t="shared" si="15"/>
        <v>0</v>
      </c>
      <c r="AP32" s="274">
        <f>AE32*GBDUS!M15/(Y32+Z32+AA32+AB32+AC32)</f>
        <v>0</v>
      </c>
      <c r="AQ32" s="274">
        <f t="shared" si="24"/>
        <v>0</v>
      </c>
      <c r="AR32" s="274">
        <f t="shared" si="16"/>
        <v>0</v>
      </c>
      <c r="AS32" s="274">
        <f t="shared" si="16"/>
        <v>0</v>
      </c>
      <c r="AT32" s="276">
        <f t="shared" si="16"/>
        <v>0</v>
      </c>
      <c r="AU32" s="235">
        <f t="shared" si="25"/>
        <v>0</v>
      </c>
      <c r="AV32" s="234">
        <f t="shared" si="26"/>
        <v>0</v>
      </c>
      <c r="AW32" s="235">
        <f t="shared" si="27"/>
        <v>0</v>
      </c>
      <c r="AX32" s="235">
        <f t="shared" si="28"/>
        <v>0</v>
      </c>
    </row>
    <row r="33" spans="2:50" x14ac:dyDescent="0.2">
      <c r="B33" s="185">
        <v>2</v>
      </c>
      <c r="C33" s="297" t="s">
        <v>7</v>
      </c>
      <c r="D33" s="188">
        <f>Scenario!AL40</f>
        <v>0.47238269054572068</v>
      </c>
      <c r="E33" s="188">
        <f>Scenario!AM40</f>
        <v>1.1864370452032824</v>
      </c>
      <c r="F33" s="188">
        <f>Scenario!AN40</f>
        <v>2.2451706233264708</v>
      </c>
      <c r="G33" s="188">
        <f>Scenario!AO40</f>
        <v>4.2486798167908608</v>
      </c>
      <c r="H33" s="294">
        <f>Scenario!AP40</f>
        <v>10.670990340532573</v>
      </c>
      <c r="I33" s="191">
        <f>IF(D33+'Non-travel METs'!D34&gt;2.5, D33+'Non-travel METs'!D34, 0.1)</f>
        <v>0.1</v>
      </c>
      <c r="J33" s="191">
        <f>IF(E33+'Non-travel METs'!E34&gt;2.5, E33+'Non-travel METs'!E34, 0.1)</f>
        <v>0.1</v>
      </c>
      <c r="K33" s="191">
        <f>IF(F33+'Non-travel METs'!F34&gt;2.5, F33+'Non-travel METs'!F34, 0.1)</f>
        <v>0.1</v>
      </c>
      <c r="L33" s="191">
        <f>IF(G33+'Non-travel METs'!G34&gt;2.5, G33+'Non-travel METs'!G34, 0.1)</f>
        <v>4.2486798167908608</v>
      </c>
      <c r="M33" s="196">
        <f>IF(H33+'Non-travel METs'!H34&gt;2.5, H33+'Non-travel METs'!H34, 0.1)</f>
        <v>10.670990340532573</v>
      </c>
      <c r="N33" s="241">
        <f>'Phy activity RRs'!$F$5</f>
        <v>0.97319906938028322</v>
      </c>
      <c r="O33" s="187">
        <f t="shared" si="17"/>
        <v>0.99144595491037002</v>
      </c>
      <c r="P33" s="187">
        <f t="shared" si="11"/>
        <v>0.99144595491037002</v>
      </c>
      <c r="Q33" s="187">
        <f t="shared" si="11"/>
        <v>0.99144595491037002</v>
      </c>
      <c r="R33" s="187">
        <f t="shared" si="11"/>
        <v>0.94554222630930551</v>
      </c>
      <c r="S33" s="265">
        <f t="shared" si="11"/>
        <v>0.91507998344233898</v>
      </c>
      <c r="T33" s="269">
        <f t="shared" si="18"/>
        <v>1</v>
      </c>
      <c r="U33" s="269">
        <f t="shared" si="12"/>
        <v>1</v>
      </c>
      <c r="V33" s="269">
        <f t="shared" si="12"/>
        <v>1</v>
      </c>
      <c r="W33" s="269">
        <f t="shared" si="12"/>
        <v>0.99798145218880052</v>
      </c>
      <c r="X33" s="300">
        <f t="shared" si="12"/>
        <v>0.99689137432008135</v>
      </c>
      <c r="Y33" s="269">
        <f t="shared" si="19"/>
        <v>1</v>
      </c>
      <c r="Z33" s="269">
        <f t="shared" si="13"/>
        <v>1</v>
      </c>
      <c r="AA33" s="269">
        <f t="shared" si="13"/>
        <v>1</v>
      </c>
      <c r="AB33" s="269">
        <f t="shared" si="13"/>
        <v>0.95370022100174456</v>
      </c>
      <c r="AC33" s="300">
        <f t="shared" si="13"/>
        <v>0.9229751545308037</v>
      </c>
      <c r="AD33" s="333">
        <f t="shared" si="20"/>
        <v>1.0254346982236484E-3</v>
      </c>
      <c r="AE33" s="306">
        <f t="shared" si="21"/>
        <v>0.99897456530177631</v>
      </c>
      <c r="AF33" s="187">
        <f>AE33*GBDUS!K16/(Y33+Z33+AA33+AB33+AC33)</f>
        <v>0</v>
      </c>
      <c r="AG33" s="187">
        <f t="shared" si="22"/>
        <v>0</v>
      </c>
      <c r="AH33" s="187">
        <f t="shared" si="14"/>
        <v>0</v>
      </c>
      <c r="AI33" s="187">
        <f t="shared" si="14"/>
        <v>0</v>
      </c>
      <c r="AJ33" s="265">
        <f t="shared" si="14"/>
        <v>0</v>
      </c>
      <c r="AK33" s="274">
        <f>AE33*GBDUS!L16/(Y33+Z33+AA33+AB33+AC33)</f>
        <v>0</v>
      </c>
      <c r="AL33" s="274">
        <f t="shared" si="23"/>
        <v>0</v>
      </c>
      <c r="AM33" s="274">
        <f t="shared" si="15"/>
        <v>0</v>
      </c>
      <c r="AN33" s="274">
        <f t="shared" si="15"/>
        <v>0</v>
      </c>
      <c r="AO33" s="276">
        <f t="shared" si="15"/>
        <v>0</v>
      </c>
      <c r="AP33" s="274">
        <f>AE33*GBDUS!M16/(Y33+Z33+AA33+AB33+AC33)</f>
        <v>0</v>
      </c>
      <c r="AQ33" s="274">
        <f t="shared" si="24"/>
        <v>0</v>
      </c>
      <c r="AR33" s="274">
        <f t="shared" si="16"/>
        <v>0</v>
      </c>
      <c r="AS33" s="274">
        <f t="shared" si="16"/>
        <v>0</v>
      </c>
      <c r="AT33" s="276">
        <f t="shared" si="16"/>
        <v>0</v>
      </c>
      <c r="AU33" s="235">
        <f t="shared" si="25"/>
        <v>0</v>
      </c>
      <c r="AV33" s="234">
        <f t="shared" si="26"/>
        <v>0</v>
      </c>
      <c r="AW33" s="235">
        <f t="shared" si="27"/>
        <v>0</v>
      </c>
      <c r="AX33" s="235">
        <f t="shared" si="28"/>
        <v>0</v>
      </c>
    </row>
    <row r="34" spans="2:50" x14ac:dyDescent="0.2">
      <c r="B34" s="185">
        <v>2</v>
      </c>
      <c r="C34" s="297" t="s">
        <v>8</v>
      </c>
      <c r="D34" s="188">
        <f>Scenario!AL41</f>
        <v>0.46001598825921336</v>
      </c>
      <c r="E34" s="188">
        <f>Scenario!AM41</f>
        <v>1.1553768179482105</v>
      </c>
      <c r="F34" s="188">
        <f>Scenario!AN41</f>
        <v>2.1863933708216963</v>
      </c>
      <c r="G34" s="188">
        <f>Scenario!AO41</f>
        <v>4.1374518665367024</v>
      </c>
      <c r="H34" s="294">
        <f>Scenario!AP41</f>
        <v>10.391630060647827</v>
      </c>
      <c r="I34" s="191">
        <f>IF(D34+'Non-travel METs'!D35&gt;2.5, D34+'Non-travel METs'!D35, 0.1)</f>
        <v>37.960015988259215</v>
      </c>
      <c r="J34" s="191">
        <f>IF(E34+'Non-travel METs'!E35&gt;2.5, E34+'Non-travel METs'!E35, 0.1)</f>
        <v>38.655376817948209</v>
      </c>
      <c r="K34" s="191">
        <f>IF(F34+'Non-travel METs'!F35&gt;2.5, F34+'Non-travel METs'!F35, 0.1)</f>
        <v>39.686393370821698</v>
      </c>
      <c r="L34" s="191">
        <f>IF(G34+'Non-travel METs'!G35&gt;2.5, G34+'Non-travel METs'!G35, 0.1)</f>
        <v>41.637451866536701</v>
      </c>
      <c r="M34" s="196">
        <f>IF(H34+'Non-travel METs'!H35&gt;2.5, H34+'Non-travel METs'!H35, 0.1)</f>
        <v>47.891630060647827</v>
      </c>
      <c r="N34" s="241">
        <f>'Phy activity RRs'!$F$5</f>
        <v>0.97319906938028322</v>
      </c>
      <c r="O34" s="187">
        <f t="shared" si="17"/>
        <v>0.84587964655827208</v>
      </c>
      <c r="P34" s="187">
        <f t="shared" si="11"/>
        <v>0.84458975087038202</v>
      </c>
      <c r="Q34" s="187">
        <f t="shared" si="11"/>
        <v>0.8427019376626963</v>
      </c>
      <c r="R34" s="187">
        <f t="shared" si="11"/>
        <v>0.83920663302764209</v>
      </c>
      <c r="S34" s="265">
        <f t="shared" si="11"/>
        <v>0.82861196772424262</v>
      </c>
      <c r="T34" s="269">
        <f t="shared" si="18"/>
        <v>0.99991310741502071</v>
      </c>
      <c r="U34" s="269">
        <f t="shared" si="12"/>
        <v>0.99978846140363087</v>
      </c>
      <c r="V34" s="269">
        <f t="shared" si="12"/>
        <v>0.99961097507612739</v>
      </c>
      <c r="W34" s="269">
        <f t="shared" si="12"/>
        <v>0.99929226588369557</v>
      </c>
      <c r="X34" s="300">
        <f t="shared" si="12"/>
        <v>0.99837856935145264</v>
      </c>
      <c r="Y34" s="269">
        <f t="shared" si="19"/>
        <v>1</v>
      </c>
      <c r="Z34" s="269">
        <f t="shared" si="13"/>
        <v>0.9984750836680627</v>
      </c>
      <c r="AA34" s="269">
        <f t="shared" si="13"/>
        <v>0.99624330847951559</v>
      </c>
      <c r="AB34" s="269">
        <f t="shared" si="13"/>
        <v>0.99211115486963042</v>
      </c>
      <c r="AC34" s="300">
        <f t="shared" si="13"/>
        <v>0.97958612799789135</v>
      </c>
      <c r="AD34" s="333">
        <f t="shared" si="20"/>
        <v>6.0332417401447462E-4</v>
      </c>
      <c r="AE34" s="306">
        <f t="shared" si="21"/>
        <v>0.99939667582598557</v>
      </c>
      <c r="AF34" s="187">
        <f>AE34*GBDUS!K17/(Y34+Z34+AA34+AB34+AC34)</f>
        <v>0</v>
      </c>
      <c r="AG34" s="187">
        <f t="shared" si="22"/>
        <v>0</v>
      </c>
      <c r="AH34" s="187">
        <f t="shared" si="14"/>
        <v>0</v>
      </c>
      <c r="AI34" s="187">
        <f t="shared" si="14"/>
        <v>0</v>
      </c>
      <c r="AJ34" s="265">
        <f t="shared" si="14"/>
        <v>0</v>
      </c>
      <c r="AK34" s="274">
        <f>AE34*GBDUS!L17/(Y34+Z34+AA34+AB34+AC34)</f>
        <v>4.0375025435284595</v>
      </c>
      <c r="AL34" s="274">
        <f t="shared" si="23"/>
        <v>4.0313456899595943</v>
      </c>
      <c r="AM34" s="274">
        <f t="shared" si="15"/>
        <v>4.0223348919592521</v>
      </c>
      <c r="AN34" s="274">
        <f t="shared" si="15"/>
        <v>4.0056513112490899</v>
      </c>
      <c r="AO34" s="276">
        <f t="shared" si="15"/>
        <v>3.9550814833966816</v>
      </c>
      <c r="AP34" s="274">
        <f>AE34*GBDUS!M17/(Y34+Z34+AA34+AB34+AC34)</f>
        <v>0.21402345687427718</v>
      </c>
      <c r="AQ34" s="274">
        <f t="shared" si="24"/>
        <v>0.2136970890094719</v>
      </c>
      <c r="AR34" s="274">
        <f t="shared" si="16"/>
        <v>0.21321943676865282</v>
      </c>
      <c r="AS34" s="274">
        <f t="shared" si="16"/>
        <v>0.21233505896872967</v>
      </c>
      <c r="AT34" s="276">
        <f t="shared" si="16"/>
        <v>0.20965440942019686</v>
      </c>
      <c r="AU34" s="235">
        <f t="shared" si="25"/>
        <v>0</v>
      </c>
      <c r="AV34" s="234">
        <f t="shared" si="26"/>
        <v>-1.2105108914735041E-2</v>
      </c>
      <c r="AW34" s="235">
        <f t="shared" si="27"/>
        <v>-6.4167817303895092E-4</v>
      </c>
      <c r="AX34" s="235">
        <f t="shared" si="28"/>
        <v>-1.2746787087773992E-2</v>
      </c>
    </row>
    <row r="35" spans="2:50" x14ac:dyDescent="0.2">
      <c r="B35" s="185">
        <v>2</v>
      </c>
      <c r="C35" s="297" t="s">
        <v>9</v>
      </c>
      <c r="D35" s="188">
        <f>Scenario!AL42</f>
        <v>0.38779511810305101</v>
      </c>
      <c r="E35" s="188">
        <f>Scenario!AM42</f>
        <v>0.97398677655804244</v>
      </c>
      <c r="F35" s="188">
        <f>Scenario!AN42</f>
        <v>1.8431374063019774</v>
      </c>
      <c r="G35" s="188">
        <f>Scenario!AO42</f>
        <v>3.4878866738979131</v>
      </c>
      <c r="H35" s="294">
        <f>Scenario!AP42</f>
        <v>8.7601811882707494</v>
      </c>
      <c r="I35" s="191">
        <f>IF(D35+'Non-travel METs'!D36&gt;2.5, D35+'Non-travel METs'!D36, 0.1)</f>
        <v>37.951128451436347</v>
      </c>
      <c r="J35" s="191">
        <f>IF(E35+'Non-travel METs'!E36&gt;2.5, E35+'Non-travel METs'!E36, 0.1)</f>
        <v>38.53732010989134</v>
      </c>
      <c r="K35" s="191">
        <f>IF(F35+'Non-travel METs'!F36&gt;2.5, F35+'Non-travel METs'!F36, 0.1)</f>
        <v>39.406470739635274</v>
      </c>
      <c r="L35" s="191">
        <f>IF(G35+'Non-travel METs'!G36&gt;2.5, G35+'Non-travel METs'!G36, 0.1)</f>
        <v>41.051220007231208</v>
      </c>
      <c r="M35" s="196">
        <f>IF(H35+'Non-travel METs'!H36&gt;2.5, H35+'Non-travel METs'!H36, 0.1)</f>
        <v>46.323514521604046</v>
      </c>
      <c r="N35" s="241">
        <f>'Phy activity RRs'!$F$5</f>
        <v>0.97319906938028322</v>
      </c>
      <c r="O35" s="187">
        <f t="shared" si="17"/>
        <v>0.84589622188713631</v>
      </c>
      <c r="P35" s="187">
        <f t="shared" si="11"/>
        <v>0.84480778537447931</v>
      </c>
      <c r="Q35" s="187">
        <f t="shared" si="11"/>
        <v>0.84321161580937243</v>
      </c>
      <c r="R35" s="187">
        <f t="shared" si="11"/>
        <v>0.84024657156608695</v>
      </c>
      <c r="S35" s="265">
        <f t="shared" si="11"/>
        <v>0.83118756948500061</v>
      </c>
      <c r="T35" s="269">
        <f t="shared" si="18"/>
        <v>0.99992613663231511</v>
      </c>
      <c r="U35" s="269">
        <f t="shared" si="12"/>
        <v>0.99981989799617044</v>
      </c>
      <c r="V35" s="269">
        <f t="shared" si="12"/>
        <v>0.99966809217415342</v>
      </c>
      <c r="W35" s="269">
        <f t="shared" si="12"/>
        <v>0.99939399272247553</v>
      </c>
      <c r="X35" s="300">
        <f t="shared" si="12"/>
        <v>0.9985982388294109</v>
      </c>
      <c r="Y35" s="269">
        <f t="shared" si="19"/>
        <v>1</v>
      </c>
      <c r="Z35" s="269">
        <f t="shared" si="13"/>
        <v>0.99871327417655464</v>
      </c>
      <c r="AA35" s="269">
        <f t="shared" si="13"/>
        <v>0.9968263174508869</v>
      </c>
      <c r="AB35" s="269">
        <f t="shared" si="13"/>
        <v>0.99332110704024024</v>
      </c>
      <c r="AC35" s="300">
        <f t="shared" si="13"/>
        <v>0.98261175304776549</v>
      </c>
      <c r="AD35" s="333">
        <f t="shared" si="20"/>
        <v>5.1872832909491959E-4</v>
      </c>
      <c r="AE35" s="306">
        <f t="shared" si="21"/>
        <v>0.99948127167090506</v>
      </c>
      <c r="AF35" s="187">
        <f>AE35*GBDUS!K18/(Y35+Z35+AA35+AB35+AC35)</f>
        <v>0.6031299266232637</v>
      </c>
      <c r="AG35" s="187">
        <f t="shared" si="22"/>
        <v>0.60235386377178479</v>
      </c>
      <c r="AH35" s="187">
        <f t="shared" si="14"/>
        <v>0.60121578370029161</v>
      </c>
      <c r="AI35" s="187">
        <f t="shared" si="14"/>
        <v>0.59910168640251915</v>
      </c>
      <c r="AJ35" s="265">
        <f t="shared" si="14"/>
        <v>0.59264255451485526</v>
      </c>
      <c r="AK35" s="274">
        <f>AE35*GBDUS!L18/(Y35+Z35+AA35+AB35+AC35)</f>
        <v>28.150503878559636</v>
      </c>
      <c r="AL35" s="274">
        <f t="shared" si="23"/>
        <v>28.114281898276094</v>
      </c>
      <c r="AM35" s="274">
        <f t="shared" si="15"/>
        <v>28.06116311565151</v>
      </c>
      <c r="AN35" s="274">
        <f t="shared" si="15"/>
        <v>27.962489676391435</v>
      </c>
      <c r="AO35" s="276">
        <f t="shared" si="15"/>
        <v>27.661015965289405</v>
      </c>
      <c r="AP35" s="274">
        <f>AE35*GBDUS!M18/(Y35+Z35+AA35+AB35+AC35)</f>
        <v>2.0802464861154091</v>
      </c>
      <c r="AQ35" s="274">
        <f t="shared" si="24"/>
        <v>2.0775697792425931</v>
      </c>
      <c r="AR35" s="274">
        <f t="shared" si="16"/>
        <v>2.0736444441445707</v>
      </c>
      <c r="AS35" s="274">
        <f t="shared" si="16"/>
        <v>2.0663527425047277</v>
      </c>
      <c r="AT35" s="276">
        <f t="shared" si="16"/>
        <v>2.0440746464933164</v>
      </c>
      <c r="AU35" s="235">
        <f t="shared" si="25"/>
        <v>-1.5561849872858247E-3</v>
      </c>
      <c r="AV35" s="234">
        <f t="shared" si="26"/>
        <v>-7.2633423722777479E-2</v>
      </c>
      <c r="AW35" s="235">
        <f t="shared" si="27"/>
        <v>-5.3674145630129289E-3</v>
      </c>
      <c r="AX35" s="235">
        <f t="shared" si="28"/>
        <v>-7.8000838285790408E-2</v>
      </c>
    </row>
    <row r="36" spans="2:50" x14ac:dyDescent="0.2">
      <c r="B36" s="185">
        <v>2</v>
      </c>
      <c r="C36" s="297" t="s">
        <v>10</v>
      </c>
      <c r="D36" s="188">
        <f>Scenario!AL43</f>
        <v>0.2880222001316094</v>
      </c>
      <c r="E36" s="188">
        <f>Scenario!AM43</f>
        <v>0.72339697223520716</v>
      </c>
      <c r="F36" s="188">
        <f>Scenario!AN43</f>
        <v>1.3689303091404414</v>
      </c>
      <c r="G36" s="188">
        <f>Scenario!AO43</f>
        <v>2.5905142863578874</v>
      </c>
      <c r="H36" s="294">
        <f>Scenario!AP43</f>
        <v>6.5063394086533934</v>
      </c>
      <c r="I36" s="191">
        <f>IF(D36+'Non-travel METs'!D37&gt;2.5, D36+'Non-travel METs'!D37, 0.1)</f>
        <v>38.041355533464909</v>
      </c>
      <c r="J36" s="191">
        <f>IF(E36+'Non-travel METs'!E37&gt;2.5, E36+'Non-travel METs'!E37, 0.1)</f>
        <v>38.476730305568509</v>
      </c>
      <c r="K36" s="191">
        <f>IF(F36+'Non-travel METs'!F37&gt;2.5, F36+'Non-travel METs'!F37, 0.1)</f>
        <v>39.12226364247374</v>
      </c>
      <c r="L36" s="191">
        <f>IF(G36+'Non-travel METs'!G37&gt;2.5, G36+'Non-travel METs'!G37, 0.1)</f>
        <v>40.343847619691189</v>
      </c>
      <c r="M36" s="196">
        <f>IF(H36+'Non-travel METs'!H37&gt;2.5, H36+'Non-travel METs'!H37, 0.1)</f>
        <v>44.259672741986698</v>
      </c>
      <c r="N36" s="241">
        <f>'Phy activity RRs'!$F$5</f>
        <v>0.97319906938028322</v>
      </c>
      <c r="O36" s="187">
        <f t="shared" si="17"/>
        <v>0.84572805276414342</v>
      </c>
      <c r="P36" s="187">
        <f t="shared" si="11"/>
        <v>0.84491983798732817</v>
      </c>
      <c r="Q36" s="187">
        <f t="shared" si="11"/>
        <v>0.84373126754135774</v>
      </c>
      <c r="R36" s="187">
        <f t="shared" si="11"/>
        <v>0.84151307884168358</v>
      </c>
      <c r="S36" s="265">
        <f t="shared" si="11"/>
        <v>0.83465737728123512</v>
      </c>
      <c r="T36" s="269">
        <f t="shared" si="18"/>
        <v>0.9999544413193121</v>
      </c>
      <c r="U36" s="269">
        <f t="shared" si="12"/>
        <v>0.99988925972177811</v>
      </c>
      <c r="V36" s="269">
        <f t="shared" si="12"/>
        <v>0.99979610582591505</v>
      </c>
      <c r="W36" s="269">
        <f t="shared" si="12"/>
        <v>0.9996273193450691</v>
      </c>
      <c r="X36" s="300">
        <f t="shared" si="12"/>
        <v>0.99913115727329005</v>
      </c>
      <c r="Y36" s="269">
        <f t="shared" si="19"/>
        <v>1</v>
      </c>
      <c r="Z36" s="269">
        <f t="shared" si="13"/>
        <v>0.99904435619207177</v>
      </c>
      <c r="AA36" s="269">
        <f t="shared" si="13"/>
        <v>0.99763897482617558</v>
      </c>
      <c r="AB36" s="269">
        <f t="shared" si="13"/>
        <v>0.99501615926220754</v>
      </c>
      <c r="AC36" s="300">
        <f t="shared" si="13"/>
        <v>0.98690988734886431</v>
      </c>
      <c r="AD36" s="333">
        <f t="shared" si="20"/>
        <v>3.2034330292720627E-4</v>
      </c>
      <c r="AE36" s="306">
        <f t="shared" si="21"/>
        <v>0.99967965669707282</v>
      </c>
      <c r="AF36" s="187">
        <f>AE36*GBDUS!K19/(Y36+Z36+AA36+AB36+AC36)</f>
        <v>4.216694100358394</v>
      </c>
      <c r="AG36" s="187">
        <f t="shared" si="22"/>
        <v>4.2126644427514588</v>
      </c>
      <c r="AH36" s="187">
        <f t="shared" si="14"/>
        <v>4.2067383794371311</v>
      </c>
      <c r="AI36" s="187">
        <f t="shared" si="14"/>
        <v>4.1956787685222183</v>
      </c>
      <c r="AJ36" s="265">
        <f t="shared" si="14"/>
        <v>4.1614970995693232</v>
      </c>
      <c r="AK36" s="274">
        <f>AE36*GBDUS!L19/(Y36+Z36+AA36+AB36+AC36)</f>
        <v>142.66784601534786</v>
      </c>
      <c r="AL36" s="274">
        <f t="shared" si="23"/>
        <v>142.53150637171285</v>
      </c>
      <c r="AM36" s="274">
        <f t="shared" si="15"/>
        <v>142.33100363941031</v>
      </c>
      <c r="AN36" s="274">
        <f t="shared" si="15"/>
        <v>141.95681219240348</v>
      </c>
      <c r="AO36" s="276">
        <f t="shared" si="15"/>
        <v>140.80030783931207</v>
      </c>
      <c r="AP36" s="274">
        <f>AE36*GBDUS!M19/(Y36+Z36+AA36+AB36+AC36)</f>
        <v>16.702592515621639</v>
      </c>
      <c r="AQ36" s="274">
        <f t="shared" si="24"/>
        <v>16.686630786507738</v>
      </c>
      <c r="AR36" s="274">
        <f t="shared" si="16"/>
        <v>16.663157274224126</v>
      </c>
      <c r="AS36" s="274">
        <f t="shared" si="16"/>
        <v>16.619349454615538</v>
      </c>
      <c r="AT36" s="276">
        <f t="shared" si="16"/>
        <v>16.483953698026134</v>
      </c>
      <c r="AU36" s="235">
        <f t="shared" si="25"/>
        <v>-6.7272093614718642E-3</v>
      </c>
      <c r="AV36" s="234">
        <f t="shared" si="26"/>
        <v>-0.2276087490467944</v>
      </c>
      <c r="AW36" s="235">
        <f t="shared" si="27"/>
        <v>-2.6646902539667394E-2</v>
      </c>
      <c r="AX36" s="235">
        <f t="shared" si="28"/>
        <v>-0.25425565158646179</v>
      </c>
    </row>
    <row r="37" spans="2:50" x14ac:dyDescent="0.2">
      <c r="B37" s="185">
        <v>2</v>
      </c>
      <c r="C37" s="297" t="s">
        <v>11</v>
      </c>
      <c r="D37" s="188">
        <f>Scenario!AL44</f>
        <v>0.19383056670522639</v>
      </c>
      <c r="E37" s="188">
        <f>Scenario!AM44</f>
        <v>0.48682513020567292</v>
      </c>
      <c r="F37" s="188">
        <f>Scenario!AN44</f>
        <v>0.92125029764860955</v>
      </c>
      <c r="G37" s="188">
        <f>Scenario!AO44</f>
        <v>1.7433407978735476</v>
      </c>
      <c r="H37" s="294">
        <f>Scenario!AP44</f>
        <v>4.3785772561266905</v>
      </c>
      <c r="I37" s="191">
        <f>IF(D37+'Non-travel METs'!D38&gt;2.5, D37+'Non-travel METs'!D38, 0.1)</f>
        <v>9.1938305667052269</v>
      </c>
      <c r="J37" s="191">
        <f>IF(E37+'Non-travel METs'!E38&gt;2.5, E37+'Non-travel METs'!E38, 0.1)</f>
        <v>9.4868251302056734</v>
      </c>
      <c r="K37" s="191">
        <f>IF(F37+'Non-travel METs'!F38&gt;2.5, F37+'Non-travel METs'!F38, 0.1)</f>
        <v>9.9212502976486103</v>
      </c>
      <c r="L37" s="191">
        <f>IF(G37+'Non-travel METs'!G38&gt;2.5, G37+'Non-travel METs'!G38, 0.1)</f>
        <v>10.743340797873547</v>
      </c>
      <c r="M37" s="196">
        <f>IF(H37+'Non-travel METs'!H38&gt;2.5, H37+'Non-travel METs'!H38, 0.1)</f>
        <v>13.37857725612669</v>
      </c>
      <c r="N37" s="241">
        <f>'Phy activity RRs'!$F$5</f>
        <v>0.97319906938028322</v>
      </c>
      <c r="O37" s="187">
        <f t="shared" si="17"/>
        <v>0.92092855569943055</v>
      </c>
      <c r="P37" s="187">
        <f t="shared" si="11"/>
        <v>0.91973004827889904</v>
      </c>
      <c r="Q37" s="187">
        <f t="shared" si="11"/>
        <v>0.91798936121452013</v>
      </c>
      <c r="R37" s="187">
        <f t="shared" si="11"/>
        <v>0.91480519139341399</v>
      </c>
      <c r="S37" s="265">
        <f t="shared" si="11"/>
        <v>0.90541067957042065</v>
      </c>
      <c r="T37" s="269">
        <f t="shared" si="18"/>
        <v>0.99992420190062037</v>
      </c>
      <c r="U37" s="269">
        <f t="shared" si="12"/>
        <v>0.99981655214032672</v>
      </c>
      <c r="V37" s="269">
        <f t="shared" si="12"/>
        <v>0.99966550255964048</v>
      </c>
      <c r="W37" s="269">
        <f t="shared" si="12"/>
        <v>0.99940047141160371</v>
      </c>
      <c r="X37" s="300">
        <f t="shared" si="12"/>
        <v>0.99867782648820103</v>
      </c>
      <c r="Y37" s="269">
        <f t="shared" si="19"/>
        <v>1</v>
      </c>
      <c r="Z37" s="269">
        <f t="shared" si="13"/>
        <v>0.99869858805754885</v>
      </c>
      <c r="AA37" s="269">
        <f t="shared" si="13"/>
        <v>0.99680844462176743</v>
      </c>
      <c r="AB37" s="269">
        <f t="shared" si="13"/>
        <v>0.99335088018704565</v>
      </c>
      <c r="AC37" s="300">
        <f t="shared" si="13"/>
        <v>0.98314975028956042</v>
      </c>
      <c r="AD37" s="333">
        <f t="shared" si="20"/>
        <v>5.0308909992153867E-4</v>
      </c>
      <c r="AE37" s="306">
        <f t="shared" si="21"/>
        <v>0.99949691090007842</v>
      </c>
      <c r="AF37" s="187">
        <f>AE37*GBDUS!K20/(Y37+Z37+AA37+AB37+AC37)</f>
        <v>3.6184466346501711</v>
      </c>
      <c r="AG37" s="187">
        <f t="shared" si="22"/>
        <v>3.6137375449867153</v>
      </c>
      <c r="AH37" s="187">
        <f t="shared" si="14"/>
        <v>3.6068981618325058</v>
      </c>
      <c r="AI37" s="187">
        <f t="shared" si="14"/>
        <v>3.5943871494396005</v>
      </c>
      <c r="AJ37" s="265">
        <f t="shared" si="14"/>
        <v>3.5574749052924162</v>
      </c>
      <c r="AK37" s="274">
        <f>AE37*GBDUS!L20/(Y37+Z37+AA37+AB37+AC37)</f>
        <v>84.488962467663299</v>
      </c>
      <c r="AL37" s="274">
        <f t="shared" si="23"/>
        <v>84.379007522902569</v>
      </c>
      <c r="AM37" s="274">
        <f t="shared" si="15"/>
        <v>84.219311265098341</v>
      </c>
      <c r="AN37" s="274">
        <f t="shared" si="15"/>
        <v>83.927185233343607</v>
      </c>
      <c r="AO37" s="276">
        <f t="shared" si="15"/>
        <v>83.065302352307214</v>
      </c>
      <c r="AP37" s="274">
        <f>AE37*GBDUS!M20/(Y37+Z37+AA37+AB37+AC37)</f>
        <v>15.082148469809592</v>
      </c>
      <c r="AQ37" s="274">
        <f t="shared" si="24"/>
        <v>15.06252038167316</v>
      </c>
      <c r="AR37" s="274">
        <f t="shared" si="16"/>
        <v>15.034012957745469</v>
      </c>
      <c r="AS37" s="274">
        <f t="shared" si="16"/>
        <v>14.981865457597062</v>
      </c>
      <c r="AT37" s="276">
        <f t="shared" si="16"/>
        <v>14.828010501923377</v>
      </c>
      <c r="AU37" s="235">
        <f t="shared" si="25"/>
        <v>-9.0556037985898286E-3</v>
      </c>
      <c r="AV37" s="234">
        <f t="shared" si="26"/>
        <v>-0.21144392793706857</v>
      </c>
      <c r="AW37" s="235">
        <f t="shared" si="27"/>
        <v>-3.7744915087671416E-2</v>
      </c>
      <c r="AX37" s="235">
        <f t="shared" si="28"/>
        <v>-0.24918884302473998</v>
      </c>
    </row>
    <row r="38" spans="2:50" x14ac:dyDescent="0.2">
      <c r="B38" s="185">
        <v>2</v>
      </c>
      <c r="C38" s="297" t="s">
        <v>12</v>
      </c>
      <c r="D38" s="188">
        <f>Scenario!AL45</f>
        <v>0.12325892229755643</v>
      </c>
      <c r="E38" s="188">
        <f>Scenario!AM45</f>
        <v>0.30957728657820022</v>
      </c>
      <c r="F38" s="188">
        <f>Scenario!AN45</f>
        <v>0.58583287860453281</v>
      </c>
      <c r="G38" s="188">
        <f>Scenario!AO45</f>
        <v>1.108608985651083</v>
      </c>
      <c r="H38" s="294">
        <f>Scenario!AP45</f>
        <v>2.7843839233444045</v>
      </c>
      <c r="I38" s="191">
        <f>IF(D38+'Non-travel METs'!D39&gt;2.5, D38+'Non-travel METs'!D39, 0.1)</f>
        <v>0.1</v>
      </c>
      <c r="J38" s="191">
        <f>IF(E38+'Non-travel METs'!E39&gt;2.5, E38+'Non-travel METs'!E39, 0.1)</f>
        <v>0.1</v>
      </c>
      <c r="K38" s="191">
        <f>IF(F38+'Non-travel METs'!F39&gt;2.5, F38+'Non-travel METs'!F39, 0.1)</f>
        <v>0.1</v>
      </c>
      <c r="L38" s="191">
        <f>IF(G38+'Non-travel METs'!G39&gt;2.5, G38+'Non-travel METs'!G39, 0.1)</f>
        <v>0.1</v>
      </c>
      <c r="M38" s="196">
        <f>IF(H38+'Non-travel METs'!H39&gt;2.5, H38+'Non-travel METs'!H39, 0.1)</f>
        <v>3.2843839233444045</v>
      </c>
      <c r="N38" s="241">
        <f>'Phy activity RRs'!$F$5</f>
        <v>0.97319906938028322</v>
      </c>
      <c r="O38" s="187">
        <f t="shared" si="17"/>
        <v>0.99144595491037002</v>
      </c>
      <c r="P38" s="187">
        <f t="shared" si="11"/>
        <v>0.99144595491037002</v>
      </c>
      <c r="Q38" s="187">
        <f t="shared" si="11"/>
        <v>0.99144595491037002</v>
      </c>
      <c r="R38" s="187">
        <f t="shared" si="11"/>
        <v>0.99144595491037002</v>
      </c>
      <c r="S38" s="265">
        <f t="shared" si="11"/>
        <v>0.95195861360646694</v>
      </c>
      <c r="T38" s="269">
        <f t="shared" si="18"/>
        <v>1</v>
      </c>
      <c r="U38" s="269">
        <f t="shared" si="12"/>
        <v>1</v>
      </c>
      <c r="V38" s="269">
        <f t="shared" si="12"/>
        <v>1</v>
      </c>
      <c r="W38" s="269">
        <f t="shared" si="12"/>
        <v>1</v>
      </c>
      <c r="X38" s="300">
        <f t="shared" si="12"/>
        <v>0.9981199570831023</v>
      </c>
      <c r="Y38" s="269">
        <f t="shared" si="19"/>
        <v>1</v>
      </c>
      <c r="Z38" s="269">
        <f t="shared" si="13"/>
        <v>1</v>
      </c>
      <c r="AA38" s="269">
        <f t="shared" si="13"/>
        <v>1</v>
      </c>
      <c r="AB38" s="269">
        <f t="shared" si="13"/>
        <v>1</v>
      </c>
      <c r="AC38" s="300">
        <f t="shared" si="13"/>
        <v>0.96017196791380033</v>
      </c>
      <c r="AD38" s="333">
        <f t="shared" si="20"/>
        <v>3.7600858337949461E-4</v>
      </c>
      <c r="AE38" s="306">
        <f t="shared" si="21"/>
        <v>0.99962399141662051</v>
      </c>
      <c r="AF38" s="187">
        <f>AE38*GBDUS!K21/(Y38+Z38+AA38+AB38+AC38)</f>
        <v>2.2168311858364014</v>
      </c>
      <c r="AG38" s="187">
        <f t="shared" si="22"/>
        <v>2.2168311858364014</v>
      </c>
      <c r="AH38" s="187">
        <f t="shared" si="14"/>
        <v>2.2168311858364014</v>
      </c>
      <c r="AI38" s="187">
        <f t="shared" si="14"/>
        <v>2.2168311858364014</v>
      </c>
      <c r="AJ38" s="265">
        <f t="shared" si="14"/>
        <v>2.1285391622372209</v>
      </c>
      <c r="AK38" s="274">
        <f>AE38*GBDUS!L21/(Y38+Z38+AA38+AB38+AC38)</f>
        <v>32.748161573377303</v>
      </c>
      <c r="AL38" s="274">
        <f t="shared" si="23"/>
        <v>32.748161573377303</v>
      </c>
      <c r="AM38" s="274">
        <f t="shared" si="15"/>
        <v>32.748161573377303</v>
      </c>
      <c r="AN38" s="274">
        <f t="shared" si="15"/>
        <v>32.748161573377303</v>
      </c>
      <c r="AO38" s="276">
        <f t="shared" si="15"/>
        <v>31.443866743468782</v>
      </c>
      <c r="AP38" s="274">
        <f>AE38*GBDUS!M21/(Y38+Z38+AA38+AB38+AC38)</f>
        <v>9.220179182192723</v>
      </c>
      <c r="AQ38" s="274">
        <f t="shared" si="24"/>
        <v>9.220179182192723</v>
      </c>
      <c r="AR38" s="274">
        <f t="shared" si="16"/>
        <v>9.220179182192723</v>
      </c>
      <c r="AS38" s="274">
        <f t="shared" si="16"/>
        <v>9.220179182192723</v>
      </c>
      <c r="AT38" s="276">
        <f t="shared" si="16"/>
        <v>8.8529575898838413</v>
      </c>
      <c r="AU38" s="235">
        <f t="shared" si="25"/>
        <v>-4.1360944171735525E-3</v>
      </c>
      <c r="AV38" s="234">
        <f t="shared" si="26"/>
        <v>-6.1100497467634796E-2</v>
      </c>
      <c r="AW38" s="235">
        <f t="shared" si="27"/>
        <v>-1.7202722464602971E-2</v>
      </c>
      <c r="AX38" s="235">
        <f t="shared" si="28"/>
        <v>-7.8303219932237766E-2</v>
      </c>
    </row>
    <row r="39" spans="2:50" x14ac:dyDescent="0.2">
      <c r="B39" s="292">
        <v>2</v>
      </c>
      <c r="C39" s="298" t="s">
        <v>13</v>
      </c>
      <c r="D39" s="293">
        <f>Scenario!AL46</f>
        <v>0.15235482657642674</v>
      </c>
      <c r="E39" s="293">
        <f>Scenario!AM46</f>
        <v>0.38265460162600734</v>
      </c>
      <c r="F39" s="293">
        <f>Scenario!AN46</f>
        <v>0.72412175085463892</v>
      </c>
      <c r="G39" s="293">
        <f>Scenario!AO46</f>
        <v>1.3703018540288463</v>
      </c>
      <c r="H39" s="295">
        <f>Scenario!AP46</f>
        <v>3.4416521080659925</v>
      </c>
      <c r="I39" s="201">
        <f>IF(D39+'Non-travel METs'!D40&gt;2.5, D39+'Non-travel METs'!D40, 0.1)</f>
        <v>0.1</v>
      </c>
      <c r="J39" s="201">
        <f>IF(E39+'Non-travel METs'!E40&gt;2.5, E39+'Non-travel METs'!E40, 0.1)</f>
        <v>0.1</v>
      </c>
      <c r="K39" s="201">
        <f>IF(F39+'Non-travel METs'!F40&gt;2.5, F39+'Non-travel METs'!F40, 0.1)</f>
        <v>0.1</v>
      </c>
      <c r="L39" s="201">
        <f>IF(G39+'Non-travel METs'!G40&gt;2.5, G39+'Non-travel METs'!G40, 0.1)</f>
        <v>0.1</v>
      </c>
      <c r="M39" s="202">
        <f>IF(H39+'Non-travel METs'!H40&gt;2.5, H39+'Non-travel METs'!H40, 0.1)</f>
        <v>3.524985441399326</v>
      </c>
      <c r="N39" s="242">
        <f>'Phy activity RRs'!$F$5</f>
        <v>0.97319906938028322</v>
      </c>
      <c r="O39" s="266">
        <f t="shared" si="17"/>
        <v>0.99144595491037002</v>
      </c>
      <c r="P39" s="267">
        <f t="shared" si="11"/>
        <v>0.99144595491037002</v>
      </c>
      <c r="Q39" s="267">
        <f t="shared" si="11"/>
        <v>0.99144595491037002</v>
      </c>
      <c r="R39" s="267">
        <f t="shared" si="11"/>
        <v>0.99144595491037002</v>
      </c>
      <c r="S39" s="268">
        <f t="shared" si="11"/>
        <v>0.9502737418151479</v>
      </c>
      <c r="T39" s="301">
        <f t="shared" si="18"/>
        <v>1</v>
      </c>
      <c r="U39" s="302">
        <f t="shared" si="12"/>
        <v>1</v>
      </c>
      <c r="V39" s="302">
        <f t="shared" si="12"/>
        <v>1</v>
      </c>
      <c r="W39" s="302">
        <f t="shared" si="12"/>
        <v>1</v>
      </c>
      <c r="X39" s="303">
        <f t="shared" si="12"/>
        <v>0.99775048660079535</v>
      </c>
      <c r="Y39" s="301">
        <f t="shared" si="19"/>
        <v>1</v>
      </c>
      <c r="Z39" s="302">
        <f t="shared" si="13"/>
        <v>1</v>
      </c>
      <c r="AA39" s="302">
        <f t="shared" si="13"/>
        <v>1</v>
      </c>
      <c r="AB39" s="302">
        <f t="shared" si="13"/>
        <v>1</v>
      </c>
      <c r="AC39" s="303">
        <f t="shared" si="13"/>
        <v>0.95847255930461261</v>
      </c>
      <c r="AD39" s="333">
        <f t="shared" si="20"/>
        <v>4.4990267984097444E-4</v>
      </c>
      <c r="AE39" s="307">
        <f t="shared" si="21"/>
        <v>0.99955009732015898</v>
      </c>
      <c r="AF39" s="266">
        <f>AE39*GBDUS!K22/(Y39+Z39+AA39+AB39+AC39)</f>
        <v>5.2411911570543799</v>
      </c>
      <c r="AG39" s="267">
        <f t="shared" si="22"/>
        <v>5.2411911570543799</v>
      </c>
      <c r="AH39" s="267">
        <f t="shared" si="14"/>
        <v>5.2411911570543799</v>
      </c>
      <c r="AI39" s="267">
        <f t="shared" si="14"/>
        <v>5.2411911570543799</v>
      </c>
      <c r="AJ39" s="268">
        <f t="shared" si="14"/>
        <v>5.0235379021066153</v>
      </c>
      <c r="AK39" s="277">
        <f>AE39*GBDUS!L22/(Y39+Z39+AA39+AB39+AC39)</f>
        <v>28.698594386828645</v>
      </c>
      <c r="AL39" s="278">
        <f t="shared" si="23"/>
        <v>28.698594386828645</v>
      </c>
      <c r="AM39" s="278">
        <f t="shared" si="15"/>
        <v>28.698594386828645</v>
      </c>
      <c r="AN39" s="278">
        <f t="shared" si="15"/>
        <v>28.698594386828645</v>
      </c>
      <c r="AO39" s="279">
        <f t="shared" si="15"/>
        <v>27.506815210388641</v>
      </c>
      <c r="AP39" s="278">
        <f>AE39*GBDUS!M22/(Y39+Z39+AA39+AB39+AC39)</f>
        <v>16.365284590077252</v>
      </c>
      <c r="AQ39" s="278">
        <f t="shared" si="24"/>
        <v>16.365284590077252</v>
      </c>
      <c r="AR39" s="278">
        <f t="shared" si="16"/>
        <v>16.365284590077252</v>
      </c>
      <c r="AS39" s="278">
        <f t="shared" si="16"/>
        <v>16.365284590077252</v>
      </c>
      <c r="AT39" s="279">
        <f t="shared" si="16"/>
        <v>15.685676204799682</v>
      </c>
      <c r="AU39" s="260">
        <f t="shared" si="25"/>
        <v>-1.1697469675866046E-2</v>
      </c>
      <c r="AV39" s="238">
        <f t="shared" si="26"/>
        <v>-6.4050504459856938E-2</v>
      </c>
      <c r="AW39" s="237">
        <f t="shared" si="27"/>
        <v>-3.6524601849663441E-2</v>
      </c>
      <c r="AX39" s="237">
        <f t="shared" si="28"/>
        <v>-0.10057510630952038</v>
      </c>
    </row>
    <row r="40" spans="2:50" x14ac:dyDescent="0.2">
      <c r="AD40" s="261"/>
      <c r="AT40" s="309" t="s">
        <v>41</v>
      </c>
      <c r="AU40" s="235">
        <f>SUM(AU24:AU39)</f>
        <v>-3.3172562240387116E-2</v>
      </c>
      <c r="AV40" s="234">
        <f>SUM(AV24:AV39)</f>
        <v>-0.64894221154886722</v>
      </c>
      <c r="AW40" s="235">
        <f>SUM(AW24:AW39)</f>
        <v>-0.1241282346776571</v>
      </c>
      <c r="AX40" s="235">
        <f>SUM(AX24:AX39)</f>
        <v>-0.77307044622652432</v>
      </c>
    </row>
    <row r="41" spans="2:50" x14ac:dyDescent="0.2">
      <c r="AD41" s="332"/>
      <c r="AT41" s="309" t="s">
        <v>50</v>
      </c>
      <c r="AU41" s="330">
        <f>AU40/GBDUS!K23</f>
        <v>-4.1990585114414072E-4</v>
      </c>
      <c r="AV41" s="330">
        <f>AV40/GBDUS!L23</f>
        <v>-3.9209991180692161E-4</v>
      </c>
      <c r="AW41" s="330">
        <f>AW40/GBDUS!M23</f>
        <v>-4.1464617695703682E-4</v>
      </c>
      <c r="AX41" s="330">
        <f>AX40/GBDUS!N23</f>
        <v>-3.9555336469521292E-4</v>
      </c>
    </row>
    <row r="42" spans="2:50" x14ac:dyDescent="0.2">
      <c r="O42" s="187"/>
      <c r="P42" s="187"/>
      <c r="Q42" s="187"/>
      <c r="R42" s="187"/>
      <c r="S42" s="187"/>
      <c r="U42" s="335"/>
      <c r="AD42" s="332"/>
    </row>
    <row r="43" spans="2:50" x14ac:dyDescent="0.2">
      <c r="AD43" s="332"/>
    </row>
    <row r="44" spans="2:50" x14ac:dyDescent="0.2">
      <c r="O44" s="187"/>
      <c r="P44" s="187"/>
      <c r="Q44" s="187"/>
      <c r="R44" s="187"/>
      <c r="S44" s="187"/>
      <c r="U44" s="187"/>
      <c r="V44" s="334"/>
      <c r="W44" s="334"/>
      <c r="X44" s="334"/>
      <c r="Y44" s="334"/>
      <c r="AD44" s="332"/>
    </row>
    <row r="45" spans="2:50" x14ac:dyDescent="0.2">
      <c r="U45" s="335"/>
      <c r="AD45" s="332"/>
    </row>
    <row r="46" spans="2:50" x14ac:dyDescent="0.2">
      <c r="AD46" s="332"/>
    </row>
    <row r="47" spans="2:50" x14ac:dyDescent="0.2">
      <c r="AD47" s="332"/>
    </row>
    <row r="48" spans="2:50" x14ac:dyDescent="0.2">
      <c r="AD48" s="332"/>
    </row>
  </sheetData>
  <mergeCells count="12">
    <mergeCell ref="AU4:AX4"/>
    <mergeCell ref="D4:H4"/>
    <mergeCell ref="I4:M4"/>
    <mergeCell ref="N4:N5"/>
    <mergeCell ref="O4:S4"/>
    <mergeCell ref="AD4:AD5"/>
    <mergeCell ref="AE4:AE5"/>
    <mergeCell ref="AF4:AJ4"/>
    <mergeCell ref="AK4:AO4"/>
    <mergeCell ref="AP4:AT4"/>
    <mergeCell ref="T4:X4"/>
    <mergeCell ref="Y4:AC4"/>
  </mergeCells>
  <pageMargins left="0.7" right="0.7" top="0.75" bottom="0.75" header="0.3" footer="0.3"/>
  <pageSetup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00B050"/>
  </sheetPr>
  <dimension ref="B2:BJ48"/>
  <sheetViews>
    <sheetView showGridLines="0" workbookViewId="0"/>
  </sheetViews>
  <sheetFormatPr defaultRowHeight="12.75" x14ac:dyDescent="0.2"/>
  <cols>
    <col min="1" max="1" width="5" style="4" customWidth="1"/>
    <col min="2" max="2" width="8.7109375" style="4" customWidth="1"/>
    <col min="3" max="3" width="6.140625" style="4" bestFit="1" customWidth="1"/>
    <col min="4" max="6" width="3.5703125" style="4" bestFit="1" customWidth="1"/>
    <col min="7" max="7" width="4.5703125" style="4" customWidth="1"/>
    <col min="8" max="13" width="4.5703125" style="4" bestFit="1" customWidth="1"/>
    <col min="14" max="14" width="6.28515625" style="4" customWidth="1"/>
    <col min="15" max="20" width="4.5703125" style="4" bestFit="1" customWidth="1"/>
    <col min="21" max="21" width="5.7109375" style="4" customWidth="1"/>
    <col min="22" max="24" width="7.5703125" style="4" bestFit="1" customWidth="1"/>
    <col min="25" max="25" width="6.42578125" style="4" customWidth="1"/>
    <col min="26" max="26" width="5.5703125" style="4" customWidth="1"/>
    <col min="27" max="27" width="5.28515625" style="4" customWidth="1"/>
    <col min="28" max="28" width="5.140625" style="4" customWidth="1"/>
    <col min="29" max="29" width="5.5703125" style="4" customWidth="1"/>
    <col min="30" max="30" width="7.28515625" style="4" customWidth="1"/>
    <col min="31" max="31" width="7.42578125" style="4" customWidth="1"/>
    <col min="32" max="36" width="4.5703125" style="4" bestFit="1" customWidth="1"/>
    <col min="37" max="46" width="5.5703125" style="4" bestFit="1" customWidth="1"/>
    <col min="47" max="47" width="8.85546875" style="4" bestFit="1" customWidth="1"/>
    <col min="48" max="48" width="6.140625" style="4" bestFit="1" customWidth="1"/>
    <col min="49" max="49" width="6.5703125" style="4" bestFit="1" customWidth="1"/>
    <col min="50" max="50" width="7.42578125" style="4" bestFit="1" customWidth="1"/>
    <col min="51" max="16384" width="9.140625" style="4"/>
  </cols>
  <sheetData>
    <row r="2" spans="2:62" x14ac:dyDescent="0.2">
      <c r="B2" s="56" t="s">
        <v>176</v>
      </c>
    </row>
    <row r="3" spans="2:62" ht="12.75" customHeight="1" x14ac:dyDescent="0.2">
      <c r="U3" s="708"/>
      <c r="V3" s="708"/>
      <c r="W3" s="708"/>
      <c r="X3" s="708"/>
      <c r="Y3" s="186"/>
      <c r="Z3" s="712"/>
      <c r="AA3" s="712"/>
      <c r="AB3" s="712"/>
      <c r="AC3" s="712"/>
    </row>
    <row r="4" spans="2:62" ht="12.75" customHeight="1" x14ac:dyDescent="0.2">
      <c r="B4" s="189" t="s">
        <v>65</v>
      </c>
      <c r="C4" s="197"/>
      <c r="D4" s="673" t="s">
        <v>141</v>
      </c>
      <c r="E4" s="674"/>
      <c r="F4" s="674"/>
      <c r="G4" s="674"/>
      <c r="H4" s="675"/>
      <c r="I4" s="673" t="s">
        <v>142</v>
      </c>
      <c r="J4" s="674"/>
      <c r="K4" s="674"/>
      <c r="L4" s="674"/>
      <c r="M4" s="675"/>
      <c r="N4" s="676" t="s">
        <v>136</v>
      </c>
      <c r="O4" s="672" t="s">
        <v>163</v>
      </c>
      <c r="P4" s="671"/>
      <c r="Q4" s="671"/>
      <c r="R4" s="671"/>
      <c r="S4" s="678"/>
      <c r="T4" s="709" t="s">
        <v>132</v>
      </c>
      <c r="U4" s="671"/>
      <c r="V4" s="671"/>
      <c r="W4" s="671"/>
      <c r="X4" s="678"/>
      <c r="Y4" s="672" t="s">
        <v>166</v>
      </c>
      <c r="Z4" s="672"/>
      <c r="AA4" s="672"/>
      <c r="AB4" s="672"/>
      <c r="AC4" s="713"/>
      <c r="AD4" s="676" t="s">
        <v>2</v>
      </c>
      <c r="AE4" s="679" t="s">
        <v>165</v>
      </c>
      <c r="AF4" s="672" t="s">
        <v>164</v>
      </c>
      <c r="AG4" s="671"/>
      <c r="AH4" s="671"/>
      <c r="AI4" s="671"/>
      <c r="AJ4" s="678"/>
      <c r="AK4" s="671" t="s">
        <v>133</v>
      </c>
      <c r="AL4" s="671"/>
      <c r="AM4" s="671"/>
      <c r="AN4" s="671"/>
      <c r="AO4" s="678"/>
      <c r="AP4" s="681" t="s">
        <v>134</v>
      </c>
      <c r="AQ4" s="681"/>
      <c r="AR4" s="681"/>
      <c r="AS4" s="681"/>
      <c r="AT4" s="682"/>
      <c r="AU4" s="670" t="s">
        <v>135</v>
      </c>
      <c r="AV4" s="670"/>
      <c r="AW4" s="670"/>
      <c r="AX4" s="670"/>
      <c r="AY4" s="186"/>
      <c r="AZ4" s="186"/>
      <c r="BA4" s="186"/>
      <c r="BB4" s="186"/>
      <c r="BC4" s="186"/>
      <c r="BD4" s="186"/>
      <c r="BE4" s="186"/>
      <c r="BF4" s="186"/>
      <c r="BG4" s="186"/>
      <c r="BH4" s="186"/>
      <c r="BI4" s="186"/>
      <c r="BJ4" s="186"/>
    </row>
    <row r="5" spans="2:62" x14ac:dyDescent="0.2">
      <c r="B5" s="192" t="s">
        <v>1</v>
      </c>
      <c r="C5" s="198" t="s">
        <v>0</v>
      </c>
      <c r="D5" s="193">
        <v>1</v>
      </c>
      <c r="E5" s="193">
        <v>2</v>
      </c>
      <c r="F5" s="193">
        <v>3</v>
      </c>
      <c r="G5" s="193">
        <v>4</v>
      </c>
      <c r="H5" s="194">
        <v>5</v>
      </c>
      <c r="I5" s="193">
        <v>1</v>
      </c>
      <c r="J5" s="193">
        <v>2</v>
      </c>
      <c r="K5" s="193">
        <v>3</v>
      </c>
      <c r="L5" s="193">
        <v>4</v>
      </c>
      <c r="M5" s="194">
        <v>5</v>
      </c>
      <c r="N5" s="677"/>
      <c r="O5" s="236">
        <v>1</v>
      </c>
      <c r="P5" s="236">
        <v>2</v>
      </c>
      <c r="Q5" s="236">
        <v>3</v>
      </c>
      <c r="R5" s="236">
        <v>4</v>
      </c>
      <c r="S5" s="243">
        <v>5</v>
      </c>
      <c r="T5" s="254">
        <v>1</v>
      </c>
      <c r="U5" s="255">
        <v>2</v>
      </c>
      <c r="V5" s="255">
        <v>3</v>
      </c>
      <c r="W5" s="255">
        <v>4</v>
      </c>
      <c r="X5" s="256">
        <v>5</v>
      </c>
      <c r="Y5" s="255">
        <v>1</v>
      </c>
      <c r="Z5" s="255">
        <v>2</v>
      </c>
      <c r="AA5" s="255">
        <v>3</v>
      </c>
      <c r="AB5" s="255">
        <v>4</v>
      </c>
      <c r="AC5" s="256">
        <v>5</v>
      </c>
      <c r="AD5" s="676"/>
      <c r="AE5" s="680"/>
      <c r="AF5" s="254">
        <v>1</v>
      </c>
      <c r="AG5" s="255">
        <v>2</v>
      </c>
      <c r="AH5" s="255">
        <v>3</v>
      </c>
      <c r="AI5" s="255">
        <v>4</v>
      </c>
      <c r="AJ5" s="256">
        <v>5</v>
      </c>
      <c r="AK5" s="270">
        <v>1</v>
      </c>
      <c r="AL5" s="193">
        <v>2</v>
      </c>
      <c r="AM5" s="193">
        <v>3</v>
      </c>
      <c r="AN5" s="193">
        <v>4</v>
      </c>
      <c r="AO5" s="194">
        <v>5</v>
      </c>
      <c r="AP5" s="255">
        <v>1</v>
      </c>
      <c r="AQ5" s="255">
        <v>2</v>
      </c>
      <c r="AR5" s="255">
        <v>3</v>
      </c>
      <c r="AS5" s="255">
        <v>4</v>
      </c>
      <c r="AT5" s="256">
        <v>5</v>
      </c>
      <c r="AU5" s="271" t="s">
        <v>137</v>
      </c>
      <c r="AV5" s="255" t="s">
        <v>138</v>
      </c>
      <c r="AW5" s="255" t="s">
        <v>139</v>
      </c>
      <c r="AX5" s="255" t="s">
        <v>140</v>
      </c>
      <c r="AY5" s="186"/>
      <c r="AZ5" s="186"/>
      <c r="BA5" s="186"/>
      <c r="BB5" s="186"/>
      <c r="BC5" s="186"/>
      <c r="BD5" s="186"/>
      <c r="BE5" s="186"/>
      <c r="BF5" s="186"/>
      <c r="BG5" s="186"/>
      <c r="BH5" s="186"/>
      <c r="BI5" s="186"/>
      <c r="BJ5" s="186"/>
    </row>
    <row r="6" spans="2:62" x14ac:dyDescent="0.2">
      <c r="B6" s="190">
        <v>1</v>
      </c>
      <c r="C6" s="197" t="s">
        <v>6</v>
      </c>
      <c r="D6" s="191">
        <f>Baseline!AL31</f>
        <v>0.32584257613541145</v>
      </c>
      <c r="E6" s="191">
        <f>Baseline!AM31</f>
        <v>0.82008604845897226</v>
      </c>
      <c r="F6" s="191">
        <f>Baseline!AN31</f>
        <v>1.5541324044470577</v>
      </c>
      <c r="G6" s="191">
        <f>Baseline!AO31</f>
        <v>2.9452123165502546</v>
      </c>
      <c r="H6" s="195">
        <f>Baseline!AP31</f>
        <v>7.4125596452093143</v>
      </c>
      <c r="I6" s="191">
        <f>IF(D6+'Non-travel METs'!D6&gt;2.5, D6+'Non-travel METs'!D6, 0.1)</f>
        <v>0.1</v>
      </c>
      <c r="J6" s="191">
        <f>IF(E6+'Non-travel METs'!E6&gt;2.5, E6+'Non-travel METs'!E6, 0.1)</f>
        <v>0.1</v>
      </c>
      <c r="K6" s="191">
        <f>IF(F6+'Non-travel METs'!F6&gt;2.5, F6+'Non-travel METs'!F6, 0.1)</f>
        <v>0.1</v>
      </c>
      <c r="L6" s="191">
        <f>IF(G6+'Non-travel METs'!G6&gt;2.5, G6+'Non-travel METs'!G6, 0.1)</f>
        <v>2.9452123165502546</v>
      </c>
      <c r="M6" s="196">
        <f>IF(H6+'Non-travel METs'!H6&gt;2.5, H6+'Non-travel METs'!H6, 0.1)</f>
        <v>7.4125596452093143</v>
      </c>
      <c r="N6" s="241">
        <f>'Phy activity RRs'!$F$8</f>
        <v>0.93831941951583364</v>
      </c>
      <c r="O6" s="234">
        <f>$N6^(I6^0.5)</f>
        <v>0.98006871247951299</v>
      </c>
      <c r="P6" s="234">
        <f t="shared" ref="P6:S21" si="0">$N6^(J6^0.5)</f>
        <v>0.98006871247951299</v>
      </c>
      <c r="Q6" s="234">
        <f t="shared" si="0"/>
        <v>0.98006871247951299</v>
      </c>
      <c r="R6" s="234">
        <f t="shared" si="0"/>
        <v>0.8964980049879544</v>
      </c>
      <c r="S6" s="244">
        <f t="shared" si="0"/>
        <v>0.84085668880842446</v>
      </c>
      <c r="T6" s="248"/>
      <c r="U6" s="248"/>
      <c r="V6" s="248"/>
      <c r="W6" s="248"/>
      <c r="X6" s="249"/>
      <c r="Y6" s="235">
        <f>O6/$O6</f>
        <v>1</v>
      </c>
      <c r="Z6" s="235">
        <f t="shared" ref="Z6:AC21" si="1">P6/$O6</f>
        <v>1</v>
      </c>
      <c r="AA6" s="235">
        <f t="shared" si="1"/>
        <v>1</v>
      </c>
      <c r="AB6" s="235">
        <f t="shared" si="1"/>
        <v>0.91472974657039108</v>
      </c>
      <c r="AC6" s="259">
        <f t="shared" si="1"/>
        <v>0.85795687394316389</v>
      </c>
      <c r="AD6" s="262"/>
      <c r="AE6" s="263"/>
      <c r="AF6" s="188">
        <f>GBDUS!K41/(Y6+Z6+AA6+AB6+AC6)</f>
        <v>0</v>
      </c>
      <c r="AG6" s="188">
        <f>$AF6*Z6</f>
        <v>0</v>
      </c>
      <c r="AH6" s="188">
        <f t="shared" ref="AH6:AJ21" si="2">$AF6*AA6</f>
        <v>0</v>
      </c>
      <c r="AI6" s="188">
        <f t="shared" si="2"/>
        <v>0</v>
      </c>
      <c r="AJ6" s="294">
        <f t="shared" si="2"/>
        <v>0</v>
      </c>
      <c r="AK6" s="274">
        <f>GBDUS!L41/(Y6+Z6+AA6+AB6+AC6)</f>
        <v>5.4350510954969993</v>
      </c>
      <c r="AL6" s="274">
        <f>$AK6*Z6</f>
        <v>5.4350510954969993</v>
      </c>
      <c r="AM6" s="274">
        <f t="shared" ref="AM6:AO21" si="3">$AK6*AA6</f>
        <v>5.4350510954969993</v>
      </c>
      <c r="AN6" s="274">
        <f t="shared" si="3"/>
        <v>4.9716029111810967</v>
      </c>
      <c r="AO6" s="276">
        <f t="shared" si="3"/>
        <v>4.6630394476139738</v>
      </c>
      <c r="AP6" s="274">
        <f>GBDUS!M41/(Y6+Z6+AA6+AB6+AC6)</f>
        <v>4.7959027302786554E-2</v>
      </c>
      <c r="AQ6" s="274">
        <f>$AP6*Z6</f>
        <v>4.7959027302786554E-2</v>
      </c>
      <c r="AR6" s="274">
        <f t="shared" ref="AR6:AT21" si="4">$AP6*AA6</f>
        <v>4.7959027302786554E-2</v>
      </c>
      <c r="AS6" s="274">
        <f t="shared" si="4"/>
        <v>4.386954889044041E-2</v>
      </c>
      <c r="AT6" s="275">
        <f t="shared" si="4"/>
        <v>4.11467771420536E-2</v>
      </c>
      <c r="AU6" s="272"/>
      <c r="AV6" s="272"/>
      <c r="AW6" s="272"/>
      <c r="AX6" s="272"/>
    </row>
    <row r="7" spans="2:62" x14ac:dyDescent="0.2">
      <c r="B7" s="190">
        <v>1</v>
      </c>
      <c r="C7" s="197" t="s">
        <v>7</v>
      </c>
      <c r="D7" s="191">
        <f>Baseline!AL32</f>
        <v>0.6753691820387282</v>
      </c>
      <c r="E7" s="191">
        <f>Baseline!AM32</f>
        <v>1.6997804593802961</v>
      </c>
      <c r="F7" s="191">
        <f>Baseline!AN32</f>
        <v>3.221227695962912</v>
      </c>
      <c r="G7" s="191">
        <f>Baseline!AO32</f>
        <v>6.1044988557060549</v>
      </c>
      <c r="H7" s="196">
        <f>Baseline!AP32</f>
        <v>15.363904876316242</v>
      </c>
      <c r="I7" s="191">
        <f>IF(D7+'Non-travel METs'!D7&gt;2.5, D7+'Non-travel METs'!D7, 0.1)</f>
        <v>0.1</v>
      </c>
      <c r="J7" s="191">
        <f>IF(E7+'Non-travel METs'!E7&gt;2.5, E7+'Non-travel METs'!E7, 0.1)</f>
        <v>0.1</v>
      </c>
      <c r="K7" s="191">
        <f>IF(F7+'Non-travel METs'!F7&gt;2.5, F7+'Non-travel METs'!F7, 0.1)</f>
        <v>3.221227695962912</v>
      </c>
      <c r="L7" s="191">
        <f>IF(G7+'Non-travel METs'!G7&gt;2.5, G7+'Non-travel METs'!G7, 0.1)</f>
        <v>6.1044988557060549</v>
      </c>
      <c r="M7" s="196">
        <f>IF(H7+'Non-travel METs'!H7&gt;2.5, H7+'Non-travel METs'!H7, 0.1)</f>
        <v>15.363904876316242</v>
      </c>
      <c r="N7" s="241">
        <f>'Phy activity RRs'!$F$8</f>
        <v>0.93831941951583364</v>
      </c>
      <c r="O7" s="234">
        <f t="shared" ref="O7:O13" si="5">$N7^(I7^0.5)</f>
        <v>0.98006871247951299</v>
      </c>
      <c r="P7" s="234">
        <f t="shared" si="0"/>
        <v>0.98006871247951299</v>
      </c>
      <c r="Q7" s="234">
        <f t="shared" si="0"/>
        <v>0.89202218534918565</v>
      </c>
      <c r="R7" s="234">
        <f t="shared" si="0"/>
        <v>0.85444891072026297</v>
      </c>
      <c r="S7" s="244">
        <f t="shared" si="0"/>
        <v>0.77915446173468561</v>
      </c>
      <c r="T7" s="248"/>
      <c r="U7" s="248"/>
      <c r="V7" s="248"/>
      <c r="W7" s="248"/>
      <c r="X7" s="249"/>
      <c r="Y7" s="235">
        <f t="shared" ref="Y7:Y21" si="6">O7/$O7</f>
        <v>1</v>
      </c>
      <c r="Z7" s="235">
        <f t="shared" si="1"/>
        <v>1</v>
      </c>
      <c r="AA7" s="235">
        <f t="shared" si="1"/>
        <v>0.91016290387683629</v>
      </c>
      <c r="AB7" s="235">
        <f t="shared" si="1"/>
        <v>0.871825515742218</v>
      </c>
      <c r="AC7" s="246">
        <f t="shared" si="1"/>
        <v>0.79499983196430501</v>
      </c>
      <c r="AD7" s="263"/>
      <c r="AE7" s="263"/>
      <c r="AF7" s="188">
        <f>GBDUS!K42/(Y7+Z7+AA7+AB7+AC7)</f>
        <v>0</v>
      </c>
      <c r="AG7" s="188">
        <f t="shared" ref="AG7:AG21" si="7">$AF7*Z7</f>
        <v>0</v>
      </c>
      <c r="AH7" s="188">
        <f t="shared" si="2"/>
        <v>0</v>
      </c>
      <c r="AI7" s="188">
        <f t="shared" si="2"/>
        <v>0</v>
      </c>
      <c r="AJ7" s="294">
        <f t="shared" si="2"/>
        <v>0</v>
      </c>
      <c r="AK7" s="274">
        <f>GBDUS!L42/(Y7+Z7+AA7+AB7+AC7)</f>
        <v>2.7358649240940034</v>
      </c>
      <c r="AL7" s="274">
        <f t="shared" ref="AL7:AL21" si="8">$AK7*Z7</f>
        <v>2.7358649240940034</v>
      </c>
      <c r="AM7" s="274">
        <f t="shared" si="3"/>
        <v>2.4900827639281786</v>
      </c>
      <c r="AN7" s="274">
        <f t="shared" si="3"/>
        <v>2.3851968484492985</v>
      </c>
      <c r="AO7" s="276">
        <f t="shared" si="3"/>
        <v>2.1750121549317689</v>
      </c>
      <c r="AP7" s="274">
        <f>GBDUS!M42/(Y7+Z7+AA7+AB7+AC7)</f>
        <v>0.19828736925197268</v>
      </c>
      <c r="AQ7" s="274">
        <f t="shared" ref="AQ7:AQ21" si="9">$AP7*Z7</f>
        <v>0.19828736925197268</v>
      </c>
      <c r="AR7" s="274">
        <f t="shared" si="4"/>
        <v>0.18047380780047395</v>
      </c>
      <c r="AS7" s="274">
        <f t="shared" si="4"/>
        <v>0.17287198796326869</v>
      </c>
      <c r="AT7" s="276">
        <f t="shared" si="4"/>
        <v>0.15763842523596239</v>
      </c>
      <c r="AU7" s="272"/>
      <c r="AV7" s="272"/>
      <c r="AW7" s="272"/>
      <c r="AX7" s="272"/>
    </row>
    <row r="8" spans="2:62" x14ac:dyDescent="0.2">
      <c r="B8" s="190">
        <v>1</v>
      </c>
      <c r="C8" s="197" t="s">
        <v>8</v>
      </c>
      <c r="D8" s="191">
        <f>Baseline!AL33</f>
        <v>0.52336012682040156</v>
      </c>
      <c r="E8" s="191">
        <f>Baseline!AM33</f>
        <v>1.3172015253978522</v>
      </c>
      <c r="F8" s="191">
        <f>Baseline!AN33</f>
        <v>2.4962082669917658</v>
      </c>
      <c r="G8" s="191">
        <f>Baseline!AO33</f>
        <v>4.7305257335744315</v>
      </c>
      <c r="H8" s="196">
        <f>Baseline!AP33</f>
        <v>11.90586632966081</v>
      </c>
      <c r="I8" s="191">
        <f>IF(D8+'Non-travel METs'!D8&gt;2.5, D8+'Non-travel METs'!D8, 0.1)</f>
        <v>65.400860126820405</v>
      </c>
      <c r="J8" s="191">
        <f>IF(E8+'Non-travel METs'!E8&gt;2.5, E8+'Non-travel METs'!E8, 0.1)</f>
        <v>66.194701525397846</v>
      </c>
      <c r="K8" s="191">
        <f>IF(F8+'Non-travel METs'!F8&gt;2.5, F8+'Non-travel METs'!F8, 0.1)</f>
        <v>67.37370826699177</v>
      </c>
      <c r="L8" s="191">
        <f>IF(G8+'Non-travel METs'!G8&gt;2.5, G8+'Non-travel METs'!G8, 0.1)</f>
        <v>69.608025733574436</v>
      </c>
      <c r="M8" s="196">
        <f>IF(H8+'Non-travel METs'!H8&gt;2.5, H8+'Non-travel METs'!H8, 0.1)</f>
        <v>76.783366329660808</v>
      </c>
      <c r="N8" s="241">
        <f>'Phy activity RRs'!$F$8</f>
        <v>0.93831941951583364</v>
      </c>
      <c r="O8" s="234">
        <f t="shared" si="5"/>
        <v>0.59758259651916701</v>
      </c>
      <c r="P8" s="234">
        <f t="shared" si="0"/>
        <v>0.59572384432111802</v>
      </c>
      <c r="Q8" s="234">
        <f t="shared" si="0"/>
        <v>0.59299422862693774</v>
      </c>
      <c r="R8" s="234">
        <f t="shared" si="0"/>
        <v>0.58791966947121899</v>
      </c>
      <c r="S8" s="244">
        <f t="shared" si="0"/>
        <v>0.57242679766165838</v>
      </c>
      <c r="T8" s="248"/>
      <c r="U8" s="248"/>
      <c r="V8" s="248"/>
      <c r="W8" s="248"/>
      <c r="X8" s="249"/>
      <c r="Y8" s="235">
        <f t="shared" si="6"/>
        <v>1</v>
      </c>
      <c r="Z8" s="235">
        <f t="shared" si="1"/>
        <v>0.99688954763931226</v>
      </c>
      <c r="AA8" s="235">
        <f t="shared" si="1"/>
        <v>0.99232178460524811</v>
      </c>
      <c r="AB8" s="235">
        <f t="shared" si="1"/>
        <v>0.98382997245195358</v>
      </c>
      <c r="AC8" s="246">
        <f t="shared" si="1"/>
        <v>0.95790406379965287</v>
      </c>
      <c r="AD8" s="263"/>
      <c r="AE8" s="263"/>
      <c r="AF8" s="188">
        <f>GBDUS!K43/(Y8+Z8+AA8+AB8+AC8)</f>
        <v>0</v>
      </c>
      <c r="AG8" s="188">
        <f t="shared" si="7"/>
        <v>0</v>
      </c>
      <c r="AH8" s="188">
        <f t="shared" si="2"/>
        <v>0</v>
      </c>
      <c r="AI8" s="188">
        <f t="shared" si="2"/>
        <v>0</v>
      </c>
      <c r="AJ8" s="294">
        <f t="shared" si="2"/>
        <v>0</v>
      </c>
      <c r="AK8" s="274">
        <f>GBDUS!L43/(Y8+Z8+AA8+AB8+AC8)</f>
        <v>26.228250247032157</v>
      </c>
      <c r="AL8" s="274">
        <f t="shared" si="8"/>
        <v>26.146668524134569</v>
      </c>
      <c r="AM8" s="274">
        <f t="shared" si="3"/>
        <v>26.02686409220799</v>
      </c>
      <c r="AN8" s="274">
        <f t="shared" si="3"/>
        <v>25.804138718000591</v>
      </c>
      <c r="AO8" s="276">
        <f t="shared" si="3"/>
        <v>25.124147497986353</v>
      </c>
      <c r="AP8" s="274">
        <f>GBDUS!M43/(Y8+Z8+AA8+AB8+AC8)</f>
        <v>4.3275261673851624</v>
      </c>
      <c r="AQ8" s="274">
        <f t="shared" si="9"/>
        <v>4.3140656034018816</v>
      </c>
      <c r="AR8" s="274">
        <f t="shared" si="4"/>
        <v>4.2942984893455538</v>
      </c>
      <c r="AS8" s="274">
        <f t="shared" si="4"/>
        <v>4.2575499500436527</v>
      </c>
      <c r="AT8" s="276">
        <f t="shared" si="4"/>
        <v>4.1453549019375835</v>
      </c>
      <c r="AU8" s="272"/>
      <c r="AV8" s="272"/>
      <c r="AW8" s="272"/>
      <c r="AX8" s="272"/>
    </row>
    <row r="9" spans="2:62" x14ac:dyDescent="0.2">
      <c r="B9" s="190">
        <v>1</v>
      </c>
      <c r="C9" s="197" t="s">
        <v>9</v>
      </c>
      <c r="D9" s="191">
        <f>Baseline!AL34</f>
        <v>0.45100860513125557</v>
      </c>
      <c r="E9" s="191">
        <f>Baseline!AM34</f>
        <v>1.1351060048376795</v>
      </c>
      <c r="F9" s="191">
        <f>Baseline!AN34</f>
        <v>2.151121858389879</v>
      </c>
      <c r="G9" s="191">
        <f>Baseline!AO34</f>
        <v>4.0765578103909643</v>
      </c>
      <c r="H9" s="196">
        <f>Baseline!AP34</f>
        <v>10.259948916708694</v>
      </c>
      <c r="I9" s="191">
        <f>IF(D9+'Non-travel METs'!D9&gt;2.5, D9+'Non-travel METs'!D9, 0.1)</f>
        <v>68.144758605131244</v>
      </c>
      <c r="J9" s="191">
        <f>IF(E9+'Non-travel METs'!E9&gt;2.5, E9+'Non-travel METs'!E9, 0.1)</f>
        <v>68.828856004837675</v>
      </c>
      <c r="K9" s="191">
        <f>IF(F9+'Non-travel METs'!F9&gt;2.5, F9+'Non-travel METs'!F9, 0.1)</f>
        <v>69.84487185838988</v>
      </c>
      <c r="L9" s="191">
        <f>IF(G9+'Non-travel METs'!G9&gt;2.5, G9+'Non-travel METs'!G9, 0.1)</f>
        <v>71.77030781039096</v>
      </c>
      <c r="M9" s="196">
        <f>IF(H9+'Non-travel METs'!H9&gt;2.5, H9+'Non-travel METs'!H9, 0.1)</f>
        <v>77.953698916708689</v>
      </c>
      <c r="N9" s="241">
        <f>'Phy activity RRs'!$F$8</f>
        <v>0.93831941951583364</v>
      </c>
      <c r="O9" s="234">
        <f t="shared" si="5"/>
        <v>0.59122870652306114</v>
      </c>
      <c r="P9" s="234">
        <f t="shared" si="0"/>
        <v>0.58967499698038017</v>
      </c>
      <c r="Q9" s="234">
        <f t="shared" si="0"/>
        <v>0.58738907909120641</v>
      </c>
      <c r="R9" s="234">
        <f t="shared" si="0"/>
        <v>0.58312609119981818</v>
      </c>
      <c r="S9" s="244">
        <f t="shared" si="0"/>
        <v>0.57000743736764625</v>
      </c>
      <c r="T9" s="248"/>
      <c r="U9" s="248"/>
      <c r="V9" s="248"/>
      <c r="W9" s="248"/>
      <c r="X9" s="249"/>
      <c r="Y9" s="235">
        <f t="shared" si="6"/>
        <v>1</v>
      </c>
      <c r="Z9" s="235">
        <f t="shared" si="1"/>
        <v>0.99737206680673862</v>
      </c>
      <c r="AA9" s="235">
        <f t="shared" si="1"/>
        <v>0.99350568166008868</v>
      </c>
      <c r="AB9" s="235">
        <f t="shared" si="1"/>
        <v>0.98629529447091058</v>
      </c>
      <c r="AC9" s="246">
        <f t="shared" si="1"/>
        <v>0.96410649733127063</v>
      </c>
      <c r="AD9" s="263"/>
      <c r="AE9" s="263"/>
      <c r="AF9" s="188">
        <f>GBDUS!K44/(Y9+Z9+AA9+AB9+AC9)</f>
        <v>2.0237673093588202</v>
      </c>
      <c r="AG9" s="188">
        <f t="shared" si="7"/>
        <v>2.0184489840711191</v>
      </c>
      <c r="AH9" s="188">
        <f t="shared" si="2"/>
        <v>2.0106243202059382</v>
      </c>
      <c r="AI9" s="188">
        <f t="shared" si="2"/>
        <v>1.9960321743246601</v>
      </c>
      <c r="AJ9" s="294">
        <f t="shared" si="2"/>
        <v>1.951127212039462</v>
      </c>
      <c r="AK9" s="274">
        <f>GBDUS!L44/(Y9+Z9+AA9+AB9+AC9)</f>
        <v>94.070315231056881</v>
      </c>
      <c r="AL9" s="274">
        <f t="shared" si="8"/>
        <v>93.823104727160626</v>
      </c>
      <c r="AM9" s="274">
        <f t="shared" si="3"/>
        <v>93.459392657610593</v>
      </c>
      <c r="AN9" s="274">
        <f t="shared" si="3"/>
        <v>92.781109261786625</v>
      </c>
      <c r="AO9" s="276">
        <f t="shared" si="3"/>
        <v>90.693802120262731</v>
      </c>
      <c r="AP9" s="274">
        <f>GBDUS!M44/(Y9+Z9+AA9+AB9+AC9)</f>
        <v>9.5852368918639321</v>
      </c>
      <c r="AQ9" s="274">
        <f t="shared" si="9"/>
        <v>9.5600475296705287</v>
      </c>
      <c r="AR9" s="274">
        <f t="shared" si="4"/>
        <v>9.5229873121247053</v>
      </c>
      <c r="AS9" s="274">
        <f t="shared" si="4"/>
        <v>9.4538740428343733</v>
      </c>
      <c r="AT9" s="276">
        <f t="shared" si="4"/>
        <v>9.2411891659054106</v>
      </c>
      <c r="AU9" s="272"/>
      <c r="AV9" s="272"/>
      <c r="AW9" s="272"/>
      <c r="AX9" s="272"/>
    </row>
    <row r="10" spans="2:62" x14ac:dyDescent="0.2">
      <c r="B10" s="190">
        <v>1</v>
      </c>
      <c r="C10" s="197" t="s">
        <v>10</v>
      </c>
      <c r="D10" s="191">
        <f>Baseline!AL35</f>
        <v>0.38443114877047524</v>
      </c>
      <c r="E10" s="191">
        <f>Baseline!AM35</f>
        <v>0.96754274852254363</v>
      </c>
      <c r="F10" s="191">
        <f>Baseline!AN35</f>
        <v>1.8335753193122197</v>
      </c>
      <c r="G10" s="191">
        <f>Baseline!AO35</f>
        <v>3.4747802685976854</v>
      </c>
      <c r="H10" s="196">
        <f>Baseline!AP35</f>
        <v>8.7453851290239513</v>
      </c>
      <c r="I10" s="191">
        <f>IF(D10+'Non-travel METs'!D10&gt;2.5, D10+'Non-travel METs'!D10, 0.1)</f>
        <v>58.159431148770473</v>
      </c>
      <c r="J10" s="191">
        <f>IF(E10+'Non-travel METs'!E10&gt;2.5, E10+'Non-travel METs'!E10, 0.1)</f>
        <v>58.742542748522546</v>
      </c>
      <c r="K10" s="191">
        <f>IF(F10+'Non-travel METs'!F10&gt;2.5, F10+'Non-travel METs'!F10, 0.1)</f>
        <v>59.608575319312216</v>
      </c>
      <c r="L10" s="191">
        <f>IF(G10+'Non-travel METs'!G10&gt;2.5, G10+'Non-travel METs'!G10, 0.1)</f>
        <v>61.249780268597682</v>
      </c>
      <c r="M10" s="196">
        <f>IF(H10+'Non-travel METs'!H10&gt;2.5, H10+'Non-travel METs'!H10, 0.1)</f>
        <v>66.52038512902395</v>
      </c>
      <c r="N10" s="241">
        <f>'Phy activity RRs'!$F$8</f>
        <v>0.93831941951583364</v>
      </c>
      <c r="O10" s="234">
        <f t="shared" si="5"/>
        <v>0.61537525468755438</v>
      </c>
      <c r="P10" s="234">
        <f t="shared" si="0"/>
        <v>0.6138830108405543</v>
      </c>
      <c r="Q10" s="234">
        <f t="shared" si="0"/>
        <v>0.61168695510407034</v>
      </c>
      <c r="R10" s="234">
        <f t="shared" si="0"/>
        <v>0.60758972941533429</v>
      </c>
      <c r="S10" s="244">
        <f t="shared" si="0"/>
        <v>0.59496615793117014</v>
      </c>
      <c r="T10" s="248"/>
      <c r="U10" s="248"/>
      <c r="V10" s="248"/>
      <c r="W10" s="248"/>
      <c r="X10" s="249"/>
      <c r="Y10" s="235">
        <f t="shared" si="6"/>
        <v>1</v>
      </c>
      <c r="Z10" s="235">
        <f t="shared" si="1"/>
        <v>0.99757506686264508</v>
      </c>
      <c r="AA10" s="235">
        <f t="shared" si="1"/>
        <v>0.99400642200772804</v>
      </c>
      <c r="AB10" s="235">
        <f t="shared" si="1"/>
        <v>0.98734832898639535</v>
      </c>
      <c r="AC10" s="246">
        <f t="shared" si="1"/>
        <v>0.9668347132892976</v>
      </c>
      <c r="AD10" s="263"/>
      <c r="AE10" s="263"/>
      <c r="AF10" s="188">
        <f>GBDUS!K45/(Y10+Z10+AA10+AB10+AC10)</f>
        <v>17.793002365118269</v>
      </c>
      <c r="AG10" s="188">
        <f t="shared" si="7"/>
        <v>17.74985552407006</v>
      </c>
      <c r="AH10" s="188">
        <f t="shared" si="2"/>
        <v>17.686358617726253</v>
      </c>
      <c r="AI10" s="188">
        <f t="shared" si="2"/>
        <v>17.567891152850503</v>
      </c>
      <c r="AJ10" s="294">
        <f t="shared" si="2"/>
        <v>17.202892340234914</v>
      </c>
      <c r="AK10" s="274">
        <f>GBDUS!L45/(Y10+Z10+AA10+AB10+AC10)</f>
        <v>594.96007051557206</v>
      </c>
      <c r="AL10" s="274">
        <f t="shared" si="8"/>
        <v>593.51733212517581</v>
      </c>
      <c r="AM10" s="274">
        <f t="shared" si="3"/>
        <v>591.39413093064934</v>
      </c>
      <c r="AN10" s="274">
        <f t="shared" si="3"/>
        <v>587.43283143717804</v>
      </c>
      <c r="AO10" s="276">
        <f t="shared" si="3"/>
        <v>575.22804919550344</v>
      </c>
      <c r="AP10" s="274">
        <f>GBDUS!M45/(Y10+Z10+AA10+AB10+AC10)</f>
        <v>44.71441289812941</v>
      </c>
      <c r="AQ10" s="274">
        <f t="shared" si="9"/>
        <v>44.605983436575364</v>
      </c>
      <c r="AR10" s="274">
        <f t="shared" si="4"/>
        <v>44.446413577045817</v>
      </c>
      <c r="AS10" s="274">
        <f t="shared" si="4"/>
        <v>44.148700856575793</v>
      </c>
      <c r="AT10" s="276">
        <f t="shared" si="4"/>
        <v>43.231446574262222</v>
      </c>
      <c r="AU10" s="272"/>
      <c r="AV10" s="272"/>
      <c r="AW10" s="272"/>
      <c r="AX10" s="272"/>
    </row>
    <row r="11" spans="2:62" x14ac:dyDescent="0.2">
      <c r="B11" s="190">
        <v>1</v>
      </c>
      <c r="C11" s="197" t="s">
        <v>11</v>
      </c>
      <c r="D11" s="191">
        <f>Baseline!AL36</f>
        <v>0.31197165587745512</v>
      </c>
      <c r="E11" s="191">
        <f>Baseline!AM36</f>
        <v>0.78517548422960748</v>
      </c>
      <c r="F11" s="191">
        <f>Baseline!AN36</f>
        <v>1.4879739333593738</v>
      </c>
      <c r="G11" s="191">
        <f>Baseline!AO36</f>
        <v>2.8198364197900889</v>
      </c>
      <c r="H11" s="196">
        <f>Baseline!AP36</f>
        <v>7.0970114901293062</v>
      </c>
      <c r="I11" s="191">
        <f>IF(D11+'Non-travel METs'!D11&gt;2.5, D11+'Non-travel METs'!D11, 0.1)</f>
        <v>23.395304989210754</v>
      </c>
      <c r="J11" s="191">
        <f>IF(E11+'Non-travel METs'!E11&gt;2.5, E11+'Non-travel METs'!E11, 0.1)</f>
        <v>23.868508817562908</v>
      </c>
      <c r="K11" s="191">
        <f>IF(F11+'Non-travel METs'!F11&gt;2.5, F11+'Non-travel METs'!F11, 0.1)</f>
        <v>24.571307266692674</v>
      </c>
      <c r="L11" s="191">
        <f>IF(G11+'Non-travel METs'!G11&gt;2.5, G11+'Non-travel METs'!G11, 0.1)</f>
        <v>25.90316975312339</v>
      </c>
      <c r="M11" s="196">
        <f>IF(H11+'Non-travel METs'!H11&gt;2.5, H11+'Non-travel METs'!H11, 0.1)</f>
        <v>30.180344823462605</v>
      </c>
      <c r="N11" s="241">
        <f>'Phy activity RRs'!$F$8</f>
        <v>0.93831941951583364</v>
      </c>
      <c r="O11" s="234">
        <f t="shared" si="5"/>
        <v>0.73496045273331545</v>
      </c>
      <c r="P11" s="234">
        <f t="shared" si="0"/>
        <v>0.73268658421843813</v>
      </c>
      <c r="Q11" s="234">
        <f t="shared" si="0"/>
        <v>0.72936337862751111</v>
      </c>
      <c r="R11" s="234">
        <f t="shared" si="0"/>
        <v>0.72323340586695717</v>
      </c>
      <c r="S11" s="244">
        <f t="shared" si="0"/>
        <v>0.70486193786095708</v>
      </c>
      <c r="T11" s="248"/>
      <c r="U11" s="248"/>
      <c r="V11" s="248"/>
      <c r="W11" s="248"/>
      <c r="X11" s="249"/>
      <c r="Y11" s="235">
        <f t="shared" si="6"/>
        <v>1</v>
      </c>
      <c r="Z11" s="235">
        <f t="shared" si="1"/>
        <v>0.99690613487239921</v>
      </c>
      <c r="AA11" s="235">
        <f t="shared" si="1"/>
        <v>0.99238452343253458</v>
      </c>
      <c r="AB11" s="235">
        <f t="shared" si="1"/>
        <v>0.98404397566869695</v>
      </c>
      <c r="AC11" s="246">
        <f t="shared" si="1"/>
        <v>0.95904743614377874</v>
      </c>
      <c r="AD11" s="263"/>
      <c r="AE11" s="263"/>
      <c r="AF11" s="188">
        <f>GBDUS!K46/(Y11+Z11+AA11+AB11+AC11)</f>
        <v>19.868696018852251</v>
      </c>
      <c r="AG11" s="188">
        <f t="shared" si="7"/>
        <v>19.807224953108623</v>
      </c>
      <c r="AH11" s="188">
        <f t="shared" si="2"/>
        <v>19.717386429894589</v>
      </c>
      <c r="AI11" s="188">
        <f t="shared" si="2"/>
        <v>19.551670621744179</v>
      </c>
      <c r="AJ11" s="294">
        <f t="shared" si="2"/>
        <v>19.055021976400354</v>
      </c>
      <c r="AK11" s="274">
        <f>GBDUS!L46/(Y11+Z11+AA11+AB11+AC11)</f>
        <v>460.5754149175728</v>
      </c>
      <c r="AL11" s="274">
        <f t="shared" si="8"/>
        <v>459.15045670272906</v>
      </c>
      <c r="AM11" s="274">
        <f t="shared" si="3"/>
        <v>457.06791363771737</v>
      </c>
      <c r="AN11" s="274">
        <f t="shared" si="3"/>
        <v>453.226462390748</v>
      </c>
      <c r="AO11" s="276">
        <f t="shared" si="3"/>
        <v>441.71367082755529</v>
      </c>
      <c r="AP11" s="274">
        <f>GBDUS!M46/(Y11+Z11+AA11+AB11+AC11)</f>
        <v>39.177581599790472</v>
      </c>
      <c r="AQ11" s="274">
        <f t="shared" si="9"/>
        <v>39.056371446295145</v>
      </c>
      <c r="AR11" s="274">
        <f t="shared" si="4"/>
        <v>38.879225645147301</v>
      </c>
      <c r="AS11" s="274">
        <f t="shared" si="4"/>
        <v>38.5524631545426</v>
      </c>
      <c r="AT11" s="276">
        <f t="shared" si="4"/>
        <v>37.573159187592736</v>
      </c>
      <c r="AU11" s="272"/>
      <c r="AV11" s="272"/>
      <c r="AW11" s="272"/>
      <c r="AX11" s="272"/>
    </row>
    <row r="12" spans="2:62" x14ac:dyDescent="0.2">
      <c r="B12" s="190">
        <v>1</v>
      </c>
      <c r="C12" s="197" t="s">
        <v>12</v>
      </c>
      <c r="D12" s="191">
        <f>Baseline!AL37</f>
        <v>0.18042378449691091</v>
      </c>
      <c r="E12" s="191">
        <f>Baseline!AM37</f>
        <v>0.45409360013958189</v>
      </c>
      <c r="F12" s="191">
        <f>Baseline!AN37</f>
        <v>0.86054576828257767</v>
      </c>
      <c r="G12" s="191">
        <f>Baseline!AO37</f>
        <v>1.6308069945963135</v>
      </c>
      <c r="H12" s="196">
        <f>Baseline!AP37</f>
        <v>4.1044423348836867</v>
      </c>
      <c r="I12" s="191">
        <f>IF(D12+'Non-travel METs'!D12&gt;2.5, D12+'Non-travel METs'!D12, 0.1)</f>
        <v>0.1</v>
      </c>
      <c r="J12" s="191">
        <f>IF(E12+'Non-travel METs'!E12&gt;2.5, E12+'Non-travel METs'!E12, 0.1)</f>
        <v>0.1</v>
      </c>
      <c r="K12" s="191">
        <f>IF(F12+'Non-travel METs'!F12&gt;2.5, F12+'Non-travel METs'!F12, 0.1)</f>
        <v>2.7355457682825777</v>
      </c>
      <c r="L12" s="191">
        <f>IF(G12+'Non-travel METs'!G12&gt;2.5, G12+'Non-travel METs'!G12, 0.1)</f>
        <v>3.5058069945963135</v>
      </c>
      <c r="M12" s="196">
        <f>IF(H12+'Non-travel METs'!H12&gt;2.5, H12+'Non-travel METs'!H12, 0.1)</f>
        <v>5.9794423348836867</v>
      </c>
      <c r="N12" s="241">
        <f>'Phy activity RRs'!$F$8</f>
        <v>0.93831941951583364</v>
      </c>
      <c r="O12" s="234">
        <f t="shared" si="5"/>
        <v>0.98006871247951299</v>
      </c>
      <c r="P12" s="234">
        <f t="shared" si="0"/>
        <v>0.98006871247951299</v>
      </c>
      <c r="Q12" s="234">
        <f t="shared" si="0"/>
        <v>0.90005591071897872</v>
      </c>
      <c r="R12" s="234">
        <f t="shared" si="0"/>
        <v>0.88762599262431374</v>
      </c>
      <c r="S12" s="244">
        <f t="shared" si="0"/>
        <v>0.8558338490709263</v>
      </c>
      <c r="T12" s="248"/>
      <c r="U12" s="248"/>
      <c r="V12" s="248"/>
      <c r="W12" s="248"/>
      <c r="X12" s="249"/>
      <c r="Y12" s="235">
        <f t="shared" si="6"/>
        <v>1</v>
      </c>
      <c r="Z12" s="235">
        <f t="shared" si="1"/>
        <v>1</v>
      </c>
      <c r="AA12" s="235">
        <f t="shared" si="1"/>
        <v>0.91836000808748719</v>
      </c>
      <c r="AB12" s="235">
        <f t="shared" si="1"/>
        <v>0.90567730743967445</v>
      </c>
      <c r="AC12" s="246">
        <f t="shared" si="1"/>
        <v>0.87323861906143274</v>
      </c>
      <c r="AD12" s="263"/>
      <c r="AE12" s="263"/>
      <c r="AF12" s="188">
        <f>GBDUS!K47/(Y12+Z12+AA12+AB12+AC12)</f>
        <v>24.908053439753335</v>
      </c>
      <c r="AG12" s="188">
        <f t="shared" si="7"/>
        <v>24.908053439753335</v>
      </c>
      <c r="AH12" s="188">
        <f t="shared" si="2"/>
        <v>22.874560158375434</v>
      </c>
      <c r="AI12" s="188">
        <f t="shared" si="2"/>
        <v>22.558658772879323</v>
      </c>
      <c r="AJ12" s="294">
        <f t="shared" si="2"/>
        <v>21.750674189238573</v>
      </c>
      <c r="AK12" s="274">
        <f>GBDUS!L47/(Y12+Z12+AA12+AB12+AC12)</f>
        <v>363.87447187815604</v>
      </c>
      <c r="AL12" s="274">
        <f t="shared" si="8"/>
        <v>363.87447187815604</v>
      </c>
      <c r="AM12" s="274">
        <f t="shared" si="3"/>
        <v>334.16776293685353</v>
      </c>
      <c r="AN12" s="274">
        <f t="shared" si="3"/>
        <v>329.5528519366419</v>
      </c>
      <c r="AO12" s="276">
        <f t="shared" si="3"/>
        <v>317.7492413345891</v>
      </c>
      <c r="AP12" s="274">
        <f>GBDUS!M47/(Y12+Z12+AA12+AB12+AC12)</f>
        <v>32.425237144810737</v>
      </c>
      <c r="AQ12" s="274">
        <f t="shared" si="9"/>
        <v>32.425237144810737</v>
      </c>
      <c r="AR12" s="274">
        <f t="shared" si="4"/>
        <v>29.778041046547077</v>
      </c>
      <c r="AS12" s="274">
        <f t="shared" si="4"/>
        <v>29.366801470405104</v>
      </c>
      <c r="AT12" s="276">
        <f t="shared" si="4"/>
        <v>28.314969307074001</v>
      </c>
      <c r="AU12" s="272"/>
      <c r="AV12" s="272"/>
      <c r="AW12" s="272"/>
      <c r="AX12" s="272"/>
    </row>
    <row r="13" spans="2:62" x14ac:dyDescent="0.2">
      <c r="B13" s="199">
        <v>1</v>
      </c>
      <c r="C13" s="200" t="s">
        <v>13</v>
      </c>
      <c r="D13" s="201">
        <f>Baseline!AL38</f>
        <v>0.16596673213865387</v>
      </c>
      <c r="E13" s="201">
        <f>Baseline!AM38</f>
        <v>0.41770784883150103</v>
      </c>
      <c r="F13" s="201">
        <f>Baseline!AN38</f>
        <v>0.79159169294584864</v>
      </c>
      <c r="G13" s="201">
        <f>Baseline!AO38</f>
        <v>1.5001331914010683</v>
      </c>
      <c r="H13" s="202">
        <f>Baseline!AP38</f>
        <v>3.7755603202295913</v>
      </c>
      <c r="I13" s="203">
        <f>IF(D13+'Non-travel METs'!D13&gt;2.5, D13+'Non-travel METs'!D13, 0.1)</f>
        <v>0.1</v>
      </c>
      <c r="J13" s="201">
        <f>IF(E13+'Non-travel METs'!E13&gt;2.5, E13+'Non-travel METs'!E13, 0.1)</f>
        <v>0.1</v>
      </c>
      <c r="K13" s="201">
        <f>IF(F13+'Non-travel METs'!F13&gt;2.5, F13+'Non-travel METs'!F13, 0.1)</f>
        <v>0.1</v>
      </c>
      <c r="L13" s="201">
        <f>IF(G13+'Non-travel METs'!G13&gt;2.5, G13+'Non-travel METs'!G13, 0.1)</f>
        <v>0.1</v>
      </c>
      <c r="M13" s="202">
        <f>IF(H13+'Non-travel METs'!H13&gt;2.5, H13+'Non-travel METs'!H13, 0.1)</f>
        <v>4.1088936535629239</v>
      </c>
      <c r="N13" s="337">
        <f>'Phy activity RRs'!$F$8</f>
        <v>0.93831941951583364</v>
      </c>
      <c r="O13" s="238">
        <f t="shared" si="5"/>
        <v>0.98006871247951299</v>
      </c>
      <c r="P13" s="238">
        <f t="shared" si="0"/>
        <v>0.98006871247951299</v>
      </c>
      <c r="Q13" s="238">
        <f t="shared" si="0"/>
        <v>0.98006871247951299</v>
      </c>
      <c r="R13" s="238">
        <f t="shared" si="0"/>
        <v>0.98006871247951299</v>
      </c>
      <c r="S13" s="245">
        <f t="shared" si="0"/>
        <v>0.87892892135316147</v>
      </c>
      <c r="T13" s="248"/>
      <c r="U13" s="248"/>
      <c r="V13" s="248"/>
      <c r="W13" s="248"/>
      <c r="X13" s="249"/>
      <c r="Y13" s="260">
        <f t="shared" si="6"/>
        <v>1</v>
      </c>
      <c r="Z13" s="237">
        <f t="shared" si="1"/>
        <v>1</v>
      </c>
      <c r="AA13" s="237">
        <f t="shared" si="1"/>
        <v>1</v>
      </c>
      <c r="AB13" s="237">
        <f t="shared" si="1"/>
        <v>1</v>
      </c>
      <c r="AC13" s="247">
        <f t="shared" si="1"/>
        <v>0.89680336711241992</v>
      </c>
      <c r="AD13" s="263"/>
      <c r="AE13" s="263"/>
      <c r="AF13" s="188">
        <f>GBDUS!K48/(Y13+Z13+AA13+AB13+AC13)</f>
        <v>49.828425139293181</v>
      </c>
      <c r="AG13" s="293">
        <f t="shared" si="7"/>
        <v>49.828425139293181</v>
      </c>
      <c r="AH13" s="293">
        <f t="shared" si="2"/>
        <v>49.828425139293181</v>
      </c>
      <c r="AI13" s="293">
        <f t="shared" si="2"/>
        <v>49.828425139293181</v>
      </c>
      <c r="AJ13" s="295">
        <f t="shared" si="2"/>
        <v>44.686299442827277</v>
      </c>
      <c r="AK13" s="274">
        <f>GBDUS!L48/(Y13+Z13+AA13+AB13+AC13)</f>
        <v>317.16762999675069</v>
      </c>
      <c r="AL13" s="278">
        <f t="shared" si="8"/>
        <v>317.16762999675069</v>
      </c>
      <c r="AM13" s="278">
        <f t="shared" si="3"/>
        <v>317.16762999675069</v>
      </c>
      <c r="AN13" s="278">
        <f t="shared" si="3"/>
        <v>317.16762999675069</v>
      </c>
      <c r="AO13" s="279">
        <f t="shared" si="3"/>
        <v>284.4369985201522</v>
      </c>
      <c r="AP13" s="274">
        <f>GBDUS!M48/(Y13+Z13+AA13+AB13+AC13)</f>
        <v>26.448700546547165</v>
      </c>
      <c r="AQ13" s="278">
        <f t="shared" si="9"/>
        <v>26.448700546547165</v>
      </c>
      <c r="AR13" s="278">
        <f t="shared" si="4"/>
        <v>26.448700546547165</v>
      </c>
      <c r="AS13" s="278">
        <f t="shared" si="4"/>
        <v>26.448700546547165</v>
      </c>
      <c r="AT13" s="279">
        <f t="shared" si="4"/>
        <v>23.719283705891598</v>
      </c>
      <c r="AU13" s="272"/>
      <c r="AV13" s="272"/>
      <c r="AW13" s="272"/>
      <c r="AX13" s="272"/>
    </row>
    <row r="14" spans="2:62" x14ac:dyDescent="0.2">
      <c r="B14" s="190">
        <v>2</v>
      </c>
      <c r="C14" s="197" t="s">
        <v>6</v>
      </c>
      <c r="D14" s="191">
        <f>Baseline!AL39</f>
        <v>0.58571636315218234</v>
      </c>
      <c r="E14" s="191">
        <f>Baseline!AM39</f>
        <v>1.4741407445036221</v>
      </c>
      <c r="F14" s="191">
        <f>Baseline!AN39</f>
        <v>2.7936213572390822</v>
      </c>
      <c r="G14" s="191">
        <f>Baseline!AO39</f>
        <v>5.2941486874445172</v>
      </c>
      <c r="H14" s="196">
        <f>Baseline!AP39</f>
        <v>13.324402011959144</v>
      </c>
      <c r="I14" s="191">
        <f>IF(D14+'Non-travel METs'!D14&gt;2.5, D14+'Non-travel METs'!D14, 0.1)</f>
        <v>0.1</v>
      </c>
      <c r="J14" s="191">
        <f>IF(E14+'Non-travel METs'!E14&gt;2.5, E14+'Non-travel METs'!E14, 0.1)</f>
        <v>0.1</v>
      </c>
      <c r="K14" s="191">
        <f>IF(F14+'Non-travel METs'!F14&gt;2.5, F14+'Non-travel METs'!F14, 0.1)</f>
        <v>2.7936213572390822</v>
      </c>
      <c r="L14" s="191">
        <f>IF(G14+'Non-travel METs'!G14&gt;2.5, G14+'Non-travel METs'!G14, 0.1)</f>
        <v>5.2941486874445172</v>
      </c>
      <c r="M14" s="196">
        <f>IF(H14+'Non-travel METs'!H14&gt;2.5, H14+'Non-travel METs'!H14, 0.1)</f>
        <v>13.324402011959144</v>
      </c>
      <c r="N14" s="241">
        <f>'Phy activity RRs'!$F$8</f>
        <v>0.93831941951583364</v>
      </c>
      <c r="O14" s="235">
        <f>$N14^(I14^0.5)</f>
        <v>0.98006871247951299</v>
      </c>
      <c r="P14" s="235">
        <f t="shared" si="0"/>
        <v>0.98006871247951299</v>
      </c>
      <c r="Q14" s="235">
        <f t="shared" si="0"/>
        <v>0.89905572054499705</v>
      </c>
      <c r="R14" s="235">
        <f t="shared" si="0"/>
        <v>0.86373732810505133</v>
      </c>
      <c r="S14" s="246">
        <f t="shared" si="0"/>
        <v>0.7926343113787816</v>
      </c>
      <c r="T14" s="248"/>
      <c r="U14" s="248"/>
      <c r="V14" s="248"/>
      <c r="W14" s="248"/>
      <c r="X14" s="249"/>
      <c r="Y14" s="235">
        <f t="shared" si="6"/>
        <v>1</v>
      </c>
      <c r="Z14" s="235">
        <f t="shared" si="1"/>
        <v>1</v>
      </c>
      <c r="AA14" s="235">
        <f t="shared" si="1"/>
        <v>0.91733947742341648</v>
      </c>
      <c r="AB14" s="235">
        <f t="shared" si="1"/>
        <v>0.88130282816584316</v>
      </c>
      <c r="AC14" s="246">
        <f t="shared" si="1"/>
        <v>0.80875381622321763</v>
      </c>
      <c r="AD14" s="263"/>
      <c r="AE14" s="263"/>
      <c r="AF14" s="381">
        <f>GBDUS!K49/(Y14+Z14+AA14+AB14+AC14)</f>
        <v>0</v>
      </c>
      <c r="AG14" s="188">
        <f t="shared" si="7"/>
        <v>0</v>
      </c>
      <c r="AH14" s="188">
        <f t="shared" si="2"/>
        <v>0</v>
      </c>
      <c r="AI14" s="188">
        <f t="shared" si="2"/>
        <v>0</v>
      </c>
      <c r="AJ14" s="294">
        <f t="shared" si="2"/>
        <v>0</v>
      </c>
      <c r="AK14" s="382">
        <f>GBDUS!L49/(Y14+Z14+AA14+AB14+AC14)</f>
        <v>4.4239215002903638</v>
      </c>
      <c r="AL14" s="274">
        <f t="shared" si="8"/>
        <v>4.4239215002903638</v>
      </c>
      <c r="AM14" s="274">
        <f t="shared" si="3"/>
        <v>4.058237837238579</v>
      </c>
      <c r="AN14" s="274">
        <f t="shared" si="3"/>
        <v>3.8988145297895773</v>
      </c>
      <c r="AO14" s="276">
        <f t="shared" si="3"/>
        <v>3.5778633960317743</v>
      </c>
      <c r="AP14" s="382">
        <f>GBDUS!M49/(Y14+Z14+AA14+AB14+AC14)</f>
        <v>1.9458164912546382E-2</v>
      </c>
      <c r="AQ14" s="274">
        <f t="shared" si="9"/>
        <v>1.9458164912546382E-2</v>
      </c>
      <c r="AR14" s="274">
        <f t="shared" si="4"/>
        <v>1.7849742832493957E-2</v>
      </c>
      <c r="AS14" s="274">
        <f t="shared" si="4"/>
        <v>1.7148535768344502E-2</v>
      </c>
      <c r="AT14" s="276">
        <f t="shared" si="4"/>
        <v>1.57368651297226E-2</v>
      </c>
      <c r="AU14" s="272"/>
      <c r="AV14" s="272"/>
      <c r="AW14" s="272"/>
      <c r="AX14" s="272"/>
    </row>
    <row r="15" spans="2:62" x14ac:dyDescent="0.2">
      <c r="B15" s="190">
        <v>2</v>
      </c>
      <c r="C15" s="197" t="s">
        <v>7</v>
      </c>
      <c r="D15" s="191">
        <f>Baseline!AL40</f>
        <v>0.43674060992104319</v>
      </c>
      <c r="E15" s="191">
        <f>Baseline!AM40</f>
        <v>1.099196075723591</v>
      </c>
      <c r="F15" s="191">
        <f>Baseline!AN40</f>
        <v>2.0830695063440512</v>
      </c>
      <c r="G15" s="191">
        <f>Baseline!AO40</f>
        <v>3.9475928490774548</v>
      </c>
      <c r="H15" s="196">
        <f>Baseline!AP40</f>
        <v>9.9353677438993167</v>
      </c>
      <c r="I15" s="191">
        <f>IF(D15+'Non-travel METs'!D15&gt;2.5, D15+'Non-travel METs'!D15, 0.1)</f>
        <v>0.1</v>
      </c>
      <c r="J15" s="191">
        <f>IF(E15+'Non-travel METs'!E15&gt;2.5, E15+'Non-travel METs'!E15, 0.1)</f>
        <v>0.1</v>
      </c>
      <c r="K15" s="191">
        <f>IF(F15+'Non-travel METs'!F15&gt;2.5, F15+'Non-travel METs'!F15, 0.1)</f>
        <v>0.1</v>
      </c>
      <c r="L15" s="191">
        <f>IF(G15+'Non-travel METs'!G15&gt;2.5, G15+'Non-travel METs'!G15, 0.1)</f>
        <v>3.9475928490774548</v>
      </c>
      <c r="M15" s="196">
        <f>IF(H15+'Non-travel METs'!H15&gt;2.5, H15+'Non-travel METs'!H15, 0.1)</f>
        <v>9.9353677438993167</v>
      </c>
      <c r="N15" s="241">
        <f>'Phy activity RRs'!$F$8</f>
        <v>0.93831941951583364</v>
      </c>
      <c r="O15" s="235">
        <f t="shared" ref="O15:O21" si="10">$N15^(I15^0.5)</f>
        <v>0.98006871247951299</v>
      </c>
      <c r="P15" s="235">
        <f t="shared" si="0"/>
        <v>0.98006871247951299</v>
      </c>
      <c r="Q15" s="235">
        <f t="shared" si="0"/>
        <v>0.98006871247951299</v>
      </c>
      <c r="R15" s="235">
        <f t="shared" si="0"/>
        <v>0.88118046121575333</v>
      </c>
      <c r="S15" s="246">
        <f t="shared" si="0"/>
        <v>0.81817887898565411</v>
      </c>
      <c r="T15" s="248"/>
      <c r="U15" s="248"/>
      <c r="V15" s="248"/>
      <c r="W15" s="248"/>
      <c r="X15" s="249"/>
      <c r="Y15" s="235">
        <f t="shared" si="6"/>
        <v>1</v>
      </c>
      <c r="Z15" s="235">
        <f t="shared" si="1"/>
        <v>1</v>
      </c>
      <c r="AA15" s="235">
        <f t="shared" si="1"/>
        <v>1</v>
      </c>
      <c r="AB15" s="235">
        <f t="shared" si="1"/>
        <v>0.89910069569144946</v>
      </c>
      <c r="AC15" s="246">
        <f t="shared" si="1"/>
        <v>0.83481787406080166</v>
      </c>
      <c r="AD15" s="263"/>
      <c r="AE15" s="263"/>
      <c r="AF15" s="188">
        <f>GBDUS!K50/(Y15+Z15+AA15+AB15+AC15)</f>
        <v>0</v>
      </c>
      <c r="AG15" s="188">
        <f t="shared" si="7"/>
        <v>0</v>
      </c>
      <c r="AH15" s="188">
        <f t="shared" si="2"/>
        <v>0</v>
      </c>
      <c r="AI15" s="188">
        <f t="shared" si="2"/>
        <v>0</v>
      </c>
      <c r="AJ15" s="294">
        <f t="shared" si="2"/>
        <v>0</v>
      </c>
      <c r="AK15" s="274">
        <f>GBDUS!L50/(Y15+Z15+AA15+AB15+AC15)</f>
        <v>1.8038435713045495</v>
      </c>
      <c r="AL15" s="274">
        <f t="shared" si="8"/>
        <v>1.8038435713045495</v>
      </c>
      <c r="AM15" s="274">
        <f t="shared" si="3"/>
        <v>1.8038435713045495</v>
      </c>
      <c r="AN15" s="274">
        <f t="shared" si="3"/>
        <v>1.6218370098784691</v>
      </c>
      <c r="AO15" s="276">
        <f t="shared" si="3"/>
        <v>1.5058808553347081</v>
      </c>
      <c r="AP15" s="274">
        <f>GBDUS!M50/(Y15+Z15+AA15+AB15+AC15)</f>
        <v>9.7389122499651676E-2</v>
      </c>
      <c r="AQ15" s="274">
        <f t="shared" si="9"/>
        <v>9.7389122499651676E-2</v>
      </c>
      <c r="AR15" s="274">
        <f t="shared" si="4"/>
        <v>9.7389122499651676E-2</v>
      </c>
      <c r="AS15" s="274">
        <f t="shared" si="4"/>
        <v>8.7562627792216616E-2</v>
      </c>
      <c r="AT15" s="276">
        <f t="shared" si="4"/>
        <v>8.1302180201806198E-2</v>
      </c>
      <c r="AU15" s="272"/>
      <c r="AV15" s="272"/>
      <c r="AW15" s="272"/>
      <c r="AX15" s="272"/>
    </row>
    <row r="16" spans="2:62" x14ac:dyDescent="0.2">
      <c r="B16" s="190">
        <v>2</v>
      </c>
      <c r="C16" s="197" t="s">
        <v>8</v>
      </c>
      <c r="D16" s="191">
        <f>Baseline!AL41</f>
        <v>0.42061144034593556</v>
      </c>
      <c r="E16" s="191">
        <f>Baseline!AM41</f>
        <v>1.0586019118219474</v>
      </c>
      <c r="F16" s="191">
        <f>Baseline!AN41</f>
        <v>2.0061401332989548</v>
      </c>
      <c r="G16" s="191">
        <f>Baseline!AO41</f>
        <v>3.8018051823712069</v>
      </c>
      <c r="H16" s="196">
        <f>Baseline!AP41</f>
        <v>9.568446904636458</v>
      </c>
      <c r="I16" s="191">
        <f>IF(D16+'Non-travel METs'!D16&gt;2.5, D16+'Non-travel METs'!D16, 0.1)</f>
        <v>37.920611440345937</v>
      </c>
      <c r="J16" s="191">
        <f>IF(E16+'Non-travel METs'!E16&gt;2.5, E16+'Non-travel METs'!E16, 0.1)</f>
        <v>38.558601911821945</v>
      </c>
      <c r="K16" s="191">
        <f>IF(F16+'Non-travel METs'!F16&gt;2.5, F16+'Non-travel METs'!F16, 0.1)</f>
        <v>39.506140133298956</v>
      </c>
      <c r="L16" s="191">
        <f>IF(G16+'Non-travel METs'!G16&gt;2.5, G16+'Non-travel METs'!G16, 0.1)</f>
        <v>41.301805182371204</v>
      </c>
      <c r="M16" s="196">
        <f>IF(H16+'Non-travel METs'!H16&gt;2.5, H16+'Non-travel METs'!H16, 0.1)</f>
        <v>47.06844690463646</v>
      </c>
      <c r="N16" s="241">
        <f>'Phy activity RRs'!$F$8</f>
        <v>0.93831941951583364</v>
      </c>
      <c r="O16" s="235">
        <f t="shared" si="10"/>
        <v>0.67567279097808808</v>
      </c>
      <c r="P16" s="235">
        <f t="shared" si="0"/>
        <v>0.67345737903913439</v>
      </c>
      <c r="Q16" s="235">
        <f t="shared" si="0"/>
        <v>0.67021380217563253</v>
      </c>
      <c r="R16" s="235">
        <f t="shared" si="0"/>
        <v>0.66421351729859057</v>
      </c>
      <c r="S16" s="246">
        <f t="shared" si="0"/>
        <v>0.64611229538362702</v>
      </c>
      <c r="T16" s="248"/>
      <c r="U16" s="248"/>
      <c r="V16" s="248"/>
      <c r="W16" s="248"/>
      <c r="X16" s="249"/>
      <c r="Y16" s="235">
        <f t="shared" si="6"/>
        <v>1</v>
      </c>
      <c r="Z16" s="235">
        <f t="shared" si="1"/>
        <v>0.99672117633189472</v>
      </c>
      <c r="AA16" s="235">
        <f t="shared" si="1"/>
        <v>0.99192066207882479</v>
      </c>
      <c r="AB16" s="235">
        <f t="shared" si="1"/>
        <v>0.9830402025469912</v>
      </c>
      <c r="AC16" s="246">
        <f t="shared" si="1"/>
        <v>0.9562502797372231</v>
      </c>
      <c r="AD16" s="263"/>
      <c r="AE16" s="263"/>
      <c r="AF16" s="188">
        <f>GBDUS!K51/(Y16+Z16+AA16+AB16+AC16)</f>
        <v>0</v>
      </c>
      <c r="AG16" s="188">
        <f t="shared" si="7"/>
        <v>0</v>
      </c>
      <c r="AH16" s="188">
        <f t="shared" si="2"/>
        <v>0</v>
      </c>
      <c r="AI16" s="188">
        <f t="shared" si="2"/>
        <v>0</v>
      </c>
      <c r="AJ16" s="294">
        <f t="shared" si="2"/>
        <v>0</v>
      </c>
      <c r="AK16" s="274">
        <f>GBDUS!L51/(Y16+Z16+AA16+AB16+AC16)</f>
        <v>10.857290889287158</v>
      </c>
      <c r="AL16" s="274">
        <f t="shared" si="8"/>
        <v>10.82169174694786</v>
      </c>
      <c r="AM16" s="274">
        <f t="shared" si="3"/>
        <v>10.769571167284111</v>
      </c>
      <c r="AN16" s="274">
        <f t="shared" si="3"/>
        <v>10.673153434916451</v>
      </c>
      <c r="AO16" s="276">
        <f t="shared" si="3"/>
        <v>10.382287450069249</v>
      </c>
      <c r="AP16" s="274">
        <f>GBDUS!M51/(Y16+Z16+AA16+AB16+AC16)</f>
        <v>2.9010618413767237</v>
      </c>
      <c r="AQ16" s="274">
        <f t="shared" si="9"/>
        <v>2.8915497711485805</v>
      </c>
      <c r="AR16" s="274">
        <f t="shared" si="4"/>
        <v>2.8776231824300145</v>
      </c>
      <c r="AS16" s="274">
        <f t="shared" si="4"/>
        <v>2.8518604201483218</v>
      </c>
      <c r="AT16" s="276">
        <f t="shared" si="4"/>
        <v>2.7741411973514758</v>
      </c>
      <c r="AU16" s="272"/>
      <c r="AV16" s="272"/>
      <c r="AW16" s="272"/>
      <c r="AX16" s="272"/>
    </row>
    <row r="17" spans="2:50" x14ac:dyDescent="0.2">
      <c r="B17" s="190">
        <v>2</v>
      </c>
      <c r="C17" s="197" t="s">
        <v>9</v>
      </c>
      <c r="D17" s="191">
        <f>Baseline!AL42</f>
        <v>0.35430197088303461</v>
      </c>
      <c r="E17" s="191">
        <f>Baseline!AM42</f>
        <v>0.89171312941604497</v>
      </c>
      <c r="F17" s="191">
        <f>Baseline!AN42</f>
        <v>1.6898717793096323</v>
      </c>
      <c r="G17" s="191">
        <f>Baseline!AO42</f>
        <v>3.2024499093976431</v>
      </c>
      <c r="H17" s="196">
        <f>Baseline!AP42</f>
        <v>8.0599795236528315</v>
      </c>
      <c r="I17" s="191">
        <f>IF(D17+'Non-travel METs'!D17&gt;2.5, D17+'Non-travel METs'!D17, 0.1)</f>
        <v>37.917635304216333</v>
      </c>
      <c r="J17" s="191">
        <f>IF(E17+'Non-travel METs'!E17&gt;2.5, E17+'Non-travel METs'!E17, 0.1)</f>
        <v>38.455046462749344</v>
      </c>
      <c r="K17" s="191">
        <f>IF(F17+'Non-travel METs'!F17&gt;2.5, F17+'Non-travel METs'!F17, 0.1)</f>
        <v>39.253205112642931</v>
      </c>
      <c r="L17" s="191">
        <f>IF(G17+'Non-travel METs'!G17&gt;2.5, G17+'Non-travel METs'!G17, 0.1)</f>
        <v>40.76578324273094</v>
      </c>
      <c r="M17" s="196">
        <f>IF(H17+'Non-travel METs'!H17&gt;2.5, H17+'Non-travel METs'!H17, 0.1)</f>
        <v>45.623312856986132</v>
      </c>
      <c r="N17" s="241">
        <f>'Phy activity RRs'!$F$8</f>
        <v>0.93831941951583364</v>
      </c>
      <c r="O17" s="235">
        <f t="shared" si="10"/>
        <v>0.6756831861860142</v>
      </c>
      <c r="P17" s="235">
        <f t="shared" si="0"/>
        <v>0.67381522773485492</v>
      </c>
      <c r="Q17" s="235">
        <f t="shared" si="0"/>
        <v>0.67107427120394048</v>
      </c>
      <c r="R17" s="235">
        <f t="shared" si="0"/>
        <v>0.66598513518510216</v>
      </c>
      <c r="S17" s="246">
        <f t="shared" si="0"/>
        <v>0.65049317912589166</v>
      </c>
      <c r="T17" s="248"/>
      <c r="U17" s="248"/>
      <c r="V17" s="248"/>
      <c r="W17" s="248"/>
      <c r="X17" s="249"/>
      <c r="Y17" s="235">
        <f t="shared" si="6"/>
        <v>1</v>
      </c>
      <c r="Z17" s="235">
        <f t="shared" si="1"/>
        <v>0.99723545222176802</v>
      </c>
      <c r="AA17" s="235">
        <f t="shared" si="1"/>
        <v>0.99317888164704915</v>
      </c>
      <c r="AB17" s="235">
        <f t="shared" si="1"/>
        <v>0.9856470440597257</v>
      </c>
      <c r="AC17" s="246">
        <f t="shared" si="1"/>
        <v>0.96271920394776889</v>
      </c>
      <c r="AD17" s="263"/>
      <c r="AE17" s="263"/>
      <c r="AF17" s="188">
        <f>GBDUS!K52/(Y17+Z17+AA17+AB17+AC17)</f>
        <v>0.6074373927460972</v>
      </c>
      <c r="AG17" s="188">
        <f t="shared" si="7"/>
        <v>0.60575810305156597</v>
      </c>
      <c r="AH17" s="188">
        <f t="shared" si="2"/>
        <v>0.60329399039816822</v>
      </c>
      <c r="AI17" s="188">
        <f t="shared" si="2"/>
        <v>0.59871887061153739</v>
      </c>
      <c r="AJ17" s="294">
        <f t="shared" si="2"/>
        <v>0.58479164319263099</v>
      </c>
      <c r="AK17" s="274">
        <f>GBDUS!L52/(Y17+Z17+AA17+AB17+AC17)</f>
        <v>28.259508697551627</v>
      </c>
      <c r="AL17" s="274">
        <f t="shared" si="8"/>
        <v>28.181383935567883</v>
      </c>
      <c r="AM17" s="274">
        <f t="shared" si="3"/>
        <v>28.066747244129385</v>
      </c>
      <c r="AN17" s="274">
        <f t="shared" si="3"/>
        <v>27.853901214321869</v>
      </c>
      <c r="AO17" s="276">
        <f t="shared" si="3"/>
        <v>27.205971717261953</v>
      </c>
      <c r="AP17" s="274">
        <f>GBDUS!M52/(Y17+Z17+AA17+AB17+AC17)</f>
        <v>5.7634521965934509</v>
      </c>
      <c r="AQ17" s="274">
        <f t="shared" si="9"/>
        <v>5.7475188576284122</v>
      </c>
      <c r="AR17" s="274">
        <f t="shared" si="4"/>
        <v>5.7241390070389127</v>
      </c>
      <c r="AS17" s="274">
        <f t="shared" si="4"/>
        <v>5.6807296211518681</v>
      </c>
      <c r="AT17" s="276">
        <f t="shared" si="4"/>
        <v>5.5485861106954673</v>
      </c>
      <c r="AU17" s="272"/>
      <c r="AV17" s="272"/>
      <c r="AW17" s="272"/>
      <c r="AX17" s="272"/>
    </row>
    <row r="18" spans="2:50" x14ac:dyDescent="0.2">
      <c r="B18" s="190">
        <v>2</v>
      </c>
      <c r="C18" s="197" t="s">
        <v>10</v>
      </c>
      <c r="D18" s="191">
        <f>Baseline!AL43</f>
        <v>0.26733773499708668</v>
      </c>
      <c r="E18" s="191">
        <f>Baseline!AM43</f>
        <v>0.67284008522760486</v>
      </c>
      <c r="F18" s="191">
        <f>Baseline!AN43</f>
        <v>1.2750888536978389</v>
      </c>
      <c r="G18" s="191">
        <f>Baseline!AO43</f>
        <v>2.4164011932708851</v>
      </c>
      <c r="H18" s="196">
        <f>Baseline!AP43</f>
        <v>6.0816389607033488</v>
      </c>
      <c r="I18" s="191">
        <f>IF(D18+'Non-travel METs'!D18&gt;2.5, D18+'Non-travel METs'!D18, 0.1)</f>
        <v>38.020671068330387</v>
      </c>
      <c r="J18" s="191">
        <f>IF(E18+'Non-travel METs'!E18&gt;2.5, E18+'Non-travel METs'!E18, 0.1)</f>
        <v>38.426173418560907</v>
      </c>
      <c r="K18" s="191">
        <f>IF(F18+'Non-travel METs'!F18&gt;2.5, F18+'Non-travel METs'!F18, 0.1)</f>
        <v>39.02842218703114</v>
      </c>
      <c r="L18" s="191">
        <f>IF(G18+'Non-travel METs'!G18&gt;2.5, G18+'Non-travel METs'!G18, 0.1)</f>
        <v>40.169734526604188</v>
      </c>
      <c r="M18" s="196">
        <f>IF(H18+'Non-travel METs'!H18&gt;2.5, H18+'Non-travel METs'!H18, 0.1)</f>
        <v>43.834972294036653</v>
      </c>
      <c r="N18" s="241">
        <f>'Phy activity RRs'!$F$8</f>
        <v>0.93831941951583364</v>
      </c>
      <c r="O18" s="235">
        <f t="shared" si="10"/>
        <v>0.67532362737529406</v>
      </c>
      <c r="P18" s="235">
        <f t="shared" si="0"/>
        <v>0.67391512192296654</v>
      </c>
      <c r="Q18" s="235">
        <f t="shared" si="0"/>
        <v>0.67184222938411009</v>
      </c>
      <c r="R18" s="235">
        <f t="shared" si="0"/>
        <v>0.66797449001736153</v>
      </c>
      <c r="S18" s="246">
        <f t="shared" si="0"/>
        <v>0.65605399965181632</v>
      </c>
      <c r="T18" s="248"/>
      <c r="U18" s="248"/>
      <c r="V18" s="248"/>
      <c r="W18" s="248"/>
      <c r="X18" s="249"/>
      <c r="Y18" s="235">
        <f t="shared" si="6"/>
        <v>1</v>
      </c>
      <c r="Z18" s="235">
        <f t="shared" si="1"/>
        <v>0.99791432522833268</v>
      </c>
      <c r="AA18" s="235">
        <f t="shared" si="1"/>
        <v>0.99484484497497183</v>
      </c>
      <c r="AB18" s="235">
        <f t="shared" si="1"/>
        <v>0.98911760664069226</v>
      </c>
      <c r="AC18" s="246">
        <f t="shared" si="1"/>
        <v>0.9714660839005872</v>
      </c>
      <c r="AD18" s="263"/>
      <c r="AE18" s="263"/>
      <c r="AF18" s="188">
        <f>GBDUS!K53/(Y18+Z18+AA18+AB18+AC18)</f>
        <v>3.0282579707686961</v>
      </c>
      <c r="AG18" s="188">
        <f t="shared" si="7"/>
        <v>3.0219420095169633</v>
      </c>
      <c r="AH18" s="188">
        <f t="shared" si="2"/>
        <v>3.0126468314736061</v>
      </c>
      <c r="AI18" s="188">
        <f t="shared" si="2"/>
        <v>2.995303276337332</v>
      </c>
      <c r="AJ18" s="294">
        <f t="shared" si="2"/>
        <v>2.9418499119034038</v>
      </c>
      <c r="AK18" s="274">
        <f>GBDUS!L53/(Y18+Z18+AA18+AB18+AC18)</f>
        <v>100.683818402155</v>
      </c>
      <c r="AL18" s="274">
        <f t="shared" si="8"/>
        <v>100.47382470219848</v>
      </c>
      <c r="AM18" s="274">
        <f t="shared" si="3"/>
        <v>100.16477770978011</v>
      </c>
      <c r="AN18" s="274">
        <f t="shared" si="3"/>
        <v>99.588137485385644</v>
      </c>
      <c r="AO18" s="276">
        <f t="shared" si="3"/>
        <v>97.810914775299395</v>
      </c>
      <c r="AP18" s="274">
        <f>GBDUS!M53/(Y18+Z18+AA18+AB18+AC18)</f>
        <v>16.121610670447986</v>
      </c>
      <c r="AQ18" s="274">
        <f t="shared" si="9"/>
        <v>16.087986233793991</v>
      </c>
      <c r="AR18" s="274">
        <f t="shared" si="4"/>
        <v>16.038501268188678</v>
      </c>
      <c r="AS18" s="274">
        <f t="shared" si="4"/>
        <v>15.946168961546558</v>
      </c>
      <c r="AT18" s="276">
        <f t="shared" si="4"/>
        <v>15.661597984190024</v>
      </c>
      <c r="AU18" s="272"/>
      <c r="AV18" s="272"/>
      <c r="AW18" s="272"/>
      <c r="AX18" s="272"/>
    </row>
    <row r="19" spans="2:50" x14ac:dyDescent="0.2">
      <c r="B19" s="190">
        <v>2</v>
      </c>
      <c r="C19" s="197" t="s">
        <v>11</v>
      </c>
      <c r="D19" s="191">
        <f>Baseline!AL44</f>
        <v>0.17691769036532026</v>
      </c>
      <c r="E19" s="191">
        <f>Baseline!AM44</f>
        <v>0.44526940375615254</v>
      </c>
      <c r="F19" s="191">
        <f>Baseline!AN44</f>
        <v>0.84382317000345575</v>
      </c>
      <c r="G19" s="191">
        <f>Baseline!AO44</f>
        <v>1.5991162568731561</v>
      </c>
      <c r="H19" s="196">
        <f>Baseline!AP44</f>
        <v>4.0246825558505925</v>
      </c>
      <c r="I19" s="191">
        <f>IF(D19+'Non-travel METs'!D19&gt;2.5, D19+'Non-travel METs'!D19, 0.1)</f>
        <v>9.17691769036532</v>
      </c>
      <c r="J19" s="191">
        <f>IF(E19+'Non-travel METs'!E19&gt;2.5, E19+'Non-travel METs'!E19, 0.1)</f>
        <v>9.4452694037561518</v>
      </c>
      <c r="K19" s="191">
        <f>IF(F19+'Non-travel METs'!F19&gt;2.5, F19+'Non-travel METs'!F19, 0.1)</f>
        <v>9.8438231700034553</v>
      </c>
      <c r="L19" s="191">
        <f>IF(G19+'Non-travel METs'!G19&gt;2.5, G19+'Non-travel METs'!G19, 0.1)</f>
        <v>10.599116256873156</v>
      </c>
      <c r="M19" s="196">
        <f>IF(H19+'Non-travel METs'!H19&gt;2.5, H19+'Non-travel METs'!H19, 0.1)</f>
        <v>13.024682555850593</v>
      </c>
      <c r="N19" s="241">
        <f>'Phy activity RRs'!$F$8</f>
        <v>0.93831941951583364</v>
      </c>
      <c r="O19" s="235">
        <f t="shared" si="10"/>
        <v>0.82459520785749552</v>
      </c>
      <c r="P19" s="235">
        <f t="shared" si="0"/>
        <v>0.82228995748330369</v>
      </c>
      <c r="Q19" s="235">
        <f t="shared" si="0"/>
        <v>0.81893739327553161</v>
      </c>
      <c r="R19" s="235">
        <f t="shared" si="0"/>
        <v>0.81280088677742723</v>
      </c>
      <c r="S19" s="246">
        <f t="shared" si="0"/>
        <v>0.79472056805506663</v>
      </c>
      <c r="T19" s="248"/>
      <c r="U19" s="248"/>
      <c r="V19" s="248"/>
      <c r="W19" s="248"/>
      <c r="X19" s="249"/>
      <c r="Y19" s="235">
        <f t="shared" si="6"/>
        <v>1</v>
      </c>
      <c r="Z19" s="235">
        <f t="shared" si="1"/>
        <v>0.99720438543393741</v>
      </c>
      <c r="AA19" s="235">
        <f t="shared" si="1"/>
        <v>0.99313867637350894</v>
      </c>
      <c r="AB19" s="235">
        <f t="shared" si="1"/>
        <v>0.98569683528635477</v>
      </c>
      <c r="AC19" s="246">
        <f t="shared" si="1"/>
        <v>0.96377053914726152</v>
      </c>
      <c r="AD19" s="263"/>
      <c r="AE19" s="263"/>
      <c r="AF19" s="188">
        <f>GBDUS!K54/(Y19+Z19+AA19+AB19+AC19)</f>
        <v>7.4901659643755618</v>
      </c>
      <c r="AG19" s="188">
        <f t="shared" si="7"/>
        <v>7.4692263473033274</v>
      </c>
      <c r="AH19" s="188">
        <f t="shared" si="2"/>
        <v>7.4387735116778524</v>
      </c>
      <c r="AI19" s="188">
        <f t="shared" si="2"/>
        <v>7.3830328868545587</v>
      </c>
      <c r="AJ19" s="294">
        <f t="shared" si="2"/>
        <v>7.2188012897887033</v>
      </c>
      <c r="AK19" s="274">
        <f>GBDUS!L54/(Y19+Z19+AA19+AB19+AC19)</f>
        <v>172.04909964765451</v>
      </c>
      <c r="AL19" s="274">
        <f t="shared" si="8"/>
        <v>171.56811667860157</v>
      </c>
      <c r="AM19" s="274">
        <f t="shared" si="3"/>
        <v>170.86861509532554</v>
      </c>
      <c r="AN19" s="274">
        <f t="shared" si="3"/>
        <v>169.58825303655976</v>
      </c>
      <c r="AO19" s="276">
        <f t="shared" si="3"/>
        <v>165.81585352722092</v>
      </c>
      <c r="AP19" s="274">
        <f>GBDUS!M54/(Y19+Z19+AA19+AB19+AC19)</f>
        <v>23.138534415402042</v>
      </c>
      <c r="AQ19" s="274">
        <f t="shared" si="9"/>
        <v>23.073847991553002</v>
      </c>
      <c r="AR19" s="274">
        <f t="shared" si="4"/>
        <v>22.979773442535269</v>
      </c>
      <c r="AS19" s="274">
        <f t="shared" si="4"/>
        <v>22.807580146426197</v>
      </c>
      <c r="AT19" s="276">
        <f t="shared" si="4"/>
        <v>22.30023778860949</v>
      </c>
      <c r="AU19" s="272"/>
      <c r="AV19" s="272"/>
      <c r="AW19" s="272"/>
      <c r="AX19" s="272"/>
    </row>
    <row r="20" spans="2:50" x14ac:dyDescent="0.2">
      <c r="B20" s="190">
        <v>2</v>
      </c>
      <c r="C20" s="197" t="s">
        <v>12</v>
      </c>
      <c r="D20" s="191">
        <f>Baseline!AL45</f>
        <v>0.11157070141951282</v>
      </c>
      <c r="E20" s="191">
        <f>Baseline!AM45</f>
        <v>0.28080300842238665</v>
      </c>
      <c r="F20" s="191">
        <f>Baseline!AN45</f>
        <v>0.5321454443414837</v>
      </c>
      <c r="G20" s="191">
        <f>Baseline!AO45</f>
        <v>1.0084606127418505</v>
      </c>
      <c r="H20" s="196">
        <f>Baseline!AP45</f>
        <v>2.5381105463218789</v>
      </c>
      <c r="I20" s="191">
        <f>IF(D20+'Non-travel METs'!D20&gt;2.5, D20+'Non-travel METs'!D20, 0.1)</f>
        <v>0.1</v>
      </c>
      <c r="J20" s="191">
        <f>IF(E20+'Non-travel METs'!E20&gt;2.5, E20+'Non-travel METs'!E20, 0.1)</f>
        <v>0.1</v>
      </c>
      <c r="K20" s="191">
        <f>IF(F20+'Non-travel METs'!F20&gt;2.5, F20+'Non-travel METs'!F20, 0.1)</f>
        <v>0.1</v>
      </c>
      <c r="L20" s="191">
        <f>IF(G20+'Non-travel METs'!G20&gt;2.5, G20+'Non-travel METs'!G20, 0.1)</f>
        <v>0.1</v>
      </c>
      <c r="M20" s="196">
        <f>IF(H20+'Non-travel METs'!H20&gt;2.5, H20+'Non-travel METs'!H20, 0.1)</f>
        <v>3.0381105463218789</v>
      </c>
      <c r="N20" s="241">
        <f>'Phy activity RRs'!$F$8</f>
        <v>0.93831941951583364</v>
      </c>
      <c r="O20" s="235">
        <f t="shared" si="10"/>
        <v>0.98006871247951299</v>
      </c>
      <c r="P20" s="235">
        <f t="shared" si="0"/>
        <v>0.98006871247951299</v>
      </c>
      <c r="Q20" s="235">
        <f t="shared" si="0"/>
        <v>0.98006871247951299</v>
      </c>
      <c r="R20" s="235">
        <f t="shared" si="0"/>
        <v>0.98006871247951299</v>
      </c>
      <c r="S20" s="246">
        <f t="shared" si="0"/>
        <v>0.89496652199688242</v>
      </c>
      <c r="T20" s="248"/>
      <c r="U20" s="248"/>
      <c r="V20" s="248"/>
      <c r="W20" s="248"/>
      <c r="X20" s="249"/>
      <c r="Y20" s="235">
        <f t="shared" si="6"/>
        <v>1</v>
      </c>
      <c r="Z20" s="235">
        <f t="shared" si="1"/>
        <v>1</v>
      </c>
      <c r="AA20" s="235">
        <f t="shared" si="1"/>
        <v>1</v>
      </c>
      <c r="AB20" s="235">
        <f t="shared" si="1"/>
        <v>1</v>
      </c>
      <c r="AC20" s="246">
        <f t="shared" si="1"/>
        <v>0.91316711838772269</v>
      </c>
      <c r="AD20" s="263"/>
      <c r="AE20" s="263"/>
      <c r="AF20" s="188">
        <f>GBDUS!K55/(Y20+Z20+AA20+AB20+AC20)</f>
        <v>14.450963765160703</v>
      </c>
      <c r="AG20" s="188">
        <f t="shared" si="7"/>
        <v>14.450963765160703</v>
      </c>
      <c r="AH20" s="188">
        <f t="shared" si="2"/>
        <v>14.450963765160703</v>
      </c>
      <c r="AI20" s="188">
        <f t="shared" si="2"/>
        <v>14.450963765160703</v>
      </c>
      <c r="AJ20" s="294">
        <f t="shared" si="2"/>
        <v>13.196144939357193</v>
      </c>
      <c r="AK20" s="274">
        <f>GBDUS!L55/(Y20+Z20+AA20+AB20+AC20)</f>
        <v>207.81452834787828</v>
      </c>
      <c r="AL20" s="274">
        <f t="shared" si="8"/>
        <v>207.81452834787828</v>
      </c>
      <c r="AM20" s="274">
        <f t="shared" si="3"/>
        <v>207.81452834787828</v>
      </c>
      <c r="AN20" s="274">
        <f t="shared" si="3"/>
        <v>207.81452834787828</v>
      </c>
      <c r="AO20" s="276">
        <f t="shared" si="3"/>
        <v>189.76939401053571</v>
      </c>
      <c r="AP20" s="274">
        <f>GBDUS!M55/(Y20+Z20+AA20+AB20+AC20)</f>
        <v>22.171696796759612</v>
      </c>
      <c r="AQ20" s="274">
        <f t="shared" si="9"/>
        <v>22.171696796759612</v>
      </c>
      <c r="AR20" s="274">
        <f t="shared" si="4"/>
        <v>22.171696796759612</v>
      </c>
      <c r="AS20" s="274">
        <f t="shared" si="4"/>
        <v>22.171696796759612</v>
      </c>
      <c r="AT20" s="276">
        <f t="shared" si="4"/>
        <v>20.246464473663277</v>
      </c>
      <c r="AU20" s="272"/>
      <c r="AV20" s="272"/>
      <c r="AW20" s="272"/>
      <c r="AX20" s="272"/>
    </row>
    <row r="21" spans="2:50" x14ac:dyDescent="0.2">
      <c r="B21" s="199">
        <v>2</v>
      </c>
      <c r="C21" s="200" t="s">
        <v>13</v>
      </c>
      <c r="D21" s="201">
        <f>Baseline!AL46</f>
        <v>0.1379075408816644</v>
      </c>
      <c r="E21" s="201">
        <f>Baseline!AM46</f>
        <v>0.3470880067168956</v>
      </c>
      <c r="F21" s="201">
        <f>Baseline!AN46</f>
        <v>0.65776112085712712</v>
      </c>
      <c r="G21" s="201">
        <f>Baseline!AO46</f>
        <v>1.2465129412095104</v>
      </c>
      <c r="H21" s="202">
        <f>Baseline!AP46</f>
        <v>3.1372446303170025</v>
      </c>
      <c r="I21" s="203">
        <f>IF(D21+'Non-travel METs'!D21&gt;2.5, D21+'Non-travel METs'!D21, 0.1)</f>
        <v>0.1</v>
      </c>
      <c r="J21" s="201">
        <f>IF(E21+'Non-travel METs'!E21&gt;2.5, E21+'Non-travel METs'!E21, 0.1)</f>
        <v>0.1</v>
      </c>
      <c r="K21" s="201">
        <f>IF(F21+'Non-travel METs'!F21&gt;2.5, F21+'Non-travel METs'!F21, 0.1)</f>
        <v>0.1</v>
      </c>
      <c r="L21" s="201">
        <f>IF(G21+'Non-travel METs'!G21&gt;2.5, G21+'Non-travel METs'!G21, 0.1)</f>
        <v>0.1</v>
      </c>
      <c r="M21" s="202">
        <f>IF(H21+'Non-travel METs'!H21&gt;2.5, H21+'Non-travel METs'!H21, 0.1)</f>
        <v>3.220577963650336</v>
      </c>
      <c r="N21" s="241">
        <f>'Phy activity RRs'!$F$8</f>
        <v>0.93831941951583364</v>
      </c>
      <c r="O21" s="237">
        <f t="shared" si="10"/>
        <v>0.98006871247951299</v>
      </c>
      <c r="P21" s="237">
        <f t="shared" si="0"/>
        <v>0.98006871247951299</v>
      </c>
      <c r="Q21" s="237">
        <f t="shared" si="0"/>
        <v>0.98006871247951299</v>
      </c>
      <c r="R21" s="237">
        <f t="shared" si="0"/>
        <v>0.98006871247951299</v>
      </c>
      <c r="S21" s="247">
        <f t="shared" si="0"/>
        <v>0.8920324653600693</v>
      </c>
      <c r="T21" s="250"/>
      <c r="U21" s="251"/>
      <c r="V21" s="251"/>
      <c r="W21" s="251"/>
      <c r="X21" s="252"/>
      <c r="Y21" s="260">
        <f t="shared" si="6"/>
        <v>1</v>
      </c>
      <c r="Z21" s="237">
        <f t="shared" si="1"/>
        <v>1</v>
      </c>
      <c r="AA21" s="237">
        <f t="shared" si="1"/>
        <v>1</v>
      </c>
      <c r="AB21" s="237">
        <f t="shared" si="1"/>
        <v>1</v>
      </c>
      <c r="AC21" s="247">
        <f t="shared" si="1"/>
        <v>0.91017339294842148</v>
      </c>
      <c r="AD21" s="263"/>
      <c r="AE21" s="264"/>
      <c r="AF21" s="299">
        <f>GBDUS!K56/(Y21+Z21+AA21+AB21+AC21)</f>
        <v>58.450074372559889</v>
      </c>
      <c r="AG21" s="293">
        <f t="shared" si="7"/>
        <v>58.450074372559889</v>
      </c>
      <c r="AH21" s="293">
        <f t="shared" si="2"/>
        <v>58.450074372559889</v>
      </c>
      <c r="AI21" s="293">
        <f t="shared" si="2"/>
        <v>58.450074372559889</v>
      </c>
      <c r="AJ21" s="295">
        <f t="shared" si="2"/>
        <v>53.199702509760414</v>
      </c>
      <c r="AK21" s="277">
        <f>GBDUS!L56/(Y21+Z21+AA21+AB21+AC21)</f>
        <v>320.05017247982704</v>
      </c>
      <c r="AL21" s="278">
        <f t="shared" si="8"/>
        <v>320.05017247982704</v>
      </c>
      <c r="AM21" s="278">
        <f t="shared" si="3"/>
        <v>320.05017247982704</v>
      </c>
      <c r="AN21" s="278">
        <f t="shared" si="3"/>
        <v>320.05017247982704</v>
      </c>
      <c r="AO21" s="279">
        <f t="shared" si="3"/>
        <v>291.30115139969166</v>
      </c>
      <c r="AP21" s="277">
        <f>GBDUS!M56/(Y21+Z21+AA21+AB21+AC21)</f>
        <v>24.695494383042252</v>
      </c>
      <c r="AQ21" s="278">
        <f t="shared" si="9"/>
        <v>24.695494383042252</v>
      </c>
      <c r="AR21" s="278">
        <f t="shared" si="4"/>
        <v>24.695494383042252</v>
      </c>
      <c r="AS21" s="278">
        <f t="shared" si="4"/>
        <v>24.695494383042252</v>
      </c>
      <c r="AT21" s="279">
        <f t="shared" si="4"/>
        <v>22.477181913152251</v>
      </c>
      <c r="AU21" s="273"/>
      <c r="AV21" s="273"/>
      <c r="AW21" s="273"/>
      <c r="AX21" s="273"/>
    </row>
    <row r="22" spans="2:50" x14ac:dyDescent="0.2">
      <c r="B22" s="185"/>
      <c r="C22" s="185"/>
      <c r="N22" s="261"/>
      <c r="AD22" s="261"/>
      <c r="AF22" s="188"/>
      <c r="AG22" s="188"/>
      <c r="AH22" s="188"/>
      <c r="AI22" s="188"/>
      <c r="AJ22" s="188"/>
      <c r="AK22" s="188"/>
      <c r="AL22" s="188"/>
      <c r="AM22" s="188"/>
      <c r="AN22" s="188"/>
      <c r="AO22" s="188"/>
      <c r="AP22" s="188"/>
      <c r="AQ22" s="188"/>
      <c r="AR22" s="188"/>
      <c r="AS22" s="188"/>
      <c r="AT22" s="188"/>
    </row>
    <row r="23" spans="2:50" x14ac:dyDescent="0.2">
      <c r="B23" s="310" t="s">
        <v>37</v>
      </c>
      <c r="C23" s="292"/>
      <c r="D23" s="253"/>
      <c r="E23" s="253"/>
      <c r="F23" s="253"/>
      <c r="G23" s="253"/>
      <c r="H23" s="253"/>
      <c r="I23" s="253"/>
      <c r="J23" s="253"/>
      <c r="K23" s="253"/>
      <c r="L23" s="253"/>
      <c r="M23" s="253"/>
      <c r="N23" s="253"/>
      <c r="O23" s="253"/>
      <c r="P23" s="253"/>
      <c r="Q23" s="253"/>
      <c r="R23" s="253"/>
      <c r="S23" s="253"/>
      <c r="T23" s="253"/>
      <c r="U23" s="253"/>
      <c r="V23" s="253"/>
      <c r="W23" s="253"/>
      <c r="X23" s="253"/>
      <c r="Y23" s="253"/>
      <c r="Z23" s="253"/>
      <c r="AA23" s="253"/>
      <c r="AB23" s="253"/>
      <c r="AC23" s="253"/>
      <c r="AD23" s="253"/>
      <c r="AE23" s="253"/>
      <c r="AF23" s="293"/>
      <c r="AG23" s="293"/>
      <c r="AH23" s="293"/>
      <c r="AI23" s="293"/>
      <c r="AJ23" s="293"/>
      <c r="AK23" s="293"/>
      <c r="AL23" s="293"/>
      <c r="AM23" s="293"/>
      <c r="AN23" s="293"/>
      <c r="AO23" s="293"/>
      <c r="AP23" s="293"/>
      <c r="AQ23" s="293"/>
      <c r="AR23" s="293"/>
      <c r="AS23" s="293"/>
      <c r="AT23" s="293"/>
      <c r="AU23" s="253"/>
      <c r="AV23" s="253"/>
      <c r="AW23" s="253"/>
      <c r="AX23" s="253"/>
    </row>
    <row r="24" spans="2:50" x14ac:dyDescent="0.2">
      <c r="B24" s="185">
        <v>1</v>
      </c>
      <c r="C24" s="297" t="s">
        <v>6</v>
      </c>
      <c r="D24" s="188">
        <f>Scenario!AL31</f>
        <v>0.35885603949224421</v>
      </c>
      <c r="E24" s="188">
        <f>Scenario!AM31</f>
        <v>0.9013033450837723</v>
      </c>
      <c r="F24" s="188">
        <f>Scenario!AN31</f>
        <v>1.7055939051037041</v>
      </c>
      <c r="G24" s="188">
        <f>Scenario!AO31</f>
        <v>3.2276043187840591</v>
      </c>
      <c r="H24" s="294">
        <f>Scenario!AP31</f>
        <v>8.1064556506921353</v>
      </c>
      <c r="I24" s="191">
        <f>IF(D24+'Non-travel METs'!D25&gt;2.5, D24+'Non-travel METs'!D25, 0.1)</f>
        <v>0.1</v>
      </c>
      <c r="J24" s="191">
        <f>IF(E24+'Non-travel METs'!E25&gt;2.5, E24+'Non-travel METs'!E25, 0.1)</f>
        <v>0.1</v>
      </c>
      <c r="K24" s="191">
        <f>IF(F24+'Non-travel METs'!F25&gt;2.5, F24+'Non-travel METs'!F25, 0.1)</f>
        <v>0.1</v>
      </c>
      <c r="L24" s="191">
        <f>IF(G24+'Non-travel METs'!G25&gt;2.5, G24+'Non-travel METs'!G25, 0.1)</f>
        <v>3.2276043187840591</v>
      </c>
      <c r="M24" s="196">
        <f>IF(H24+'Non-travel METs'!H25&gt;2.5, H24+'Non-travel METs'!H25, 0.1)</f>
        <v>8.1064556506921353</v>
      </c>
      <c r="N24" s="241">
        <f>'Phy activity RRs'!$F$8</f>
        <v>0.93831941951583364</v>
      </c>
      <c r="O24" s="188">
        <f>$N24^(I24^0.5)</f>
        <v>0.98006871247951299</v>
      </c>
      <c r="P24" s="188">
        <f t="shared" ref="P24:S39" si="11">$N24^(J24^0.5)</f>
        <v>0.98006871247951299</v>
      </c>
      <c r="Q24" s="188">
        <f t="shared" si="11"/>
        <v>0.98006871247951299</v>
      </c>
      <c r="R24" s="188">
        <f t="shared" si="11"/>
        <v>0.89192135619620472</v>
      </c>
      <c r="S24" s="294">
        <f t="shared" si="11"/>
        <v>0.83421380745559881</v>
      </c>
      <c r="T24" s="269">
        <f>O24/O6</f>
        <v>1</v>
      </c>
      <c r="U24" s="269">
        <f t="shared" ref="U24:X39" si="12">P24/P6</f>
        <v>1</v>
      </c>
      <c r="V24" s="269">
        <f t="shared" si="12"/>
        <v>1</v>
      </c>
      <c r="W24" s="269">
        <f t="shared" si="12"/>
        <v>0.99489497046698816</v>
      </c>
      <c r="X24" s="300">
        <f t="shared" si="12"/>
        <v>0.99209986500524927</v>
      </c>
      <c r="Y24" s="269">
        <f>O24/$O24</f>
        <v>1</v>
      </c>
      <c r="Z24" s="269">
        <f t="shared" ref="Z24:AC39" si="13">P24/$O24</f>
        <v>1</v>
      </c>
      <c r="AA24" s="269">
        <f t="shared" si="13"/>
        <v>1</v>
      </c>
      <c r="AB24" s="269">
        <f t="shared" si="13"/>
        <v>0.91006002419942478</v>
      </c>
      <c r="AC24" s="300">
        <f t="shared" si="13"/>
        <v>0.85117889881933861</v>
      </c>
      <c r="AD24" s="305">
        <f>(5-SUM(T24:X24))/5</f>
        <v>2.6010329055525363E-3</v>
      </c>
      <c r="AE24" s="306">
        <f>1-AD24</f>
        <v>0.99739896709444742</v>
      </c>
      <c r="AF24" s="188">
        <f>AE24*GBDUS!K41/(Y24+Z24+AA24+AB24+AC24)</f>
        <v>0</v>
      </c>
      <c r="AG24" s="188">
        <f>$AF24*Z24</f>
        <v>0</v>
      </c>
      <c r="AH24" s="188">
        <f t="shared" ref="AH24:AJ39" si="14">$AF24*AA24</f>
        <v>0</v>
      </c>
      <c r="AI24" s="188">
        <f t="shared" si="14"/>
        <v>0</v>
      </c>
      <c r="AJ24" s="294">
        <f t="shared" si="14"/>
        <v>0</v>
      </c>
      <c r="AK24" s="274">
        <f>AE24*GBDUS!L41/(Y24+Z24+AA24+AB24+AC24)</f>
        <v>5.4339481386171586</v>
      </c>
      <c r="AL24" s="274">
        <f>$AK24*Z24</f>
        <v>5.4339481386171586</v>
      </c>
      <c r="AM24" s="274">
        <f t="shared" ref="AM24:AO39" si="15">$AK24*AA24</f>
        <v>5.4339481386171586</v>
      </c>
      <c r="AN24" s="274">
        <f t="shared" si="15"/>
        <v>4.945218974528351</v>
      </c>
      <c r="AO24" s="276">
        <f t="shared" si="15"/>
        <v>4.6252619928695475</v>
      </c>
      <c r="AP24" s="274">
        <f>AE24*GBDUS!M41/(Y24+Z24+AA24+AB24+AC24)</f>
        <v>4.7949294783591306E-2</v>
      </c>
      <c r="AQ24" s="274">
        <f>$AP24*Z24</f>
        <v>4.7949294783591306E-2</v>
      </c>
      <c r="AR24" s="274">
        <f t="shared" ref="AR24:AT39" si="16">$AP24*AA24</f>
        <v>4.7949294783591306E-2</v>
      </c>
      <c r="AS24" s="274">
        <f t="shared" si="16"/>
        <v>4.3636736371100458E-2</v>
      </c>
      <c r="AT24" s="276">
        <f t="shared" si="16"/>
        <v>4.0813427933061107E-2</v>
      </c>
      <c r="AU24" s="338">
        <f>SUM(AF24:AJ24)-SUM(AF6:AJ6)</f>
        <v>0</v>
      </c>
      <c r="AV24" s="338">
        <f>SUM(AK24:AO24)-SUM(AK6:AO6)</f>
        <v>-6.747026203669293E-2</v>
      </c>
      <c r="AW24" s="338">
        <f>SUM(AP24:AT24)-SUM(AP6:AT6)</f>
        <v>-5.9535928591816778E-4</v>
      </c>
      <c r="AX24" s="338">
        <f>AV24+AW24</f>
        <v>-6.8065621322611097E-2</v>
      </c>
    </row>
    <row r="25" spans="2:50" x14ac:dyDescent="0.2">
      <c r="B25" s="185">
        <v>1</v>
      </c>
      <c r="C25" s="297" t="s">
        <v>7</v>
      </c>
      <c r="D25" s="188">
        <f>Scenario!AL32</f>
        <v>0.72455011766948996</v>
      </c>
      <c r="E25" s="188">
        <f>Scenario!AM32</f>
        <v>1.8197811179668499</v>
      </c>
      <c r="F25" s="188">
        <f>Scenario!AN32</f>
        <v>3.4436880772239649</v>
      </c>
      <c r="G25" s="331">
        <f>Scenario!AO32</f>
        <v>6.5167109693191785</v>
      </c>
      <c r="H25" s="294">
        <f>Scenario!AP32</f>
        <v>16.36738064629516</v>
      </c>
      <c r="I25" s="191">
        <f>IF(D25+'Non-travel METs'!D26&gt;2.5, D25+'Non-travel METs'!D26, 0.1)</f>
        <v>0.1</v>
      </c>
      <c r="J25" s="191">
        <f>IF(E25+'Non-travel METs'!E26&gt;2.5, E25+'Non-travel METs'!E26, 0.1)</f>
        <v>0.1</v>
      </c>
      <c r="K25" s="191">
        <f>IF(F25+'Non-travel METs'!F26&gt;2.5, F25+'Non-travel METs'!F26, 0.1)</f>
        <v>3.4436880772239649</v>
      </c>
      <c r="L25" s="191">
        <f>IF(G25+'Non-travel METs'!G26&gt;2.5, G25+'Non-travel METs'!G26, 0.1)</f>
        <v>6.5167109693191785</v>
      </c>
      <c r="M25" s="196">
        <f>IF(H25+'Non-travel METs'!H26&gt;2.5, H25+'Non-travel METs'!H26, 0.1)</f>
        <v>16.36738064629516</v>
      </c>
      <c r="N25" s="241">
        <f>'Phy activity RRs'!$F$8</f>
        <v>0.93831941951583364</v>
      </c>
      <c r="O25" s="188">
        <f t="shared" ref="O25:O39" si="17">$N25^(I25^0.5)</f>
        <v>0.98006871247951299</v>
      </c>
      <c r="P25" s="188">
        <f t="shared" si="11"/>
        <v>0.98006871247951299</v>
      </c>
      <c r="Q25" s="188">
        <f t="shared" si="11"/>
        <v>0.88856809203537013</v>
      </c>
      <c r="R25" s="188">
        <f t="shared" si="11"/>
        <v>0.84999680838758584</v>
      </c>
      <c r="S25" s="294">
        <f t="shared" si="11"/>
        <v>0.77293023761720792</v>
      </c>
      <c r="T25" s="269">
        <f t="shared" ref="T25:T39" si="18">O25/O7</f>
        <v>1</v>
      </c>
      <c r="U25" s="269">
        <f t="shared" si="12"/>
        <v>1</v>
      </c>
      <c r="V25" s="269">
        <f t="shared" si="12"/>
        <v>0.99612779438611898</v>
      </c>
      <c r="W25" s="269">
        <f t="shared" si="12"/>
        <v>0.99478950434974023</v>
      </c>
      <c r="X25" s="300">
        <f t="shared" si="12"/>
        <v>0.99201156584071881</v>
      </c>
      <c r="Y25" s="269">
        <f t="shared" ref="Y25:Y39" si="19">O25/$O25</f>
        <v>1</v>
      </c>
      <c r="Z25" s="269">
        <f t="shared" si="13"/>
        <v>1</v>
      </c>
      <c r="AA25" s="269">
        <f t="shared" si="13"/>
        <v>0.90663856597089809</v>
      </c>
      <c r="AB25" s="269">
        <f t="shared" si="13"/>
        <v>0.86728287268465765</v>
      </c>
      <c r="AC25" s="300">
        <f t="shared" si="13"/>
        <v>0.78864902815001858</v>
      </c>
      <c r="AD25" s="305">
        <f t="shared" ref="AD25:AD39" si="20">(5-SUM(T25:X25))/5</f>
        <v>3.4142270846844623E-3</v>
      </c>
      <c r="AE25" s="306">
        <f t="shared" ref="AE25:AE39" si="21">1-AD25</f>
        <v>0.99658577291531558</v>
      </c>
      <c r="AF25" s="188">
        <f>AE25*GBDUS!K42/(Y25+Z25+AA25+AB25+AC25)</f>
        <v>0</v>
      </c>
      <c r="AG25" s="188">
        <f t="shared" ref="AG25:AG39" si="22">$AF25*Z25</f>
        <v>0</v>
      </c>
      <c r="AH25" s="188">
        <f t="shared" si="14"/>
        <v>0</v>
      </c>
      <c r="AI25" s="188">
        <f t="shared" si="14"/>
        <v>0</v>
      </c>
      <c r="AJ25" s="294">
        <f t="shared" si="14"/>
        <v>0</v>
      </c>
      <c r="AK25" s="274">
        <f>AE25*GBDUS!L42/(Y25+Z25+AA25+AB25+AC25)</f>
        <v>2.7351399131112641</v>
      </c>
      <c r="AL25" s="274">
        <f t="shared" ref="AL25:AL39" si="23">$AK25*Z25</f>
        <v>2.7351399131112641</v>
      </c>
      <c r="AM25" s="274">
        <f t="shared" si="15"/>
        <v>2.4797833285529634</v>
      </c>
      <c r="AN25" s="274">
        <f t="shared" si="15"/>
        <v>2.3721400010376019</v>
      </c>
      <c r="AO25" s="276">
        <f t="shared" si="15"/>
        <v>2.1570654343295246</v>
      </c>
      <c r="AP25" s="274">
        <f>AE25*GBDUS!M42/(Y25+Z25+AA25+AB25+AC25)</f>
        <v>0.19823482260788214</v>
      </c>
      <c r="AQ25" s="274">
        <f t="shared" ref="AQ25:AQ39" si="24">$AP25*Z25</f>
        <v>0.19823482260788214</v>
      </c>
      <c r="AR25" s="274">
        <f t="shared" si="16"/>
        <v>0.17972733529470564</v>
      </c>
      <c r="AS25" s="274">
        <f t="shared" si="16"/>
        <v>0.17192566641749754</v>
      </c>
      <c r="AT25" s="276">
        <f t="shared" si="16"/>
        <v>0.15633770019519758</v>
      </c>
      <c r="AU25" s="338">
        <f t="shared" ref="AU25:AU39" si="25">SUM(AF25:AJ25)-SUM(AF7:AJ7)</f>
        <v>0</v>
      </c>
      <c r="AV25" s="338">
        <f t="shared" ref="AV25:AV39" si="26">SUM(AK25:AO25)-SUM(AK7:AO7)</f>
        <v>-4.2753025354635099E-2</v>
      </c>
      <c r="AW25" s="338">
        <f t="shared" ref="AW25:AW39" si="27">SUM(AP25:AT25)-SUM(AP7:AT7)</f>
        <v>-3.098612380485477E-3</v>
      </c>
      <c r="AX25" s="338">
        <f t="shared" ref="AX25:AX39" si="28">AV25+AW25</f>
        <v>-4.5851637735120576E-2</v>
      </c>
    </row>
    <row r="26" spans="2:50" x14ac:dyDescent="0.2">
      <c r="B26" s="185">
        <v>1</v>
      </c>
      <c r="C26" s="297" t="s">
        <v>8</v>
      </c>
      <c r="D26" s="188">
        <f>Scenario!AL33</f>
        <v>0.55835336477175823</v>
      </c>
      <c r="E26" s="188">
        <f>Scenario!AM33</f>
        <v>1.4023611142775319</v>
      </c>
      <c r="F26" s="188">
        <f>Scenario!AN33</f>
        <v>2.6537775348474759</v>
      </c>
      <c r="G26" s="188">
        <f>Scenario!AO33</f>
        <v>5.0219127817796902</v>
      </c>
      <c r="H26" s="294">
        <f>Scenario!AP33</f>
        <v>12.613043367867888</v>
      </c>
      <c r="I26" s="191">
        <f>IF(D26+'Non-travel METs'!D27&gt;2.5, D26+'Non-travel METs'!D27, 0.1)</f>
        <v>65.435853364771759</v>
      </c>
      <c r="J26" s="191">
        <f>IF(E26+'Non-travel METs'!E27&gt;2.5, E26+'Non-travel METs'!E27, 0.1)</f>
        <v>66.279861114277523</v>
      </c>
      <c r="K26" s="191">
        <f>IF(F26+'Non-travel METs'!F27&gt;2.5, F26+'Non-travel METs'!F27, 0.1)</f>
        <v>67.531277534847476</v>
      </c>
      <c r="L26" s="191">
        <f>IF(G26+'Non-travel METs'!G27&gt;2.5, G26+'Non-travel METs'!G27, 0.1)</f>
        <v>69.899412781779688</v>
      </c>
      <c r="M26" s="196">
        <f>IF(H26+'Non-travel METs'!H27&gt;2.5, H26+'Non-travel METs'!H27, 0.1)</f>
        <v>77.490543367867886</v>
      </c>
      <c r="N26" s="241">
        <f>'Phy activity RRs'!$F$8</f>
        <v>0.93831941951583364</v>
      </c>
      <c r="O26" s="188">
        <f t="shared" si="17"/>
        <v>0.59750030177202529</v>
      </c>
      <c r="P26" s="188">
        <f t="shared" si="11"/>
        <v>0.59552545205045171</v>
      </c>
      <c r="Q26" s="188">
        <f t="shared" si="11"/>
        <v>0.59263218558336639</v>
      </c>
      <c r="R26" s="188">
        <f t="shared" si="11"/>
        <v>0.58726709000078503</v>
      </c>
      <c r="S26" s="294">
        <f t="shared" si="11"/>
        <v>0.57096148159852933</v>
      </c>
      <c r="T26" s="269">
        <f t="shared" si="18"/>
        <v>0.99986228724259862</v>
      </c>
      <c r="U26" s="269">
        <f t="shared" si="12"/>
        <v>0.99966697275498118</v>
      </c>
      <c r="V26" s="269">
        <f t="shared" si="12"/>
        <v>0.99938946615988211</v>
      </c>
      <c r="W26" s="269">
        <f t="shared" si="12"/>
        <v>0.99889001932692456</v>
      </c>
      <c r="X26" s="300">
        <f t="shared" si="12"/>
        <v>0.9974401686484371</v>
      </c>
      <c r="Y26" s="269">
        <f t="shared" si="19"/>
        <v>1</v>
      </c>
      <c r="Z26" s="269">
        <f t="shared" si="13"/>
        <v>0.99669481385077685</v>
      </c>
      <c r="AA26" s="269">
        <f t="shared" si="13"/>
        <v>0.99185252932220891</v>
      </c>
      <c r="AB26" s="269">
        <f t="shared" si="13"/>
        <v>0.98287329438848603</v>
      </c>
      <c r="AC26" s="300">
        <f t="shared" si="13"/>
        <v>0.95558358699604173</v>
      </c>
      <c r="AD26" s="305">
        <f t="shared" si="20"/>
        <v>9.5021717343541918E-4</v>
      </c>
      <c r="AE26" s="306">
        <f t="shared" si="21"/>
        <v>0.99904978282656454</v>
      </c>
      <c r="AF26" s="188">
        <f>AE26*GBDUS!K43/(Y26+Z26+AA26+AB26+AC26)</f>
        <v>0</v>
      </c>
      <c r="AG26" s="188">
        <f t="shared" si="22"/>
        <v>0</v>
      </c>
      <c r="AH26" s="188">
        <f t="shared" si="14"/>
        <v>0</v>
      </c>
      <c r="AI26" s="188">
        <f t="shared" si="14"/>
        <v>0</v>
      </c>
      <c r="AJ26" s="294">
        <f t="shared" si="14"/>
        <v>0</v>
      </c>
      <c r="AK26" s="274">
        <f>AE26*GBDUS!L43/(Y26+Z26+AA26+AB26+AC26)</f>
        <v>26.224287931939973</v>
      </c>
      <c r="AL26" s="274">
        <f t="shared" si="23"/>
        <v>26.137611778694083</v>
      </c>
      <c r="AM26" s="274">
        <f t="shared" si="15"/>
        <v>26.01062631496854</v>
      </c>
      <c r="AN26" s="274">
        <f t="shared" si="15"/>
        <v>25.775152272658058</v>
      </c>
      <c r="AO26" s="276">
        <f t="shared" si="15"/>
        <v>25.059499128420207</v>
      </c>
      <c r="AP26" s="274">
        <f>AE26*GBDUS!M43/(Y26+Z26+AA26+AB26+AC26)</f>
        <v>4.3268724058081087</v>
      </c>
      <c r="AQ26" s="274">
        <f t="shared" si="24"/>
        <v>4.3125712870629762</v>
      </c>
      <c r="AR26" s="274">
        <f t="shared" si="16"/>
        <v>4.2916193397552433</v>
      </c>
      <c r="AS26" s="274">
        <f t="shared" si="16"/>
        <v>4.2527673358952498</v>
      </c>
      <c r="AT26" s="276">
        <f t="shared" si="16"/>
        <v>4.1346882540163055</v>
      </c>
      <c r="AU26" s="338">
        <f t="shared" si="25"/>
        <v>0</v>
      </c>
      <c r="AV26" s="338">
        <f t="shared" si="26"/>
        <v>-0.12289165268080637</v>
      </c>
      <c r="AW26" s="338">
        <f t="shared" si="27"/>
        <v>-2.0276489575955736E-2</v>
      </c>
      <c r="AX26" s="338">
        <f t="shared" si="28"/>
        <v>-0.14316814225676211</v>
      </c>
    </row>
    <row r="27" spans="2:50" x14ac:dyDescent="0.2">
      <c r="B27" s="185">
        <v>1</v>
      </c>
      <c r="C27" s="297" t="s">
        <v>9</v>
      </c>
      <c r="D27" s="188">
        <f>Scenario!AL34</f>
        <v>0.48139446095649707</v>
      </c>
      <c r="E27" s="188">
        <f>Scenario!AM34</f>
        <v>1.2090710207324453</v>
      </c>
      <c r="F27" s="188">
        <f>Scenario!AN34</f>
        <v>2.2880023413283812</v>
      </c>
      <c r="G27" s="188">
        <f>Scenario!AO34</f>
        <v>4.3297330133285801</v>
      </c>
      <c r="H27" s="294">
        <f>Scenario!AP34</f>
        <v>10.874563665569944</v>
      </c>
      <c r="I27" s="191">
        <f>IF(D27+'Non-travel METs'!D28&gt;2.5, D27+'Non-travel METs'!D28, 0.1)</f>
        <v>68.175144460956489</v>
      </c>
      <c r="J27" s="191">
        <f>IF(E27+'Non-travel METs'!E28&gt;2.5, E27+'Non-travel METs'!E28, 0.1)</f>
        <v>68.902821020732446</v>
      </c>
      <c r="K27" s="191">
        <f>IF(F27+'Non-travel METs'!F28&gt;2.5, F27+'Non-travel METs'!F28, 0.1)</f>
        <v>69.981752341328374</v>
      </c>
      <c r="L27" s="191">
        <f>IF(G27+'Non-travel METs'!G28&gt;2.5, G27+'Non-travel METs'!G28, 0.1)</f>
        <v>72.023483013328573</v>
      </c>
      <c r="M27" s="196">
        <f>IF(H27+'Non-travel METs'!H28&gt;2.5, H27+'Non-travel METs'!H28, 0.1)</f>
        <v>78.568313665569946</v>
      </c>
      <c r="N27" s="241">
        <f>'Phy activity RRs'!$F$8</f>
        <v>0.93831941951583364</v>
      </c>
      <c r="O27" s="188">
        <f t="shared" si="17"/>
        <v>0.59115944266594012</v>
      </c>
      <c r="P27" s="188">
        <f t="shared" si="11"/>
        <v>0.58950771648057465</v>
      </c>
      <c r="Q27" s="188">
        <f t="shared" si="11"/>
        <v>0.58708306310236724</v>
      </c>
      <c r="R27" s="188">
        <f t="shared" si="11"/>
        <v>0.58257211369851469</v>
      </c>
      <c r="S27" s="294">
        <f t="shared" si="11"/>
        <v>0.56874821845857326</v>
      </c>
      <c r="T27" s="269">
        <f t="shared" si="18"/>
        <v>0.99988284760811363</v>
      </c>
      <c r="U27" s="269">
        <f t="shared" si="12"/>
        <v>0.99971631746188638</v>
      </c>
      <c r="V27" s="269">
        <f t="shared" si="12"/>
        <v>0.99947902335992933</v>
      </c>
      <c r="W27" s="269">
        <f t="shared" si="12"/>
        <v>0.9990499867701621</v>
      </c>
      <c r="X27" s="300">
        <f t="shared" si="12"/>
        <v>0.99779087284389101</v>
      </c>
      <c r="Y27" s="269">
        <f t="shared" si="19"/>
        <v>1</v>
      </c>
      <c r="Z27" s="269">
        <f t="shared" si="13"/>
        <v>0.99720595483019492</v>
      </c>
      <c r="AA27" s="269">
        <f t="shared" si="13"/>
        <v>0.99310443296788142</v>
      </c>
      <c r="AB27" s="269">
        <f t="shared" si="13"/>
        <v>0.98547375149976579</v>
      </c>
      <c r="AC27" s="300">
        <f t="shared" si="13"/>
        <v>0.96208937455807286</v>
      </c>
      <c r="AD27" s="305">
        <f t="shared" si="20"/>
        <v>8.1619039120361947E-4</v>
      </c>
      <c r="AE27" s="306">
        <f t="shared" si="21"/>
        <v>0.99918380960879638</v>
      </c>
      <c r="AF27" s="188">
        <f>AE27*GBDUS!K44/(Y27+Z27+AA27+AB27+AC27)</f>
        <v>2.0235103365953737</v>
      </c>
      <c r="AG27" s="188">
        <f t="shared" si="22"/>
        <v>2.0178565573133587</v>
      </c>
      <c r="AH27" s="188">
        <f t="shared" si="14"/>
        <v>2.0095570854291953</v>
      </c>
      <c r="AI27" s="188">
        <f t="shared" si="14"/>
        <v>1.9941163226031968</v>
      </c>
      <c r="AJ27" s="294">
        <f t="shared" si="14"/>
        <v>1.9467977941468386</v>
      </c>
      <c r="AK27" s="274">
        <f>AE27*GBDUS!L44/(Y27+Z27+AA27+AB27+AC27)</f>
        <v>94.058370424580659</v>
      </c>
      <c r="AL27" s="274">
        <f t="shared" si="23"/>
        <v>93.795567089016117</v>
      </c>
      <c r="AM27" s="274">
        <f t="shared" si="15"/>
        <v>93.409784626386127</v>
      </c>
      <c r="AN27" s="274">
        <f t="shared" si="15"/>
        <v>92.692055162266115</v>
      </c>
      <c r="AO27" s="276">
        <f t="shared" si="15"/>
        <v>90.492558773736349</v>
      </c>
      <c r="AP27" s="274">
        <f>AE27*GBDUS!M44/(Y27+Z27+AA27+AB27+AC27)</f>
        <v>9.5840197831573146</v>
      </c>
      <c r="AQ27" s="274">
        <f t="shared" si="24"/>
        <v>9.5572415989748674</v>
      </c>
      <c r="AR27" s="274">
        <f t="shared" si="16"/>
        <v>9.5179325323054034</v>
      </c>
      <c r="AS27" s="274">
        <f t="shared" si="16"/>
        <v>9.4447999301560106</v>
      </c>
      <c r="AT27" s="276">
        <f t="shared" si="16"/>
        <v>9.2206835989300178</v>
      </c>
      <c r="AU27" s="338">
        <f t="shared" si="25"/>
        <v>-8.1619039120361947E-3</v>
      </c>
      <c r="AV27" s="338">
        <f t="shared" si="26"/>
        <v>-0.37938792189208925</v>
      </c>
      <c r="AW27" s="338">
        <f t="shared" si="27"/>
        <v>-3.8657498875338092E-2</v>
      </c>
      <c r="AX27" s="338">
        <f t="shared" si="28"/>
        <v>-0.41804542076742734</v>
      </c>
    </row>
    <row r="28" spans="2:50" x14ac:dyDescent="0.2">
      <c r="B28" s="185">
        <v>1</v>
      </c>
      <c r="C28" s="297" t="s">
        <v>10</v>
      </c>
      <c r="D28" s="188">
        <f>Scenario!AL35</f>
        <v>0.40591226731191066</v>
      </c>
      <c r="E28" s="188">
        <f>Scenario!AM35</f>
        <v>1.0194898345766048</v>
      </c>
      <c r="F28" s="188">
        <f>Scenario!AN35</f>
        <v>1.9292457502278801</v>
      </c>
      <c r="G28" s="188">
        <f>Scenario!AO35</f>
        <v>3.6508349946599323</v>
      </c>
      <c r="H28" s="294">
        <f>Scenario!AP35</f>
        <v>9.1694424251344167</v>
      </c>
      <c r="I28" s="191">
        <f>IF(D28+'Non-travel METs'!D29&gt;2.5, D28+'Non-travel METs'!D29, 0.1)</f>
        <v>58.180912267311911</v>
      </c>
      <c r="J28" s="191">
        <f>IF(E28+'Non-travel METs'!E29&gt;2.5, E28+'Non-travel METs'!E29, 0.1)</f>
        <v>58.794489834576602</v>
      </c>
      <c r="K28" s="191">
        <f>IF(F28+'Non-travel METs'!F29&gt;2.5, F28+'Non-travel METs'!F29, 0.1)</f>
        <v>59.704245750227876</v>
      </c>
      <c r="L28" s="191">
        <f>IF(G28+'Non-travel METs'!G29&gt;2.5, G28+'Non-travel METs'!G29, 0.1)</f>
        <v>61.42583499465993</v>
      </c>
      <c r="M28" s="196">
        <f>IF(H28+'Non-travel METs'!H29&gt;2.5, H28+'Non-travel METs'!H29, 0.1)</f>
        <v>66.944442425134412</v>
      </c>
      <c r="N28" s="241">
        <f>'Phy activity RRs'!$F$8</f>
        <v>0.93831941951583364</v>
      </c>
      <c r="O28" s="188">
        <f t="shared" si="17"/>
        <v>0.61532008544233086</v>
      </c>
      <c r="P28" s="188">
        <f t="shared" si="11"/>
        <v>0.61375060797770198</v>
      </c>
      <c r="Q28" s="188">
        <f t="shared" si="11"/>
        <v>0.61144581881726467</v>
      </c>
      <c r="R28" s="188">
        <f t="shared" si="11"/>
        <v>0.60715511063839944</v>
      </c>
      <c r="S28" s="294">
        <f t="shared" si="11"/>
        <v>0.59398382224389834</v>
      </c>
      <c r="T28" s="269">
        <f t="shared" si="18"/>
        <v>0.99991034861281258</v>
      </c>
      <c r="U28" s="269">
        <f t="shared" si="12"/>
        <v>0.99978431906321852</v>
      </c>
      <c r="V28" s="269">
        <f t="shared" si="12"/>
        <v>0.99960578481395823</v>
      </c>
      <c r="W28" s="269">
        <f t="shared" si="12"/>
        <v>0.99928468379912694</v>
      </c>
      <c r="X28" s="300">
        <f t="shared" si="12"/>
        <v>0.99834892174256162</v>
      </c>
      <c r="Y28" s="269">
        <f t="shared" si="19"/>
        <v>1</v>
      </c>
      <c r="Z28" s="269">
        <f t="shared" si="13"/>
        <v>0.99744933165394623</v>
      </c>
      <c r="AA28" s="269">
        <f t="shared" si="13"/>
        <v>0.99370365649240733</v>
      </c>
      <c r="AB28" s="269">
        <f t="shared" si="13"/>
        <v>0.98673052449106724</v>
      </c>
      <c r="AC28" s="300">
        <f t="shared" si="13"/>
        <v>0.96532493623526905</v>
      </c>
      <c r="AD28" s="305">
        <f t="shared" si="20"/>
        <v>6.1318839366446558E-4</v>
      </c>
      <c r="AE28" s="306">
        <f t="shared" si="21"/>
        <v>0.99938681160633558</v>
      </c>
      <c r="AF28" s="188">
        <f>AE28*GBDUS!K45/(Y28+Z28+AA28+AB28+AC28)</f>
        <v>17.791286839504782</v>
      </c>
      <c r="AG28" s="188">
        <f t="shared" si="22"/>
        <v>17.745907167327694</v>
      </c>
      <c r="AH28" s="188">
        <f t="shared" si="14"/>
        <v>17.679266786121147</v>
      </c>
      <c r="AI28" s="188">
        <f t="shared" si="14"/>
        <v>17.555205794515576</v>
      </c>
      <c r="AJ28" s="294">
        <f t="shared" si="14"/>
        <v>17.174372833888334</v>
      </c>
      <c r="AK28" s="274">
        <f>AE28*GBDUS!L45/(Y28+Z28+AA28+AB28+AC28)</f>
        <v>594.90270699596886</v>
      </c>
      <c r="AL28" s="274">
        <f t="shared" si="23"/>
        <v>593.38530749225254</v>
      </c>
      <c r="AM28" s="274">
        <f t="shared" si="15"/>
        <v>591.1569951991255</v>
      </c>
      <c r="AN28" s="274">
        <f t="shared" si="15"/>
        <v>587.00866009528806</v>
      </c>
      <c r="AO28" s="276">
        <f t="shared" si="15"/>
        <v>574.27441769707264</v>
      </c>
      <c r="AP28" s="274">
        <f>AE28*GBDUS!M45/(Y28+Z28+AA28+AB28+AC28)</f>
        <v>44.710101724610482</v>
      </c>
      <c r="AQ28" s="274">
        <f t="shared" si="24"/>
        <v>44.596061083392676</v>
      </c>
      <c r="AR28" s="274">
        <f t="shared" si="16"/>
        <v>44.428591565892923</v>
      </c>
      <c r="AS28" s="274">
        <f t="shared" si="16"/>
        <v>44.116822124773869</v>
      </c>
      <c r="AT28" s="276">
        <f t="shared" si="16"/>
        <v>43.159776096382004</v>
      </c>
      <c r="AU28" s="338">
        <f t="shared" si="25"/>
        <v>-5.3960578642460177E-2</v>
      </c>
      <c r="AV28" s="338">
        <f t="shared" si="26"/>
        <v>-1.8043267243710943</v>
      </c>
      <c r="AW28" s="338">
        <f t="shared" si="27"/>
        <v>-0.13560474753666085</v>
      </c>
      <c r="AX28" s="338">
        <f t="shared" si="28"/>
        <v>-1.9399314719077552</v>
      </c>
    </row>
    <row r="29" spans="2:50" x14ac:dyDescent="0.2">
      <c r="B29" s="185">
        <v>1</v>
      </c>
      <c r="C29" s="297" t="s">
        <v>11</v>
      </c>
      <c r="D29" s="188">
        <f>Scenario!AL36</f>
        <v>0.33207313165469332</v>
      </c>
      <c r="E29" s="188">
        <f>Scenario!AM36</f>
        <v>0.83403535522574834</v>
      </c>
      <c r="F29" s="188">
        <f>Scenario!AN36</f>
        <v>1.5782983900740115</v>
      </c>
      <c r="G29" s="188">
        <f>Scenario!AO36</f>
        <v>2.9867148826514303</v>
      </c>
      <c r="H29" s="294">
        <f>Scenario!AP36</f>
        <v>7.5014373963278462</v>
      </c>
      <c r="I29" s="191">
        <f>IF(D29+'Non-travel METs'!D30&gt;2.5, D29+'Non-travel METs'!D30, 0.1)</f>
        <v>23.415406464987992</v>
      </c>
      <c r="J29" s="191">
        <f>IF(E29+'Non-travel METs'!E30&gt;2.5, E29+'Non-travel METs'!E30, 0.1)</f>
        <v>23.917368688559048</v>
      </c>
      <c r="K29" s="191">
        <f>IF(F29+'Non-travel METs'!F30&gt;2.5, F29+'Non-travel METs'!F30, 0.1)</f>
        <v>24.661631723407311</v>
      </c>
      <c r="L29" s="191">
        <f>IF(G29+'Non-travel METs'!G30&gt;2.5, G29+'Non-travel METs'!G30, 0.1)</f>
        <v>26.07004821598473</v>
      </c>
      <c r="M29" s="196">
        <f>IF(H29+'Non-travel METs'!H30&gt;2.5, H29+'Non-travel METs'!H30, 0.1)</f>
        <v>30.584770729661145</v>
      </c>
      <c r="N29" s="241">
        <f>'Phy activity RRs'!$F$8</f>
        <v>0.93831941951583364</v>
      </c>
      <c r="O29" s="188">
        <f t="shared" si="17"/>
        <v>0.73486325070178271</v>
      </c>
      <c r="P29" s="188">
        <f t="shared" si="11"/>
        <v>0.73245348731920079</v>
      </c>
      <c r="Q29" s="188">
        <f t="shared" si="11"/>
        <v>0.72894082626010204</v>
      </c>
      <c r="R29" s="188">
        <f t="shared" si="11"/>
        <v>0.72248014046328068</v>
      </c>
      <c r="S29" s="294">
        <f t="shared" si="11"/>
        <v>0.70321758145013136</v>
      </c>
      <c r="T29" s="269">
        <f t="shared" si="18"/>
        <v>0.99986774522197586</v>
      </c>
      <c r="U29" s="269">
        <f t="shared" si="12"/>
        <v>0.99968186001455728</v>
      </c>
      <c r="V29" s="269">
        <f t="shared" si="12"/>
        <v>0.99942065590377704</v>
      </c>
      <c r="W29" s="269">
        <f t="shared" si="12"/>
        <v>0.99895847537245108</v>
      </c>
      <c r="X29" s="300">
        <f t="shared" si="12"/>
        <v>0.99766712270517</v>
      </c>
      <c r="Y29" s="269">
        <f t="shared" si="19"/>
        <v>1</v>
      </c>
      <c r="Z29" s="269">
        <f t="shared" si="13"/>
        <v>0.9967208002573531</v>
      </c>
      <c r="AA29" s="269">
        <f t="shared" si="13"/>
        <v>0.99194078022540266</v>
      </c>
      <c r="AB29" s="269">
        <f t="shared" si="13"/>
        <v>0.98314909579887644</v>
      </c>
      <c r="AC29" s="300">
        <f t="shared" si="13"/>
        <v>0.9569366556003035</v>
      </c>
      <c r="AD29" s="305">
        <f t="shared" si="20"/>
        <v>8.8082815641374876E-4</v>
      </c>
      <c r="AE29" s="306">
        <f t="shared" si="21"/>
        <v>0.99911917184358623</v>
      </c>
      <c r="AF29" s="188">
        <f>AE29*GBDUS!K46/(Y29+Z29+AA29+AB29+AC29)</f>
        <v>19.865834510791451</v>
      </c>
      <c r="AG29" s="188">
        <f t="shared" si="22"/>
        <v>19.8006904713762</v>
      </c>
      <c r="AH29" s="188">
        <f t="shared" si="14"/>
        <v>19.705731384463203</v>
      </c>
      <c r="AI29" s="188">
        <f t="shared" si="14"/>
        <v>19.531077236574731</v>
      </c>
      <c r="AJ29" s="294">
        <f t="shared" si="14"/>
        <v>19.010345237465863</v>
      </c>
      <c r="AK29" s="274">
        <f>AE29*GBDUS!L46/(Y29+Z29+AA29+AB29+AC29)</f>
        <v>460.50908241839204</v>
      </c>
      <c r="AL29" s="274">
        <f t="shared" si="23"/>
        <v>458.99898115383911</v>
      </c>
      <c r="AM29" s="274">
        <f t="shared" si="15"/>
        <v>456.79773851498408</v>
      </c>
      <c r="AN29" s="274">
        <f t="shared" si="15"/>
        <v>452.74908798681241</v>
      </c>
      <c r="AO29" s="276">
        <f t="shared" si="15"/>
        <v>440.67802120302059</v>
      </c>
      <c r="AP29" s="274">
        <f>AE29*GBDUS!M46/(Y29+Z29+AA29+AB29+AC29)</f>
        <v>39.171939208088261</v>
      </c>
      <c r="AQ29" s="274">
        <f t="shared" si="24"/>
        <v>39.043486595118118</v>
      </c>
      <c r="AR29" s="274">
        <f t="shared" si="16"/>
        <v>38.856243941013112</v>
      </c>
      <c r="AS29" s="274">
        <f t="shared" si="16"/>
        <v>38.511856613120528</v>
      </c>
      <c r="AT29" s="276">
        <f t="shared" si="16"/>
        <v>37.485064499166384</v>
      </c>
      <c r="AU29" s="338">
        <f t="shared" si="25"/>
        <v>-8.6321159328548447E-2</v>
      </c>
      <c r="AV29" s="338">
        <f t="shared" si="26"/>
        <v>-2.0010071992742269</v>
      </c>
      <c r="AW29" s="338">
        <f t="shared" si="27"/>
        <v>-0.17021017686184337</v>
      </c>
      <c r="AX29" s="338">
        <f t="shared" si="28"/>
        <v>-2.1712173761360702</v>
      </c>
    </row>
    <row r="30" spans="2:50" x14ac:dyDescent="0.2">
      <c r="B30" s="185">
        <v>1</v>
      </c>
      <c r="C30" s="297" t="s">
        <v>12</v>
      </c>
      <c r="D30" s="188">
        <f>Scenario!AL37</f>
        <v>0.19177331888346999</v>
      </c>
      <c r="E30" s="188">
        <f>Scenario!AM37</f>
        <v>0.48165814361673631</v>
      </c>
      <c r="F30" s="188">
        <f>Scenario!AN37</f>
        <v>0.91147247880225446</v>
      </c>
      <c r="G30" s="188">
        <f>Scenario!AO37</f>
        <v>1.7248376065556441</v>
      </c>
      <c r="H30" s="294">
        <f>Scenario!AP37</f>
        <v>4.3321046141916462</v>
      </c>
      <c r="I30" s="191">
        <f>IF(D30+'Non-travel METs'!D31&gt;2.5, D30+'Non-travel METs'!D31, 0.1)</f>
        <v>0.1</v>
      </c>
      <c r="J30" s="191">
        <f>IF(E30+'Non-travel METs'!E31&gt;2.5, E30+'Non-travel METs'!E31, 0.1)</f>
        <v>0.1</v>
      </c>
      <c r="K30" s="191">
        <f>IF(F30+'Non-travel METs'!F31&gt;2.5, F30+'Non-travel METs'!F31, 0.1)</f>
        <v>2.7864724788022546</v>
      </c>
      <c r="L30" s="191">
        <f>IF(G30+'Non-travel METs'!G31&gt;2.5, G30+'Non-travel METs'!G31, 0.1)</f>
        <v>3.5998376065556439</v>
      </c>
      <c r="M30" s="196">
        <f>IF(H30+'Non-travel METs'!H31&gt;2.5, H30+'Non-travel METs'!H31, 0.1)</f>
        <v>6.2071046141916462</v>
      </c>
      <c r="N30" s="241">
        <f>'Phy activity RRs'!$F$8</f>
        <v>0.93831941951583364</v>
      </c>
      <c r="O30" s="188">
        <f t="shared" si="17"/>
        <v>0.98006871247951299</v>
      </c>
      <c r="P30" s="188">
        <f t="shared" si="11"/>
        <v>0.98006871247951299</v>
      </c>
      <c r="Q30" s="188">
        <f t="shared" si="11"/>
        <v>0.89917821549998667</v>
      </c>
      <c r="R30" s="188">
        <f t="shared" si="11"/>
        <v>0.88621752455325264</v>
      </c>
      <c r="S30" s="294">
        <f t="shared" si="11"/>
        <v>0.85332481518037528</v>
      </c>
      <c r="T30" s="269">
        <f t="shared" si="18"/>
        <v>1</v>
      </c>
      <c r="U30" s="269">
        <f t="shared" si="12"/>
        <v>1</v>
      </c>
      <c r="V30" s="269">
        <f t="shared" si="12"/>
        <v>0.99902484366966615</v>
      </c>
      <c r="W30" s="269">
        <f t="shared" si="12"/>
        <v>0.99841321898776658</v>
      </c>
      <c r="X30" s="300">
        <f t="shared" si="12"/>
        <v>0.99706831659757933</v>
      </c>
      <c r="Y30" s="269">
        <f t="shared" si="19"/>
        <v>1</v>
      </c>
      <c r="Z30" s="269">
        <f t="shared" si="13"/>
        <v>1</v>
      </c>
      <c r="AA30" s="269">
        <f t="shared" si="13"/>
        <v>0.91746446351207522</v>
      </c>
      <c r="AB30" s="269">
        <f t="shared" si="13"/>
        <v>0.90424019588501847</v>
      </c>
      <c r="AC30" s="300">
        <f t="shared" si="13"/>
        <v>0.87067855989557763</v>
      </c>
      <c r="AD30" s="305">
        <f t="shared" si="20"/>
        <v>1.0987241489974764E-3</v>
      </c>
      <c r="AE30" s="306">
        <f t="shared" si="21"/>
        <v>0.99890127585100252</v>
      </c>
      <c r="AF30" s="188">
        <f>AE30*GBDUS!K47/(Y30+Z30+AA30+AB30+AC30)</f>
        <v>24.906629278284832</v>
      </c>
      <c r="AG30" s="188">
        <f t="shared" si="22"/>
        <v>24.906629278284832</v>
      </c>
      <c r="AH30" s="188">
        <f t="shared" si="14"/>
        <v>22.850947268695737</v>
      </c>
      <c r="AI30" s="188">
        <f t="shared" si="14"/>
        <v>22.521575337431813</v>
      </c>
      <c r="AJ30" s="294">
        <f t="shared" si="14"/>
        <v>21.685668111870068</v>
      </c>
      <c r="AK30" s="274">
        <f>AE30*GBDUS!L47/(Y30+Z30+AA30+AB30+AC30)</f>
        <v>363.85366671955649</v>
      </c>
      <c r="AL30" s="274">
        <f t="shared" si="23"/>
        <v>363.85366671955649</v>
      </c>
      <c r="AM30" s="274">
        <f t="shared" si="15"/>
        <v>333.82280913375934</v>
      </c>
      <c r="AN30" s="274">
        <f t="shared" si="15"/>
        <v>329.01111086797397</v>
      </c>
      <c r="AO30" s="276">
        <f t="shared" si="15"/>
        <v>316.79958655210891</v>
      </c>
      <c r="AP30" s="274">
        <f>AE30*GBDUS!M47/(Y30+Z30+AA30+AB30+AC30)</f>
        <v>32.42338317523177</v>
      </c>
      <c r="AQ30" s="274">
        <f t="shared" si="24"/>
        <v>32.42338317523177</v>
      </c>
      <c r="AR30" s="274">
        <f t="shared" si="16"/>
        <v>29.74730185011046</v>
      </c>
      <c r="AS30" s="274">
        <f t="shared" si="16"/>
        <v>29.318526353626588</v>
      </c>
      <c r="AT30" s="276">
        <f t="shared" si="16"/>
        <v>28.230344569953299</v>
      </c>
      <c r="AU30" s="338">
        <f t="shared" si="25"/>
        <v>-0.12855072543271717</v>
      </c>
      <c r="AV30" s="338">
        <f t="shared" si="26"/>
        <v>-1.8779599714414417</v>
      </c>
      <c r="AW30" s="338">
        <f t="shared" si="27"/>
        <v>-0.16734698949377957</v>
      </c>
      <c r="AX30" s="338">
        <f t="shared" si="28"/>
        <v>-2.0453069609352212</v>
      </c>
    </row>
    <row r="31" spans="2:50" x14ac:dyDescent="0.2">
      <c r="B31" s="292">
        <v>1</v>
      </c>
      <c r="C31" s="298" t="s">
        <v>13</v>
      </c>
      <c r="D31" s="293">
        <f>Scenario!AL38</f>
        <v>0.18242608873991903</v>
      </c>
      <c r="E31" s="293">
        <f>Scenario!AM38</f>
        <v>0.45818162694010256</v>
      </c>
      <c r="F31" s="293">
        <f>Scenario!AN38</f>
        <v>0.86704636635616106</v>
      </c>
      <c r="G31" s="293">
        <f>Scenario!AO38</f>
        <v>1.6407672355436893</v>
      </c>
      <c r="H31" s="295">
        <f>Scenario!AP38</f>
        <v>4.1209533494038997</v>
      </c>
      <c r="I31" s="203">
        <f>IF(D31+'Non-travel METs'!D32&gt;2.5, D31+'Non-travel METs'!D32, 0.1)</f>
        <v>0.1</v>
      </c>
      <c r="J31" s="201">
        <f>IF(E31+'Non-travel METs'!E32&gt;2.5, E31+'Non-travel METs'!E32, 0.1)</f>
        <v>0.1</v>
      </c>
      <c r="K31" s="201">
        <f>IF(F31+'Non-travel METs'!F32&gt;2.5, F31+'Non-travel METs'!F32, 0.1)</f>
        <v>0.1</v>
      </c>
      <c r="L31" s="201">
        <f>IF(G31+'Non-travel METs'!G32&gt;2.5, G31+'Non-travel METs'!G32, 0.1)</f>
        <v>0.1</v>
      </c>
      <c r="M31" s="202">
        <f>IF(H31+'Non-travel METs'!H32&gt;2.5, H31+'Non-travel METs'!H32, 0.1)</f>
        <v>4.4542866827372327</v>
      </c>
      <c r="N31" s="241">
        <f>'Phy activity RRs'!$F$8</f>
        <v>0.93831941951583364</v>
      </c>
      <c r="O31" s="299">
        <f t="shared" si="17"/>
        <v>0.98006871247951299</v>
      </c>
      <c r="P31" s="293">
        <f t="shared" si="11"/>
        <v>0.98006871247951299</v>
      </c>
      <c r="Q31" s="293">
        <f t="shared" si="11"/>
        <v>0.98006871247951299</v>
      </c>
      <c r="R31" s="293">
        <f t="shared" si="11"/>
        <v>0.98006871247951299</v>
      </c>
      <c r="S31" s="295">
        <f t="shared" si="11"/>
        <v>0.87427017169136745</v>
      </c>
      <c r="T31" s="301">
        <f t="shared" si="18"/>
        <v>1</v>
      </c>
      <c r="U31" s="302">
        <f t="shared" si="12"/>
        <v>1</v>
      </c>
      <c r="V31" s="302">
        <f t="shared" si="12"/>
        <v>1</v>
      </c>
      <c r="W31" s="302">
        <f t="shared" si="12"/>
        <v>1</v>
      </c>
      <c r="X31" s="303">
        <f t="shared" si="12"/>
        <v>0.99469951488839214</v>
      </c>
      <c r="Y31" s="301">
        <f t="shared" si="19"/>
        <v>1</v>
      </c>
      <c r="Z31" s="302">
        <f t="shared" si="13"/>
        <v>1</v>
      </c>
      <c r="AA31" s="302">
        <f t="shared" si="13"/>
        <v>1</v>
      </c>
      <c r="AB31" s="302">
        <f t="shared" si="13"/>
        <v>1</v>
      </c>
      <c r="AC31" s="303">
        <f t="shared" si="13"/>
        <v>0.89204987421700077</v>
      </c>
      <c r="AD31" s="304">
        <f t="shared" si="20"/>
        <v>1.0600970223215711E-3</v>
      </c>
      <c r="AE31" s="306">
        <f t="shared" si="21"/>
        <v>0.99893990297767843</v>
      </c>
      <c r="AF31" s="188">
        <f>AE31*GBDUS!K48/(Y31+Z31+AA31+AB31+AC31)</f>
        <v>49.823967987563833</v>
      </c>
      <c r="AG31" s="293">
        <f t="shared" si="22"/>
        <v>49.823967987563833</v>
      </c>
      <c r="AH31" s="293">
        <f t="shared" si="14"/>
        <v>49.823967987563833</v>
      </c>
      <c r="AI31" s="293">
        <f t="shared" si="14"/>
        <v>49.823967987563833</v>
      </c>
      <c r="AJ31" s="295">
        <f t="shared" si="14"/>
        <v>44.44546437629819</v>
      </c>
      <c r="AK31" s="277">
        <f>AE31*GBDUS!L48/(Y31+Z31+AA31+AB31+AC31)</f>
        <v>317.13925935797209</v>
      </c>
      <c r="AL31" s="278">
        <f t="shared" si="23"/>
        <v>317.13925935797209</v>
      </c>
      <c r="AM31" s="278">
        <f t="shared" si="15"/>
        <v>317.13925935797209</v>
      </c>
      <c r="AN31" s="278">
        <f t="shared" si="15"/>
        <v>317.13925935797209</v>
      </c>
      <c r="AO31" s="279">
        <f t="shared" si="15"/>
        <v>282.9040364195518</v>
      </c>
      <c r="AP31" s="274">
        <f>AE31*GBDUS!M48/(Y31+Z31+AA31+AB31+AC31)</f>
        <v>26.446334710760656</v>
      </c>
      <c r="AQ31" s="278">
        <f t="shared" si="24"/>
        <v>26.446334710760656</v>
      </c>
      <c r="AR31" s="278">
        <f t="shared" si="16"/>
        <v>26.446334710760656</v>
      </c>
      <c r="AS31" s="278">
        <f t="shared" si="16"/>
        <v>26.446334710760656</v>
      </c>
      <c r="AT31" s="279">
        <f t="shared" si="16"/>
        <v>23.591449552234746</v>
      </c>
      <c r="AU31" s="339">
        <f t="shared" si="25"/>
        <v>-0.25866367344647756</v>
      </c>
      <c r="AV31" s="340">
        <f t="shared" si="26"/>
        <v>-1.6464446557147312</v>
      </c>
      <c r="AW31" s="340">
        <f t="shared" si="27"/>
        <v>-0.13729749680288705</v>
      </c>
      <c r="AX31" s="340">
        <f t="shared" si="28"/>
        <v>-1.7837421525176183</v>
      </c>
    </row>
    <row r="32" spans="2:50" x14ac:dyDescent="0.2">
      <c r="B32" s="185">
        <v>2</v>
      </c>
      <c r="C32" s="297" t="s">
        <v>6</v>
      </c>
      <c r="D32" s="188">
        <f>Scenario!AL39</f>
        <v>0.63983865075854696</v>
      </c>
      <c r="E32" s="188">
        <f>Scenario!AM39</f>
        <v>1.6070196757968449</v>
      </c>
      <c r="F32" s="188">
        <f>Scenario!AN39</f>
        <v>3.0410660066573612</v>
      </c>
      <c r="G32" s="331">
        <f>Scenario!AO39</f>
        <v>5.7548035012460339</v>
      </c>
      <c r="H32" s="294">
        <f>Scenario!AP39</f>
        <v>14.453772753307545</v>
      </c>
      <c r="I32" s="191">
        <f>IF(D32+'Non-travel METs'!D33&gt;2.5, D32+'Non-travel METs'!D33, 0.1)</f>
        <v>0.1</v>
      </c>
      <c r="J32" s="191">
        <f>IF(E32+'Non-travel METs'!E33&gt;2.5, E32+'Non-travel METs'!E33, 0.1)</f>
        <v>0.1</v>
      </c>
      <c r="K32" s="191">
        <f>IF(F32+'Non-travel METs'!F33&gt;2.5, F32+'Non-travel METs'!F33, 0.1)</f>
        <v>3.0410660066573612</v>
      </c>
      <c r="L32" s="191">
        <f>IF(G32+'Non-travel METs'!G33&gt;2.5, G32+'Non-travel METs'!G33, 0.1)</f>
        <v>5.7548035012460339</v>
      </c>
      <c r="M32" s="196">
        <f>IF(H32+'Non-travel METs'!H33&gt;2.5, H32+'Non-travel METs'!H33, 0.1)</f>
        <v>14.453772753307545</v>
      </c>
      <c r="N32" s="336">
        <f>'Phy activity RRs'!$F$8</f>
        <v>0.93831941951583364</v>
      </c>
      <c r="O32" s="187">
        <f t="shared" si="17"/>
        <v>0.98006871247951299</v>
      </c>
      <c r="P32" s="187">
        <f t="shared" si="11"/>
        <v>0.98006871247951299</v>
      </c>
      <c r="Q32" s="187">
        <f t="shared" si="11"/>
        <v>0.89491822917297625</v>
      </c>
      <c r="R32" s="187">
        <f t="shared" si="11"/>
        <v>0.85836426903035945</v>
      </c>
      <c r="S32" s="265">
        <f t="shared" si="11"/>
        <v>0.78502336540575757</v>
      </c>
      <c r="T32" s="269">
        <f t="shared" si="18"/>
        <v>1</v>
      </c>
      <c r="U32" s="269">
        <f t="shared" si="12"/>
        <v>1</v>
      </c>
      <c r="V32" s="269">
        <f t="shared" si="12"/>
        <v>0.99539795890569194</v>
      </c>
      <c r="W32" s="269">
        <f t="shared" si="12"/>
        <v>0.9937792904163586</v>
      </c>
      <c r="X32" s="300">
        <f t="shared" si="12"/>
        <v>0.99039791002765842</v>
      </c>
      <c r="Y32" s="269">
        <f t="shared" si="19"/>
        <v>1</v>
      </c>
      <c r="Z32" s="269">
        <f t="shared" si="13"/>
        <v>1</v>
      </c>
      <c r="AA32" s="269">
        <f t="shared" si="13"/>
        <v>0.91311784345088287</v>
      </c>
      <c r="AB32" s="269">
        <f t="shared" si="13"/>
        <v>0.87582049921658156</v>
      </c>
      <c r="AC32" s="300">
        <f t="shared" si="13"/>
        <v>0.80098808931436771</v>
      </c>
      <c r="AD32" s="333">
        <f t="shared" si="20"/>
        <v>4.084968130058186E-3</v>
      </c>
      <c r="AE32" s="308">
        <f t="shared" si="21"/>
        <v>0.99591503186994179</v>
      </c>
      <c r="AF32" s="381">
        <f>AE32*GBDUS!K49/(Y32+Z32+AA32+AB32+AC32)</f>
        <v>0</v>
      </c>
      <c r="AG32" s="188">
        <f t="shared" si="22"/>
        <v>0</v>
      </c>
      <c r="AH32" s="188">
        <f t="shared" si="14"/>
        <v>0</v>
      </c>
      <c r="AI32" s="188">
        <f t="shared" si="14"/>
        <v>0</v>
      </c>
      <c r="AJ32" s="294">
        <f t="shared" si="14"/>
        <v>0</v>
      </c>
      <c r="AK32" s="274">
        <f>AE32*GBDUS!L49/(Y32+Z32+AA32+AB32+AC32)</f>
        <v>4.422618999347149</v>
      </c>
      <c r="AL32" s="274">
        <f t="shared" si="23"/>
        <v>4.422618999347149</v>
      </c>
      <c r="AM32" s="274">
        <f t="shared" si="15"/>
        <v>4.0383723230887698</v>
      </c>
      <c r="AN32" s="274">
        <f t="shared" si="15"/>
        <v>3.8734203798529583</v>
      </c>
      <c r="AO32" s="276">
        <f t="shared" si="15"/>
        <v>3.5424651420524937</v>
      </c>
      <c r="AP32" s="382">
        <f>AE32*GBDUS!M49/(Y32+Z32+AA32+AB32+AC32)</f>
        <v>1.9452435995758383E-2</v>
      </c>
      <c r="AQ32" s="274">
        <f t="shared" si="24"/>
        <v>1.9452435995758383E-2</v>
      </c>
      <c r="AR32" s="274">
        <f t="shared" si="16"/>
        <v>1.7762366406313221E-2</v>
      </c>
      <c r="AS32" s="274">
        <f t="shared" si="16"/>
        <v>1.7036842204783707E-2</v>
      </c>
      <c r="AT32" s="276">
        <f t="shared" si="16"/>
        <v>1.5581169540752537E-2</v>
      </c>
      <c r="AU32" s="338">
        <f t="shared" si="25"/>
        <v>0</v>
      </c>
      <c r="AV32" s="338">
        <f t="shared" si="26"/>
        <v>-8.3262919952140635E-2</v>
      </c>
      <c r="AW32" s="338">
        <f t="shared" si="27"/>
        <v>-3.6622341228760569E-4</v>
      </c>
      <c r="AX32" s="338">
        <f t="shared" si="28"/>
        <v>-8.3629143364428241E-2</v>
      </c>
    </row>
    <row r="33" spans="2:50" x14ac:dyDescent="0.2">
      <c r="B33" s="185">
        <v>2</v>
      </c>
      <c r="C33" s="297" t="s">
        <v>7</v>
      </c>
      <c r="D33" s="188">
        <f>Scenario!AL40</f>
        <v>0.47238269054572068</v>
      </c>
      <c r="E33" s="188">
        <f>Scenario!AM40</f>
        <v>1.1864370452032824</v>
      </c>
      <c r="F33" s="188">
        <f>Scenario!AN40</f>
        <v>2.2451706233264708</v>
      </c>
      <c r="G33" s="188">
        <f>Scenario!AO40</f>
        <v>4.2486798167908608</v>
      </c>
      <c r="H33" s="294">
        <f>Scenario!AP40</f>
        <v>10.670990340532573</v>
      </c>
      <c r="I33" s="191">
        <f>IF(D33+'Non-travel METs'!D34&gt;2.5, D33+'Non-travel METs'!D34, 0.1)</f>
        <v>0.1</v>
      </c>
      <c r="J33" s="191">
        <f>IF(E33+'Non-travel METs'!E34&gt;2.5, E33+'Non-travel METs'!E34, 0.1)</f>
        <v>0.1</v>
      </c>
      <c r="K33" s="191">
        <f>IF(F33+'Non-travel METs'!F34&gt;2.5, F33+'Non-travel METs'!F34, 0.1)</f>
        <v>0.1</v>
      </c>
      <c r="L33" s="191">
        <f>IF(G33+'Non-travel METs'!G34&gt;2.5, G33+'Non-travel METs'!G34, 0.1)</f>
        <v>4.2486798167908608</v>
      </c>
      <c r="M33" s="196">
        <f>IF(H33+'Non-travel METs'!H34&gt;2.5, H33+'Non-travel METs'!H34, 0.1)</f>
        <v>10.670990340532573</v>
      </c>
      <c r="N33" s="241">
        <f>'Phy activity RRs'!$F$8</f>
        <v>0.93831941951583364</v>
      </c>
      <c r="O33" s="187">
        <f t="shared" si="17"/>
        <v>0.98006871247951299</v>
      </c>
      <c r="P33" s="187">
        <f t="shared" si="11"/>
        <v>0.98006871247951299</v>
      </c>
      <c r="Q33" s="187">
        <f t="shared" si="11"/>
        <v>0.98006871247951299</v>
      </c>
      <c r="R33" s="187">
        <f t="shared" si="11"/>
        <v>0.87701772556504887</v>
      </c>
      <c r="S33" s="265">
        <f t="shared" si="11"/>
        <v>0.81223084760651876</v>
      </c>
      <c r="T33" s="269">
        <f t="shared" si="18"/>
        <v>1</v>
      </c>
      <c r="U33" s="269">
        <f t="shared" si="12"/>
        <v>1</v>
      </c>
      <c r="V33" s="269">
        <f t="shared" si="12"/>
        <v>1</v>
      </c>
      <c r="W33" s="269">
        <f t="shared" si="12"/>
        <v>0.9952759555687819</v>
      </c>
      <c r="X33" s="300">
        <f t="shared" si="12"/>
        <v>0.99273015775412154</v>
      </c>
      <c r="Y33" s="269">
        <f t="shared" si="19"/>
        <v>1</v>
      </c>
      <c r="Z33" s="269">
        <f t="shared" si="13"/>
        <v>1</v>
      </c>
      <c r="AA33" s="269">
        <f t="shared" si="13"/>
        <v>1</v>
      </c>
      <c r="AB33" s="269">
        <f t="shared" si="13"/>
        <v>0.89485330405686403</v>
      </c>
      <c r="AC33" s="300">
        <f t="shared" si="13"/>
        <v>0.82874887981234002</v>
      </c>
      <c r="AD33" s="333">
        <f t="shared" si="20"/>
        <v>2.3987773354193108E-3</v>
      </c>
      <c r="AE33" s="306">
        <f t="shared" si="21"/>
        <v>0.99760122266458073</v>
      </c>
      <c r="AF33" s="188">
        <f>AE33*GBDUS!K50/(Y33+Z33+AA33+AB33+AC33)</f>
        <v>0</v>
      </c>
      <c r="AG33" s="188">
        <f t="shared" si="22"/>
        <v>0</v>
      </c>
      <c r="AH33" s="188">
        <f t="shared" si="14"/>
        <v>0</v>
      </c>
      <c r="AI33" s="188">
        <f t="shared" si="14"/>
        <v>0</v>
      </c>
      <c r="AJ33" s="294">
        <f t="shared" si="14"/>
        <v>0</v>
      </c>
      <c r="AK33" s="274">
        <f>AE33*GBDUS!L50/(Y33+Z33+AA33+AB33+AC33)</f>
        <v>1.8034467111275241</v>
      </c>
      <c r="AL33" s="274">
        <f t="shared" si="23"/>
        <v>1.8034467111275241</v>
      </c>
      <c r="AM33" s="274">
        <f t="shared" si="15"/>
        <v>1.8034467111275241</v>
      </c>
      <c r="AN33" s="274">
        <f t="shared" si="15"/>
        <v>1.6138202481429498</v>
      </c>
      <c r="AO33" s="276">
        <f t="shared" si="15"/>
        <v>1.4946044416481843</v>
      </c>
      <c r="AP33" s="274">
        <f>AE33*GBDUS!M50/(Y33+Z33+AA33+AB33+AC33)</f>
        <v>9.7367696104918564E-2</v>
      </c>
      <c r="AQ33" s="274">
        <f t="shared" si="24"/>
        <v>9.7367696104918564E-2</v>
      </c>
      <c r="AR33" s="274">
        <f t="shared" si="16"/>
        <v>9.7367696104918564E-2</v>
      </c>
      <c r="AS33" s="274">
        <f t="shared" si="16"/>
        <v>8.7129804567891031E-2</v>
      </c>
      <c r="AT33" s="276">
        <f t="shared" si="16"/>
        <v>8.0693369076859603E-2</v>
      </c>
      <c r="AU33" s="338">
        <f t="shared" si="25"/>
        <v>0</v>
      </c>
      <c r="AV33" s="338">
        <f t="shared" si="26"/>
        <v>-2.0483755953119243E-2</v>
      </c>
      <c r="AW33" s="338">
        <f t="shared" si="27"/>
        <v>-1.1059135334715031E-3</v>
      </c>
      <c r="AX33" s="338">
        <f t="shared" si="28"/>
        <v>-2.1589669486590746E-2</v>
      </c>
    </row>
    <row r="34" spans="2:50" x14ac:dyDescent="0.2">
      <c r="B34" s="185">
        <v>2</v>
      </c>
      <c r="C34" s="297" t="s">
        <v>8</v>
      </c>
      <c r="D34" s="188">
        <f>Scenario!AL41</f>
        <v>0.46001598825921336</v>
      </c>
      <c r="E34" s="188">
        <f>Scenario!AM41</f>
        <v>1.1553768179482105</v>
      </c>
      <c r="F34" s="188">
        <f>Scenario!AN41</f>
        <v>2.1863933708216963</v>
      </c>
      <c r="G34" s="188">
        <f>Scenario!AO41</f>
        <v>4.1374518665367024</v>
      </c>
      <c r="H34" s="294">
        <f>Scenario!AP41</f>
        <v>10.391630060647827</v>
      </c>
      <c r="I34" s="191">
        <f>IF(D34+'Non-travel METs'!D35&gt;2.5, D34+'Non-travel METs'!D35, 0.1)</f>
        <v>37.960015988259215</v>
      </c>
      <c r="J34" s="191">
        <f>IF(E34+'Non-travel METs'!E35&gt;2.5, E34+'Non-travel METs'!E35, 0.1)</f>
        <v>38.655376817948209</v>
      </c>
      <c r="K34" s="191">
        <f>IF(F34+'Non-travel METs'!F35&gt;2.5, F34+'Non-travel METs'!F35, 0.1)</f>
        <v>39.686393370821698</v>
      </c>
      <c r="L34" s="191">
        <f>IF(G34+'Non-travel METs'!G35&gt;2.5, G34+'Non-travel METs'!G35, 0.1)</f>
        <v>41.637451866536701</v>
      </c>
      <c r="M34" s="196">
        <f>IF(H34+'Non-travel METs'!H35&gt;2.5, H34+'Non-travel METs'!H35, 0.1)</f>
        <v>47.891630060647827</v>
      </c>
      <c r="N34" s="241">
        <f>'Phy activity RRs'!$F$8</f>
        <v>0.93831941951583364</v>
      </c>
      <c r="O34" s="187">
        <f t="shared" si="17"/>
        <v>0.67553521016315821</v>
      </c>
      <c r="P34" s="187">
        <f t="shared" si="11"/>
        <v>0.67312356692152875</v>
      </c>
      <c r="Q34" s="187">
        <f t="shared" si="11"/>
        <v>0.6696029426208695</v>
      </c>
      <c r="R34" s="187">
        <f t="shared" si="11"/>
        <v>0.66311239535675426</v>
      </c>
      <c r="S34" s="265">
        <f t="shared" si="11"/>
        <v>0.64365986175028855</v>
      </c>
      <c r="T34" s="269">
        <f t="shared" si="18"/>
        <v>0.99979637952457623</v>
      </c>
      <c r="U34" s="269">
        <f t="shared" si="12"/>
        <v>0.99950433074460943</v>
      </c>
      <c r="V34" s="269">
        <f t="shared" si="12"/>
        <v>0.99908856016874004</v>
      </c>
      <c r="W34" s="269">
        <f t="shared" si="12"/>
        <v>0.99834221690291003</v>
      </c>
      <c r="X34" s="300">
        <f t="shared" si="12"/>
        <v>0.99620432291590688</v>
      </c>
      <c r="Y34" s="269">
        <f t="shared" si="19"/>
        <v>1</v>
      </c>
      <c r="Z34" s="269">
        <f t="shared" si="13"/>
        <v>0.99643002584417917</v>
      </c>
      <c r="AA34" s="269">
        <f t="shared" si="13"/>
        <v>0.99121841844356873</v>
      </c>
      <c r="AB34" s="269">
        <f t="shared" si="13"/>
        <v>0.98161041109403679</v>
      </c>
      <c r="AC34" s="300">
        <f t="shared" si="13"/>
        <v>0.95281467504088946</v>
      </c>
      <c r="AD34" s="333">
        <f t="shared" si="20"/>
        <v>1.4128379486514574E-3</v>
      </c>
      <c r="AE34" s="306">
        <f t="shared" si="21"/>
        <v>0.99858716205134856</v>
      </c>
      <c r="AF34" s="188">
        <f>AE34*GBDUS!K51/(Y34+Z34+AA34+AB34+AC34)</f>
        <v>0</v>
      </c>
      <c r="AG34" s="188">
        <f t="shared" si="22"/>
        <v>0</v>
      </c>
      <c r="AH34" s="188">
        <f t="shared" si="14"/>
        <v>0</v>
      </c>
      <c r="AI34" s="188">
        <f t="shared" si="14"/>
        <v>0</v>
      </c>
      <c r="AJ34" s="294">
        <f t="shared" si="14"/>
        <v>0</v>
      </c>
      <c r="AK34" s="274">
        <f>AE34*GBDUS!L51/(Y34+Z34+AA34+AB34+AC34)</f>
        <v>10.854856572981022</v>
      </c>
      <c r="AL34" s="274">
        <f t="shared" si="23"/>
        <v>10.816105015550338</v>
      </c>
      <c r="AM34" s="274">
        <f t="shared" si="15"/>
        <v>10.759533764702025</v>
      </c>
      <c r="AN34" s="274">
        <f t="shared" si="15"/>
        <v>10.655240222970709</v>
      </c>
      <c r="AO34" s="276">
        <f t="shared" si="15"/>
        <v>10.342666638200376</v>
      </c>
      <c r="AP34" s="274">
        <f>AE34*GBDUS!M51/(Y34+Z34+AA34+AB34+AC34)</f>
        <v>2.9004113934687155</v>
      </c>
      <c r="AQ34" s="274">
        <f t="shared" si="24"/>
        <v>2.8900569997527841</v>
      </c>
      <c r="AR34" s="274">
        <f t="shared" si="16"/>
        <v>2.8749411942697676</v>
      </c>
      <c r="AS34" s="274">
        <f t="shared" si="16"/>
        <v>2.8470740202846541</v>
      </c>
      <c r="AT34" s="276">
        <f t="shared" si="16"/>
        <v>2.7635545393527874</v>
      </c>
      <c r="AU34" s="338">
        <f t="shared" si="25"/>
        <v>0</v>
      </c>
      <c r="AV34" s="338">
        <f t="shared" si="26"/>
        <v>-7.5592474100353968E-2</v>
      </c>
      <c r="AW34" s="338">
        <f t="shared" si="27"/>
        <v>-2.019826532640856E-2</v>
      </c>
      <c r="AX34" s="338">
        <f t="shared" si="28"/>
        <v>-9.5790739426762528E-2</v>
      </c>
    </row>
    <row r="35" spans="2:50" x14ac:dyDescent="0.2">
      <c r="B35" s="185">
        <v>2</v>
      </c>
      <c r="C35" s="297" t="s">
        <v>9</v>
      </c>
      <c r="D35" s="188">
        <f>Scenario!AL42</f>
        <v>0.38779511810305101</v>
      </c>
      <c r="E35" s="188">
        <f>Scenario!AM42</f>
        <v>0.97398677655804244</v>
      </c>
      <c r="F35" s="188">
        <f>Scenario!AN42</f>
        <v>1.8431374063019774</v>
      </c>
      <c r="G35" s="188">
        <f>Scenario!AO42</f>
        <v>3.4878866738979131</v>
      </c>
      <c r="H35" s="294">
        <f>Scenario!AP42</f>
        <v>8.7601811882707494</v>
      </c>
      <c r="I35" s="191">
        <f>IF(D35+'Non-travel METs'!D36&gt;2.5, D35+'Non-travel METs'!D36, 0.1)</f>
        <v>37.951128451436347</v>
      </c>
      <c r="J35" s="191">
        <f>IF(E35+'Non-travel METs'!E36&gt;2.5, E35+'Non-travel METs'!E36, 0.1)</f>
        <v>38.53732010989134</v>
      </c>
      <c r="K35" s="191">
        <f>IF(F35+'Non-travel METs'!F36&gt;2.5, F35+'Non-travel METs'!F36, 0.1)</f>
        <v>39.406470739635274</v>
      </c>
      <c r="L35" s="191">
        <f>IF(G35+'Non-travel METs'!G36&gt;2.5, G35+'Non-travel METs'!G36, 0.1)</f>
        <v>41.051220007231208</v>
      </c>
      <c r="M35" s="196">
        <f>IF(H35+'Non-travel METs'!H36&gt;2.5, H35+'Non-travel METs'!H36, 0.1)</f>
        <v>46.323514521604046</v>
      </c>
      <c r="N35" s="241">
        <f>'Phy activity RRs'!$F$8</f>
        <v>0.93831941951583364</v>
      </c>
      <c r="O35" s="187">
        <f t="shared" si="17"/>
        <v>0.67556623227545065</v>
      </c>
      <c r="P35" s="187">
        <f t="shared" si="11"/>
        <v>0.67353086616575752</v>
      </c>
      <c r="Q35" s="187">
        <f t="shared" si="11"/>
        <v>0.67055240962461327</v>
      </c>
      <c r="R35" s="187">
        <f t="shared" si="11"/>
        <v>0.66503970462260287</v>
      </c>
      <c r="S35" s="265">
        <f t="shared" si="11"/>
        <v>0.64835830742115863</v>
      </c>
      <c r="T35" s="269">
        <f t="shared" si="18"/>
        <v>0.99982691013635594</v>
      </c>
      <c r="U35" s="269">
        <f t="shared" si="12"/>
        <v>0.99957798286920096</v>
      </c>
      <c r="V35" s="269">
        <f t="shared" si="12"/>
        <v>0.99922234899813556</v>
      </c>
      <c r="W35" s="269">
        <f t="shared" si="12"/>
        <v>0.99858040290608507</v>
      </c>
      <c r="X35" s="300">
        <f t="shared" si="12"/>
        <v>0.99671807211322061</v>
      </c>
      <c r="Y35" s="269">
        <f t="shared" si="19"/>
        <v>1</v>
      </c>
      <c r="Z35" s="269">
        <f t="shared" si="13"/>
        <v>0.9969871701508265</v>
      </c>
      <c r="AA35" s="269">
        <f t="shared" si="13"/>
        <v>0.99257834034429193</v>
      </c>
      <c r="AB35" s="269">
        <f t="shared" si="13"/>
        <v>0.98441821519498951</v>
      </c>
      <c r="AC35" s="300">
        <f t="shared" si="13"/>
        <v>0.95972574774400732</v>
      </c>
      <c r="AD35" s="333">
        <f t="shared" si="20"/>
        <v>1.2148565954003487E-3</v>
      </c>
      <c r="AE35" s="306">
        <f t="shared" si="21"/>
        <v>0.99878514340459967</v>
      </c>
      <c r="AF35" s="188">
        <f>AE35*GBDUS!K52/(Y35+Z35+AA35+AB35+AC35)</f>
        <v>0.6073230388509645</v>
      </c>
      <c r="AG35" s="188">
        <f t="shared" si="22"/>
        <v>0.6054932778714236</v>
      </c>
      <c r="AH35" s="188">
        <f t="shared" si="14"/>
        <v>0.60281569395554224</v>
      </c>
      <c r="AI35" s="188">
        <f t="shared" si="14"/>
        <v>0.59785986195246377</v>
      </c>
      <c r="AJ35" s="294">
        <f t="shared" si="14"/>
        <v>0.58286355758340469</v>
      </c>
      <c r="AK35" s="274">
        <f>AE35*GBDUS!L52/(Y35+Z35+AA35+AB35+AC35)</f>
        <v>28.254188667977068</v>
      </c>
      <c r="AL35" s="274">
        <f t="shared" si="23"/>
        <v>28.169063604994008</v>
      </c>
      <c r="AM35" s="274">
        <f t="shared" si="15"/>
        <v>28.044495695835177</v>
      </c>
      <c r="AN35" s="274">
        <f t="shared" si="15"/>
        <v>27.813937980312485</v>
      </c>
      <c r="AO35" s="276">
        <f t="shared" si="15"/>
        <v>27.116272346274549</v>
      </c>
      <c r="AP35" s="274">
        <f>AE35*GBDUS!M52/(Y35+Z35+AA35+AB35+AC35)</f>
        <v>5.7623671906060645</v>
      </c>
      <c r="AQ35" s="274">
        <f t="shared" si="24"/>
        <v>5.7450061587323082</v>
      </c>
      <c r="AR35" s="274">
        <f t="shared" si="16"/>
        <v>5.7196008625061676</v>
      </c>
      <c r="AS35" s="274">
        <f t="shared" si="16"/>
        <v>5.6725792250745881</v>
      </c>
      <c r="AT35" s="276">
        <f t="shared" si="16"/>
        <v>5.5302921607799398</v>
      </c>
      <c r="AU35" s="338">
        <f t="shared" si="25"/>
        <v>-3.6445697862008686E-3</v>
      </c>
      <c r="AV35" s="338">
        <f t="shared" si="26"/>
        <v>-0.16955451343940808</v>
      </c>
      <c r="AW35" s="338">
        <f t="shared" si="27"/>
        <v>-3.4580195409041892E-2</v>
      </c>
      <c r="AX35" s="338">
        <f t="shared" si="28"/>
        <v>-0.20413470884844997</v>
      </c>
    </row>
    <row r="36" spans="2:50" x14ac:dyDescent="0.2">
      <c r="B36" s="185">
        <v>2</v>
      </c>
      <c r="C36" s="297" t="s">
        <v>10</v>
      </c>
      <c r="D36" s="188">
        <f>Scenario!AL43</f>
        <v>0.2880222001316094</v>
      </c>
      <c r="E36" s="188">
        <f>Scenario!AM43</f>
        <v>0.72339697223520716</v>
      </c>
      <c r="F36" s="188">
        <f>Scenario!AN43</f>
        <v>1.3689303091404414</v>
      </c>
      <c r="G36" s="188">
        <f>Scenario!AO43</f>
        <v>2.5905142863578874</v>
      </c>
      <c r="H36" s="294">
        <f>Scenario!AP43</f>
        <v>6.5063394086533934</v>
      </c>
      <c r="I36" s="191">
        <f>IF(D36+'Non-travel METs'!D37&gt;2.5, D36+'Non-travel METs'!D37, 0.1)</f>
        <v>38.041355533464909</v>
      </c>
      <c r="J36" s="191">
        <f>IF(E36+'Non-travel METs'!E37&gt;2.5, E36+'Non-travel METs'!E37, 0.1)</f>
        <v>38.476730305568509</v>
      </c>
      <c r="K36" s="191">
        <f>IF(F36+'Non-travel METs'!F37&gt;2.5, F36+'Non-travel METs'!F37, 0.1)</f>
        <v>39.12226364247374</v>
      </c>
      <c r="L36" s="191">
        <f>IF(G36+'Non-travel METs'!G37&gt;2.5, G36+'Non-travel METs'!G37, 0.1)</f>
        <v>40.343847619691189</v>
      </c>
      <c r="M36" s="196">
        <f>IF(H36+'Non-travel METs'!H37&gt;2.5, H36+'Non-travel METs'!H37, 0.1)</f>
        <v>44.259672741986698</v>
      </c>
      <c r="N36" s="241">
        <f>'Phy activity RRs'!$F$8</f>
        <v>0.93831941951583364</v>
      </c>
      <c r="O36" s="187">
        <f t="shared" si="17"/>
        <v>0.67525152760644547</v>
      </c>
      <c r="P36" s="187">
        <f t="shared" si="11"/>
        <v>0.67374024094061757</v>
      </c>
      <c r="Q36" s="187">
        <f t="shared" si="11"/>
        <v>0.67152125031795362</v>
      </c>
      <c r="R36" s="187">
        <f t="shared" si="11"/>
        <v>0.66739124360820246</v>
      </c>
      <c r="S36" s="265">
        <f t="shared" si="11"/>
        <v>0.65471896875817637</v>
      </c>
      <c r="T36" s="269">
        <f t="shared" si="18"/>
        <v>0.99989323671507124</v>
      </c>
      <c r="U36" s="269">
        <f t="shared" si="12"/>
        <v>0.99974049998781755</v>
      </c>
      <c r="V36" s="269">
        <f t="shared" si="12"/>
        <v>0.99952224041282622</v>
      </c>
      <c r="W36" s="269">
        <f t="shared" si="12"/>
        <v>0.99912684328836587</v>
      </c>
      <c r="X36" s="300">
        <f t="shared" si="12"/>
        <v>0.99796505943969782</v>
      </c>
      <c r="Y36" s="269">
        <f t="shared" si="19"/>
        <v>1</v>
      </c>
      <c r="Z36" s="269">
        <f t="shared" si="13"/>
        <v>0.9977618907858159</v>
      </c>
      <c r="AA36" s="269">
        <f t="shared" si="13"/>
        <v>0.99447572180737676</v>
      </c>
      <c r="AB36" s="269">
        <f t="shared" si="13"/>
        <v>0.98835947246782951</v>
      </c>
      <c r="AC36" s="300">
        <f t="shared" si="13"/>
        <v>0.96959272506787131</v>
      </c>
      <c r="AD36" s="333">
        <f t="shared" si="20"/>
        <v>7.5042403124427894E-4</v>
      </c>
      <c r="AE36" s="306">
        <f t="shared" si="21"/>
        <v>0.99924957596875574</v>
      </c>
      <c r="AF36" s="188">
        <f>AE36*GBDUS!K53/(Y36+Z36+AA36+AB36+AC36)</f>
        <v>3.0279129113113865</v>
      </c>
      <c r="AG36" s="188">
        <f t="shared" si="22"/>
        <v>3.0211361115248336</v>
      </c>
      <c r="AH36" s="188">
        <f t="shared" si="14"/>
        <v>3.0111858780462666</v>
      </c>
      <c r="AI36" s="188">
        <f t="shared" si="14"/>
        <v>2.9926664077022518</v>
      </c>
      <c r="AJ36" s="294">
        <f t="shared" si="14"/>
        <v>2.9358423309465991</v>
      </c>
      <c r="AK36" s="274">
        <f>AE36*GBDUS!L53/(Y36+Z36+AA36+AB36+AC36)</f>
        <v>100.67234583143181</v>
      </c>
      <c r="AL36" s="274">
        <f t="shared" si="23"/>
        <v>100.44703012661296</v>
      </c>
      <c r="AM36" s="274">
        <f t="shared" si="15"/>
        <v>100.11620378675501</v>
      </c>
      <c r="AN36" s="274">
        <f t="shared" si="15"/>
        <v>99.50046661805284</v>
      </c>
      <c r="AO36" s="276">
        <f t="shared" si="15"/>
        <v>97.611174133673131</v>
      </c>
      <c r="AP36" s="274">
        <f>AE36*GBDUS!M53/(Y36+Z36+AA36+AB36+AC36)</f>
        <v>16.119773669015942</v>
      </c>
      <c r="AQ36" s="274">
        <f t="shared" si="24"/>
        <v>16.083695855036755</v>
      </c>
      <c r="AR36" s="274">
        <f t="shared" si="16"/>
        <v>16.030723554866174</v>
      </c>
      <c r="AS36" s="274">
        <f t="shared" si="16"/>
        <v>15.932130999809404</v>
      </c>
      <c r="AT36" s="276">
        <f t="shared" si="16"/>
        <v>15.629615279218486</v>
      </c>
      <c r="AU36" s="338">
        <f t="shared" si="25"/>
        <v>-1.1256360468664184E-2</v>
      </c>
      <c r="AV36" s="338">
        <f t="shared" si="26"/>
        <v>-0.37425257829283964</v>
      </c>
      <c r="AW36" s="338">
        <f t="shared" si="27"/>
        <v>-5.992576022049434E-2</v>
      </c>
      <c r="AX36" s="338">
        <f t="shared" si="28"/>
        <v>-0.43417833851333398</v>
      </c>
    </row>
    <row r="37" spans="2:50" x14ac:dyDescent="0.2">
      <c r="B37" s="185">
        <v>2</v>
      </c>
      <c r="C37" s="297" t="s">
        <v>11</v>
      </c>
      <c r="D37" s="188">
        <f>Scenario!AL44</f>
        <v>0.19383056670522639</v>
      </c>
      <c r="E37" s="188">
        <f>Scenario!AM44</f>
        <v>0.48682513020567292</v>
      </c>
      <c r="F37" s="188">
        <f>Scenario!AN44</f>
        <v>0.92125029764860955</v>
      </c>
      <c r="G37" s="188">
        <f>Scenario!AO44</f>
        <v>1.7433407978735476</v>
      </c>
      <c r="H37" s="294">
        <f>Scenario!AP44</f>
        <v>4.3785772561266905</v>
      </c>
      <c r="I37" s="191">
        <f>IF(D37+'Non-travel METs'!D38&gt;2.5, D37+'Non-travel METs'!D38, 0.1)</f>
        <v>9.1938305667052269</v>
      </c>
      <c r="J37" s="191">
        <f>IF(E37+'Non-travel METs'!E38&gt;2.5, E37+'Non-travel METs'!E38, 0.1)</f>
        <v>9.4868251302056734</v>
      </c>
      <c r="K37" s="191">
        <f>IF(F37+'Non-travel METs'!F38&gt;2.5, F37+'Non-travel METs'!F38, 0.1)</f>
        <v>9.9212502976486103</v>
      </c>
      <c r="L37" s="191">
        <f>IF(G37+'Non-travel METs'!G38&gt;2.5, G37+'Non-travel METs'!G38, 0.1)</f>
        <v>10.743340797873547</v>
      </c>
      <c r="M37" s="196">
        <f>IF(H37+'Non-travel METs'!H38&gt;2.5, H37+'Non-travel METs'!H38, 0.1)</f>
        <v>13.37857725612669</v>
      </c>
      <c r="N37" s="241">
        <f>'Phy activity RRs'!$F$8</f>
        <v>0.93831941951583364</v>
      </c>
      <c r="O37" s="187">
        <f t="shared" si="17"/>
        <v>0.82444874041810245</v>
      </c>
      <c r="P37" s="187">
        <f t="shared" si="11"/>
        <v>0.82193649103594502</v>
      </c>
      <c r="Q37" s="187">
        <f t="shared" si="11"/>
        <v>0.81829557809010844</v>
      </c>
      <c r="R37" s="187">
        <f t="shared" si="11"/>
        <v>0.81165936758290769</v>
      </c>
      <c r="S37" s="265">
        <f t="shared" si="11"/>
        <v>0.79226030725751095</v>
      </c>
      <c r="T37" s="269">
        <f t="shared" si="18"/>
        <v>0.99982237655761597</v>
      </c>
      <c r="U37" s="269">
        <f t="shared" si="12"/>
        <v>0.99957014378669962</v>
      </c>
      <c r="V37" s="269">
        <f t="shared" si="12"/>
        <v>0.99921628296534848</v>
      </c>
      <c r="W37" s="269">
        <f t="shared" si="12"/>
        <v>0.99859557338938765</v>
      </c>
      <c r="X37" s="300">
        <f t="shared" si="12"/>
        <v>0.99690424421306134</v>
      </c>
      <c r="Y37" s="269">
        <f t="shared" si="19"/>
        <v>1</v>
      </c>
      <c r="Z37" s="269">
        <f t="shared" si="13"/>
        <v>0.99695281312348971</v>
      </c>
      <c r="AA37" s="269">
        <f t="shared" si="13"/>
        <v>0.99253663444876683</v>
      </c>
      <c r="AB37" s="269">
        <f t="shared" si="13"/>
        <v>0.98448736445554041</v>
      </c>
      <c r="AC37" s="300">
        <f t="shared" si="13"/>
        <v>0.96095762952555697</v>
      </c>
      <c r="AD37" s="333">
        <f t="shared" si="20"/>
        <v>1.1782758175774787E-3</v>
      </c>
      <c r="AE37" s="306">
        <f t="shared" si="21"/>
        <v>0.99882172418242254</v>
      </c>
      <c r="AF37" s="188">
        <f>AE37*GBDUS!K54/(Y37+Z37+AA37+AB37+AC37)</f>
        <v>7.4887324710066423</v>
      </c>
      <c r="AG37" s="188">
        <f t="shared" si="22"/>
        <v>7.4659129036992944</v>
      </c>
      <c r="AH37" s="188">
        <f t="shared" si="14"/>
        <v>7.4328413230601305</v>
      </c>
      <c r="AI37" s="188">
        <f t="shared" si="14"/>
        <v>7.3725624934939562</v>
      </c>
      <c r="AJ37" s="294">
        <f t="shared" si="14"/>
        <v>7.1963546034896098</v>
      </c>
      <c r="AK37" s="274">
        <f>AE37*GBDUS!L54/(Y37+Z37+AA37+AB37+AC37)</f>
        <v>172.01617230737307</v>
      </c>
      <c r="AL37" s="274">
        <f t="shared" si="23"/>
        <v>171.49200688457051</v>
      </c>
      <c r="AM37" s="274">
        <f t="shared" si="15"/>
        <v>170.73235273271922</v>
      </c>
      <c r="AN37" s="274">
        <f t="shared" si="15"/>
        <v>169.34774811861584</v>
      </c>
      <c r="AO37" s="276">
        <f t="shared" si="15"/>
        <v>165.30025318055297</v>
      </c>
      <c r="AP37" s="274">
        <f>AE37*GBDUS!M54/(Y37+Z37+AA37+AB37+AC37)</f>
        <v>23.134106084199669</v>
      </c>
      <c r="AQ37" s="274">
        <f t="shared" si="24"/>
        <v>23.063612139740098</v>
      </c>
      <c r="AR37" s="274">
        <f t="shared" si="16"/>
        <v>22.961447793792278</v>
      </c>
      <c r="AS37" s="274">
        <f t="shared" si="16"/>
        <v>22.775235127868616</v>
      </c>
      <c r="AT37" s="276">
        <f t="shared" si="16"/>
        <v>22.230895743865279</v>
      </c>
      <c r="AU37" s="338">
        <f t="shared" si="25"/>
        <v>-4.3596205250366893E-2</v>
      </c>
      <c r="AV37" s="338">
        <f t="shared" si="26"/>
        <v>-1.0014047615308073</v>
      </c>
      <c r="AW37" s="338">
        <f t="shared" si="27"/>
        <v>-0.13467689506008185</v>
      </c>
      <c r="AX37" s="338">
        <f t="shared" si="28"/>
        <v>-1.1360816565908891</v>
      </c>
    </row>
    <row r="38" spans="2:50" x14ac:dyDescent="0.2">
      <c r="B38" s="185">
        <v>2</v>
      </c>
      <c r="C38" s="297" t="s">
        <v>12</v>
      </c>
      <c r="D38" s="188">
        <f>Scenario!AL45</f>
        <v>0.12325892229755643</v>
      </c>
      <c r="E38" s="188">
        <f>Scenario!AM45</f>
        <v>0.30957728657820022</v>
      </c>
      <c r="F38" s="188">
        <f>Scenario!AN45</f>
        <v>0.58583287860453281</v>
      </c>
      <c r="G38" s="188">
        <f>Scenario!AO45</f>
        <v>1.108608985651083</v>
      </c>
      <c r="H38" s="294">
        <f>Scenario!AP45</f>
        <v>2.7843839233444045</v>
      </c>
      <c r="I38" s="191">
        <f>IF(D38+'Non-travel METs'!D39&gt;2.5, D38+'Non-travel METs'!D39, 0.1)</f>
        <v>0.1</v>
      </c>
      <c r="J38" s="191">
        <f>IF(E38+'Non-travel METs'!E39&gt;2.5, E38+'Non-travel METs'!E39, 0.1)</f>
        <v>0.1</v>
      </c>
      <c r="K38" s="191">
        <f>IF(F38+'Non-travel METs'!F39&gt;2.5, F38+'Non-travel METs'!F39, 0.1)</f>
        <v>0.1</v>
      </c>
      <c r="L38" s="191">
        <f>IF(G38+'Non-travel METs'!G39&gt;2.5, G38+'Non-travel METs'!G39, 0.1)</f>
        <v>0.1</v>
      </c>
      <c r="M38" s="196">
        <f>IF(H38+'Non-travel METs'!H39&gt;2.5, H38+'Non-travel METs'!H39, 0.1)</f>
        <v>3.2843839233444045</v>
      </c>
      <c r="N38" s="241">
        <f>'Phy activity RRs'!$F$8</f>
        <v>0.93831941951583364</v>
      </c>
      <c r="O38" s="187">
        <f t="shared" si="17"/>
        <v>0.98006871247951299</v>
      </c>
      <c r="P38" s="187">
        <f t="shared" si="11"/>
        <v>0.98006871247951299</v>
      </c>
      <c r="Q38" s="187">
        <f t="shared" si="11"/>
        <v>0.98006871247951299</v>
      </c>
      <c r="R38" s="187">
        <f t="shared" si="11"/>
        <v>0.98006871247951299</v>
      </c>
      <c r="S38" s="265">
        <f t="shared" si="11"/>
        <v>0.89102839308678483</v>
      </c>
      <c r="T38" s="269">
        <f t="shared" si="18"/>
        <v>1</v>
      </c>
      <c r="U38" s="269">
        <f t="shared" si="12"/>
        <v>1</v>
      </c>
      <c r="V38" s="269">
        <f t="shared" si="12"/>
        <v>1</v>
      </c>
      <c r="W38" s="269">
        <f t="shared" si="12"/>
        <v>1</v>
      </c>
      <c r="X38" s="300">
        <f t="shared" si="12"/>
        <v>0.99559969137023063</v>
      </c>
      <c r="Y38" s="269">
        <f t="shared" si="19"/>
        <v>1</v>
      </c>
      <c r="Z38" s="269">
        <f t="shared" si="13"/>
        <v>1</v>
      </c>
      <c r="AA38" s="269">
        <f t="shared" si="13"/>
        <v>1</v>
      </c>
      <c r="AB38" s="269">
        <f t="shared" si="13"/>
        <v>1</v>
      </c>
      <c r="AC38" s="300">
        <f t="shared" si="13"/>
        <v>0.90914890123625958</v>
      </c>
      <c r="AD38" s="333">
        <f t="shared" si="20"/>
        <v>8.8006172595385119E-4</v>
      </c>
      <c r="AE38" s="306">
        <f t="shared" si="21"/>
        <v>0.9991199382740461</v>
      </c>
      <c r="AF38" s="188">
        <f>AE38*GBDUS!K55/(Y38+Z38+AA38+AB38+AC38)</f>
        <v>14.450063961106016</v>
      </c>
      <c r="AG38" s="188">
        <f t="shared" si="22"/>
        <v>14.450063961106016</v>
      </c>
      <c r="AH38" s="188">
        <f t="shared" si="14"/>
        <v>14.450063961106016</v>
      </c>
      <c r="AI38" s="188">
        <f t="shared" si="14"/>
        <v>14.450063961106016</v>
      </c>
      <c r="AJ38" s="294">
        <f t="shared" si="14"/>
        <v>13.137259773033207</v>
      </c>
      <c r="AK38" s="274">
        <f>AE38*GBDUS!L55/(Y38+Z38+AA38+AB38+AC38)</f>
        <v>207.80158856349647</v>
      </c>
      <c r="AL38" s="274">
        <f t="shared" si="23"/>
        <v>207.80158856349647</v>
      </c>
      <c r="AM38" s="274">
        <f t="shared" si="15"/>
        <v>207.80158856349647</v>
      </c>
      <c r="AN38" s="274">
        <f t="shared" si="15"/>
        <v>207.80158856349647</v>
      </c>
      <c r="AO38" s="276">
        <f t="shared" si="15"/>
        <v>188.9225859176521</v>
      </c>
      <c r="AP38" s="274">
        <f>AE38*GBDUS!M55/(Y38+Z38+AA38+AB38+AC38)</f>
        <v>22.170316253357715</v>
      </c>
      <c r="AQ38" s="274">
        <f t="shared" si="24"/>
        <v>22.170316253357715</v>
      </c>
      <c r="AR38" s="274">
        <f t="shared" si="16"/>
        <v>22.170316253357715</v>
      </c>
      <c r="AS38" s="274">
        <f t="shared" si="16"/>
        <v>22.170316253357715</v>
      </c>
      <c r="AT38" s="276">
        <f t="shared" si="16"/>
        <v>20.156118661800555</v>
      </c>
      <c r="AU38" s="338">
        <f t="shared" si="25"/>
        <v>-6.2484382542720596E-2</v>
      </c>
      <c r="AV38" s="338">
        <f t="shared" si="26"/>
        <v>-0.89856723041089026</v>
      </c>
      <c r="AW38" s="338">
        <f t="shared" si="27"/>
        <v>-9.5867985470306394E-2</v>
      </c>
      <c r="AX38" s="338">
        <f t="shared" si="28"/>
        <v>-0.99443521588119665</v>
      </c>
    </row>
    <row r="39" spans="2:50" x14ac:dyDescent="0.2">
      <c r="B39" s="292">
        <v>2</v>
      </c>
      <c r="C39" s="298" t="s">
        <v>13</v>
      </c>
      <c r="D39" s="293">
        <f>Scenario!AL46</f>
        <v>0.15235482657642674</v>
      </c>
      <c r="E39" s="293">
        <f>Scenario!AM46</f>
        <v>0.38265460162600734</v>
      </c>
      <c r="F39" s="293">
        <f>Scenario!AN46</f>
        <v>0.72412175085463892</v>
      </c>
      <c r="G39" s="293">
        <f>Scenario!AO46</f>
        <v>1.3703018540288463</v>
      </c>
      <c r="H39" s="295">
        <f>Scenario!AP46</f>
        <v>3.4416521080659925</v>
      </c>
      <c r="I39" s="201">
        <f>IF(D39+'Non-travel METs'!D40&gt;2.5, D39+'Non-travel METs'!D40, 0.1)</f>
        <v>0.1</v>
      </c>
      <c r="J39" s="201">
        <f>IF(E39+'Non-travel METs'!E40&gt;2.5, E39+'Non-travel METs'!E40, 0.1)</f>
        <v>0.1</v>
      </c>
      <c r="K39" s="201">
        <f>IF(F39+'Non-travel METs'!F40&gt;2.5, F39+'Non-travel METs'!F40, 0.1)</f>
        <v>0.1</v>
      </c>
      <c r="L39" s="201">
        <f>IF(G39+'Non-travel METs'!G40&gt;2.5, G39+'Non-travel METs'!G40, 0.1)</f>
        <v>0.1</v>
      </c>
      <c r="M39" s="202">
        <f>IF(H39+'Non-travel METs'!H40&gt;2.5, H39+'Non-travel METs'!H40, 0.1)</f>
        <v>3.524985441399326</v>
      </c>
      <c r="N39" s="241">
        <f>'Phy activity RRs'!$F$8</f>
        <v>0.93831941951583364</v>
      </c>
      <c r="O39" s="266">
        <f t="shared" si="17"/>
        <v>0.98006871247951299</v>
      </c>
      <c r="P39" s="267">
        <f t="shared" si="11"/>
        <v>0.98006871247951299</v>
      </c>
      <c r="Q39" s="267">
        <f t="shared" si="11"/>
        <v>0.98006871247951299</v>
      </c>
      <c r="R39" s="267">
        <f t="shared" si="11"/>
        <v>0.98006871247951299</v>
      </c>
      <c r="S39" s="268">
        <f t="shared" si="11"/>
        <v>0.88733702062337672</v>
      </c>
      <c r="T39" s="301">
        <f t="shared" si="18"/>
        <v>1</v>
      </c>
      <c r="U39" s="302">
        <f t="shared" si="12"/>
        <v>1</v>
      </c>
      <c r="V39" s="302">
        <f t="shared" si="12"/>
        <v>1</v>
      </c>
      <c r="W39" s="302">
        <f t="shared" si="12"/>
        <v>1</v>
      </c>
      <c r="X39" s="303">
        <f t="shared" si="12"/>
        <v>0.99473624008202743</v>
      </c>
      <c r="Y39" s="301">
        <f t="shared" si="19"/>
        <v>1</v>
      </c>
      <c r="Z39" s="302">
        <f t="shared" si="13"/>
        <v>1</v>
      </c>
      <c r="AA39" s="302">
        <f t="shared" si="13"/>
        <v>1</v>
      </c>
      <c r="AB39" s="302">
        <f t="shared" si="13"/>
        <v>1</v>
      </c>
      <c r="AC39" s="303">
        <f t="shared" si="13"/>
        <v>0.90538245872421452</v>
      </c>
      <c r="AD39" s="333">
        <f t="shared" si="20"/>
        <v>1.0527519835944687E-3</v>
      </c>
      <c r="AE39" s="307">
        <f t="shared" si="21"/>
        <v>0.99894724801640555</v>
      </c>
      <c r="AF39" s="188">
        <f>AE39*GBDUS!K56/(Y39+Z39+AA39+AB39+AC39)</f>
        <v>58.445567209712003</v>
      </c>
      <c r="AG39" s="293">
        <f t="shared" si="22"/>
        <v>58.445567209712003</v>
      </c>
      <c r="AH39" s="293">
        <f t="shared" si="14"/>
        <v>58.445567209712003</v>
      </c>
      <c r="AI39" s="293">
        <f t="shared" si="14"/>
        <v>58.445567209712003</v>
      </c>
      <c r="AJ39" s="295">
        <f t="shared" si="14"/>
        <v>52.915591341860384</v>
      </c>
      <c r="AK39" s="274">
        <f>AE39*GBDUS!L56/(Y39+Z39+AA39+AB39+AC39)</f>
        <v>320.02549298604805</v>
      </c>
      <c r="AL39" s="278">
        <f t="shared" si="23"/>
        <v>320.02549298604805</v>
      </c>
      <c r="AM39" s="278">
        <f t="shared" si="15"/>
        <v>320.02549298604805</v>
      </c>
      <c r="AN39" s="278">
        <f t="shared" si="15"/>
        <v>320.02549298604805</v>
      </c>
      <c r="AO39" s="279">
        <f t="shared" si="15"/>
        <v>289.74546769413706</v>
      </c>
      <c r="AP39" s="277">
        <f>AE39*GBDUS!M56/(Y39+Z39+AA39+AB39+AC39)</f>
        <v>24.693590080678426</v>
      </c>
      <c r="AQ39" s="278">
        <f t="shared" si="24"/>
        <v>24.693590080678426</v>
      </c>
      <c r="AR39" s="278">
        <f t="shared" si="16"/>
        <v>24.693590080678426</v>
      </c>
      <c r="AS39" s="278">
        <f t="shared" si="16"/>
        <v>24.693590080678426</v>
      </c>
      <c r="AT39" s="279">
        <f t="shared" si="16"/>
        <v>22.35714330197251</v>
      </c>
      <c r="AU39" s="339">
        <f t="shared" si="25"/>
        <v>-0.30213981929159672</v>
      </c>
      <c r="AV39" s="340">
        <f t="shared" si="26"/>
        <v>-1.6544016806706168</v>
      </c>
      <c r="AW39" s="340">
        <f t="shared" si="27"/>
        <v>-0.12765582063504155</v>
      </c>
      <c r="AX39" s="340">
        <f t="shared" si="28"/>
        <v>-1.7820575013056583</v>
      </c>
    </row>
    <row r="40" spans="2:50" x14ac:dyDescent="0.2">
      <c r="N40" s="261"/>
      <c r="AD40" s="261"/>
      <c r="AF40" s="261"/>
      <c r="AK40" s="261"/>
      <c r="AT40" s="309" t="s">
        <v>41</v>
      </c>
      <c r="AU40" s="338">
        <f>SUM(AU24:AU39)</f>
        <v>-0.95877937810178882</v>
      </c>
      <c r="AV40" s="338">
        <f>SUM(AV24:AV39)</f>
        <v>-12.219761327115894</v>
      </c>
      <c r="AW40" s="338">
        <f>SUM(AW24:AW39)</f>
        <v>-1.1474644298800021</v>
      </c>
      <c r="AX40" s="338">
        <f>SUM(AX24:AX39)</f>
        <v>-13.367225756995897</v>
      </c>
    </row>
    <row r="41" spans="2:50" x14ac:dyDescent="0.2">
      <c r="AD41" s="332"/>
      <c r="AT41" s="309" t="s">
        <v>50</v>
      </c>
      <c r="AU41" s="341">
        <f>AU40/GBDUS!K57</f>
        <v>-9.8843234855854512E-4</v>
      </c>
      <c r="AV41" s="341">
        <f>AV40/GBDUS!L57</f>
        <v>-9.8974875070762598E-4</v>
      </c>
      <c r="AW41" s="341">
        <f>AW40/GBDUS!M57</f>
        <v>-9.7202310445544725E-4</v>
      </c>
      <c r="AX41" s="341">
        <f>AX40/GBDUS!N57</f>
        <v>-9.8820182630305134E-4</v>
      </c>
    </row>
    <row r="42" spans="2:50" x14ac:dyDescent="0.2">
      <c r="O42" s="187"/>
      <c r="P42" s="187"/>
      <c r="Q42" s="187"/>
      <c r="R42" s="187"/>
      <c r="S42" s="187"/>
      <c r="U42" s="335"/>
      <c r="AD42" s="332"/>
    </row>
    <row r="43" spans="2:50" x14ac:dyDescent="0.2">
      <c r="AD43" s="332"/>
    </row>
    <row r="44" spans="2:50" x14ac:dyDescent="0.2">
      <c r="O44" s="187"/>
      <c r="P44" s="187"/>
      <c r="Q44" s="187"/>
      <c r="R44" s="187"/>
      <c r="S44" s="187"/>
      <c r="U44" s="187"/>
      <c r="V44" s="334"/>
      <c r="W44" s="334"/>
      <c r="X44" s="334"/>
      <c r="Y44" s="334"/>
      <c r="AD44" s="332"/>
    </row>
    <row r="45" spans="2:50" x14ac:dyDescent="0.2">
      <c r="U45" s="335"/>
      <c r="AD45" s="332"/>
    </row>
    <row r="46" spans="2:50" x14ac:dyDescent="0.2">
      <c r="AD46" s="332"/>
    </row>
    <row r="47" spans="2:50" x14ac:dyDescent="0.2">
      <c r="AD47" s="332"/>
    </row>
    <row r="48" spans="2:50" x14ac:dyDescent="0.2">
      <c r="AD48" s="332"/>
    </row>
  </sheetData>
  <mergeCells count="12">
    <mergeCell ref="AU4:AX4"/>
    <mergeCell ref="D4:H4"/>
    <mergeCell ref="I4:M4"/>
    <mergeCell ref="N4:N5"/>
    <mergeCell ref="O4:S4"/>
    <mergeCell ref="AD4:AD5"/>
    <mergeCell ref="AE4:AE5"/>
    <mergeCell ref="AF4:AJ4"/>
    <mergeCell ref="AK4:AO4"/>
    <mergeCell ref="AP4:AT4"/>
    <mergeCell ref="Y4:AC4"/>
    <mergeCell ref="T4:X4"/>
  </mergeCells>
  <pageMargins left="0.7" right="0.7" top="0.75" bottom="0.75" header="0.3" footer="0.3"/>
  <pageSetup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00B050"/>
  </sheetPr>
  <dimension ref="B2:BJ48"/>
  <sheetViews>
    <sheetView showGridLines="0" workbookViewId="0"/>
  </sheetViews>
  <sheetFormatPr defaultRowHeight="12.75" x14ac:dyDescent="0.2"/>
  <cols>
    <col min="1" max="1" width="5" style="4" customWidth="1"/>
    <col min="2" max="2" width="8.7109375" style="4" customWidth="1"/>
    <col min="3" max="3" width="6.140625" style="4" bestFit="1" customWidth="1"/>
    <col min="4" max="6" width="3.5703125" style="4" bestFit="1" customWidth="1"/>
    <col min="7" max="7" width="4.5703125" style="4" customWidth="1"/>
    <col min="8" max="13" width="4.5703125" style="4" bestFit="1" customWidth="1"/>
    <col min="14" max="14" width="6.28515625" style="4" customWidth="1"/>
    <col min="15" max="20" width="4.5703125" style="4" bestFit="1" customWidth="1"/>
    <col min="21" max="21" width="5.7109375" style="4" customWidth="1"/>
    <col min="22" max="24" width="7.5703125" style="4" bestFit="1" customWidth="1"/>
    <col min="25" max="25" width="6.42578125" style="4" customWidth="1"/>
    <col min="26" max="26" width="5.5703125" style="4" customWidth="1"/>
    <col min="27" max="27" width="5.28515625" style="4" customWidth="1"/>
    <col min="28" max="28" width="5.140625" style="4" customWidth="1"/>
    <col min="29" max="29" width="5.5703125" style="4" customWidth="1"/>
    <col min="30" max="30" width="7.28515625" style="4" customWidth="1"/>
    <col min="31" max="31" width="7.42578125" style="4" customWidth="1"/>
    <col min="32" max="36" width="4.5703125" style="4" bestFit="1" customWidth="1"/>
    <col min="37" max="46" width="5.5703125" style="4" bestFit="1" customWidth="1"/>
    <col min="47" max="47" width="8.7109375" style="4" bestFit="1" customWidth="1"/>
    <col min="48" max="48" width="5.85546875" style="4" bestFit="1" customWidth="1"/>
    <col min="49" max="49" width="6.42578125" style="4" bestFit="1" customWidth="1"/>
    <col min="50" max="50" width="7.28515625" style="4" bestFit="1" customWidth="1"/>
    <col min="51" max="16384" width="9.140625" style="4"/>
  </cols>
  <sheetData>
    <row r="2" spans="2:62" x14ac:dyDescent="0.2">
      <c r="B2" s="56" t="s">
        <v>175</v>
      </c>
    </row>
    <row r="3" spans="2:62" ht="12.75" customHeight="1" x14ac:dyDescent="0.2">
      <c r="U3" s="708"/>
      <c r="V3" s="708"/>
      <c r="W3" s="708"/>
      <c r="X3" s="708"/>
      <c r="Z3" s="712"/>
      <c r="AA3" s="712"/>
      <c r="AB3" s="712"/>
      <c r="AC3" s="712"/>
    </row>
    <row r="4" spans="2:62" ht="12.75" customHeight="1" x14ac:dyDescent="0.2">
      <c r="B4" s="189" t="s">
        <v>65</v>
      </c>
      <c r="C4" s="197"/>
      <c r="D4" s="673" t="s">
        <v>141</v>
      </c>
      <c r="E4" s="674"/>
      <c r="F4" s="674"/>
      <c r="G4" s="674"/>
      <c r="H4" s="675"/>
      <c r="I4" s="673" t="s">
        <v>142</v>
      </c>
      <c r="J4" s="674"/>
      <c r="K4" s="674"/>
      <c r="L4" s="674"/>
      <c r="M4" s="675"/>
      <c r="N4" s="676" t="s">
        <v>136</v>
      </c>
      <c r="O4" s="672" t="s">
        <v>163</v>
      </c>
      <c r="P4" s="671"/>
      <c r="Q4" s="671"/>
      <c r="R4" s="671"/>
      <c r="S4" s="678"/>
      <c r="T4" s="709" t="s">
        <v>132</v>
      </c>
      <c r="U4" s="671"/>
      <c r="V4" s="671"/>
      <c r="W4" s="671"/>
      <c r="X4" s="678"/>
      <c r="Y4" s="672" t="s">
        <v>166</v>
      </c>
      <c r="Z4" s="672"/>
      <c r="AA4" s="672"/>
      <c r="AB4" s="672"/>
      <c r="AC4" s="713"/>
      <c r="AD4" s="676" t="s">
        <v>2</v>
      </c>
      <c r="AE4" s="679" t="s">
        <v>165</v>
      </c>
      <c r="AF4" s="672" t="s">
        <v>164</v>
      </c>
      <c r="AG4" s="671"/>
      <c r="AH4" s="671"/>
      <c r="AI4" s="671"/>
      <c r="AJ4" s="678"/>
      <c r="AK4" s="671" t="s">
        <v>133</v>
      </c>
      <c r="AL4" s="671"/>
      <c r="AM4" s="671"/>
      <c r="AN4" s="671"/>
      <c r="AO4" s="678"/>
      <c r="AP4" s="681" t="s">
        <v>134</v>
      </c>
      <c r="AQ4" s="681"/>
      <c r="AR4" s="681"/>
      <c r="AS4" s="681"/>
      <c r="AT4" s="682"/>
      <c r="AU4" s="670" t="s">
        <v>135</v>
      </c>
      <c r="AV4" s="670"/>
      <c r="AW4" s="670"/>
      <c r="AX4" s="670"/>
      <c r="AY4" s="186"/>
      <c r="AZ4" s="186"/>
      <c r="BA4" s="186"/>
      <c r="BB4" s="186"/>
      <c r="BC4" s="186"/>
      <c r="BD4" s="186"/>
      <c r="BE4" s="186"/>
      <c r="BF4" s="186"/>
      <c r="BG4" s="186"/>
      <c r="BH4" s="186"/>
      <c r="BI4" s="186"/>
      <c r="BJ4" s="186"/>
    </row>
    <row r="5" spans="2:62" x14ac:dyDescent="0.2">
      <c r="B5" s="192" t="s">
        <v>1</v>
      </c>
      <c r="C5" s="198" t="s">
        <v>0</v>
      </c>
      <c r="D5" s="193">
        <v>1</v>
      </c>
      <c r="E5" s="193">
        <v>2</v>
      </c>
      <c r="F5" s="193">
        <v>3</v>
      </c>
      <c r="G5" s="193">
        <v>4</v>
      </c>
      <c r="H5" s="194">
        <v>5</v>
      </c>
      <c r="I5" s="193">
        <v>1</v>
      </c>
      <c r="J5" s="193">
        <v>2</v>
      </c>
      <c r="K5" s="193">
        <v>3</v>
      </c>
      <c r="L5" s="193">
        <v>4</v>
      </c>
      <c r="M5" s="194">
        <v>5</v>
      </c>
      <c r="N5" s="677"/>
      <c r="O5" s="236">
        <v>1</v>
      </c>
      <c r="P5" s="236">
        <v>2</v>
      </c>
      <c r="Q5" s="236">
        <v>3</v>
      </c>
      <c r="R5" s="236">
        <v>4</v>
      </c>
      <c r="S5" s="243">
        <v>5</v>
      </c>
      <c r="T5" s="254">
        <v>1</v>
      </c>
      <c r="U5" s="255">
        <v>2</v>
      </c>
      <c r="V5" s="255">
        <v>3</v>
      </c>
      <c r="W5" s="255">
        <v>4</v>
      </c>
      <c r="X5" s="256">
        <v>5</v>
      </c>
      <c r="Y5" s="255">
        <v>1</v>
      </c>
      <c r="Z5" s="255">
        <v>2</v>
      </c>
      <c r="AA5" s="255">
        <v>3</v>
      </c>
      <c r="AB5" s="255">
        <v>4</v>
      </c>
      <c r="AC5" s="256">
        <v>5</v>
      </c>
      <c r="AD5" s="676"/>
      <c r="AE5" s="680"/>
      <c r="AF5" s="254">
        <v>1</v>
      </c>
      <c r="AG5" s="255">
        <v>2</v>
      </c>
      <c r="AH5" s="255">
        <v>3</v>
      </c>
      <c r="AI5" s="255">
        <v>4</v>
      </c>
      <c r="AJ5" s="256">
        <v>5</v>
      </c>
      <c r="AK5" s="270">
        <v>1</v>
      </c>
      <c r="AL5" s="193">
        <v>2</v>
      </c>
      <c r="AM5" s="193">
        <v>3</v>
      </c>
      <c r="AN5" s="193">
        <v>4</v>
      </c>
      <c r="AO5" s="194">
        <v>5</v>
      </c>
      <c r="AP5" s="255">
        <v>1</v>
      </c>
      <c r="AQ5" s="255">
        <v>2</v>
      </c>
      <c r="AR5" s="255">
        <v>3</v>
      </c>
      <c r="AS5" s="255">
        <v>4</v>
      </c>
      <c r="AT5" s="256">
        <v>5</v>
      </c>
      <c r="AU5" s="271" t="s">
        <v>137</v>
      </c>
      <c r="AV5" s="255" t="s">
        <v>138</v>
      </c>
      <c r="AW5" s="255" t="s">
        <v>139</v>
      </c>
      <c r="AX5" s="255" t="s">
        <v>140</v>
      </c>
      <c r="AY5" s="186"/>
      <c r="AZ5" s="186"/>
      <c r="BA5" s="186"/>
      <c r="BB5" s="186"/>
      <c r="BC5" s="186"/>
      <c r="BD5" s="186"/>
      <c r="BE5" s="186"/>
      <c r="BF5" s="186"/>
      <c r="BG5" s="186"/>
      <c r="BH5" s="186"/>
      <c r="BI5" s="186"/>
      <c r="BJ5" s="186"/>
    </row>
    <row r="6" spans="2:62" x14ac:dyDescent="0.2">
      <c r="B6" s="190">
        <v>1</v>
      </c>
      <c r="C6" s="197" t="s">
        <v>6</v>
      </c>
      <c r="D6" s="191">
        <f>Baseline!AL31</f>
        <v>0.32584257613541145</v>
      </c>
      <c r="E6" s="191">
        <f>Baseline!AM31</f>
        <v>0.82008604845897226</v>
      </c>
      <c r="F6" s="191">
        <f>Baseline!AN31</f>
        <v>1.5541324044470577</v>
      </c>
      <c r="G6" s="191">
        <f>Baseline!AO31</f>
        <v>2.9452123165502546</v>
      </c>
      <c r="H6" s="195">
        <f>Baseline!AP31</f>
        <v>7.4125596452093143</v>
      </c>
      <c r="I6" s="191">
        <f>IF(D6+'Non-travel METs'!D6&gt;2.5, D6+'Non-travel METs'!D6, 0.1)</f>
        <v>0.1</v>
      </c>
      <c r="J6" s="191">
        <f>IF(E6+'Non-travel METs'!E6&gt;2.5, E6+'Non-travel METs'!E6, 0.1)</f>
        <v>0.1</v>
      </c>
      <c r="K6" s="191">
        <f>IF(F6+'Non-travel METs'!F6&gt;2.5, F6+'Non-travel METs'!F6, 0.1)</f>
        <v>0.1</v>
      </c>
      <c r="L6" s="191">
        <f>IF(G6+'Non-travel METs'!G6&gt;2.5, G6+'Non-travel METs'!G6, 0.1)</f>
        <v>2.9452123165502546</v>
      </c>
      <c r="M6" s="196">
        <f>IF(H6+'Non-travel METs'!H6&gt;2.5, H6+'Non-travel METs'!H6, 0.1)</f>
        <v>7.4125596452093143</v>
      </c>
      <c r="N6" s="241">
        <f>'Phy activity RRs'!$F$6</f>
        <v>0.96065247560449929</v>
      </c>
      <c r="O6" s="234">
        <f>$N6^(I6^0.5)</f>
        <v>0.98738603830564786</v>
      </c>
      <c r="P6" s="234">
        <f>$N6^(J6^0.5)</f>
        <v>0.98738603830564786</v>
      </c>
      <c r="Q6" s="234">
        <f>$N6^(K6^0.5)</f>
        <v>0.98738603830564786</v>
      </c>
      <c r="R6" s="234">
        <f>$N6^(L6^0.5)</f>
        <v>0.93342828260675292</v>
      </c>
      <c r="S6" s="244">
        <f>$N6^(M6^0.5)</f>
        <v>0.89646842367397883</v>
      </c>
      <c r="T6" s="248"/>
      <c r="U6" s="248"/>
      <c r="V6" s="248"/>
      <c r="W6" s="248"/>
      <c r="X6" s="249"/>
      <c r="Y6" s="235">
        <f>O6/$O6</f>
        <v>1</v>
      </c>
      <c r="Z6" s="235">
        <f>P6/$O6</f>
        <v>1</v>
      </c>
      <c r="AA6" s="235">
        <f>Q6/$O6</f>
        <v>1</v>
      </c>
      <c r="AB6" s="235">
        <f>R6/$O6</f>
        <v>0.94535292823110373</v>
      </c>
      <c r="AC6" s="259">
        <f>S6/$O6</f>
        <v>0.90792090316804208</v>
      </c>
      <c r="AD6" s="262"/>
      <c r="AE6" s="263"/>
      <c r="AF6" s="187">
        <f>GBDUS!K24/(Y6+Z6+AA6+AB6+AC6)</f>
        <v>0</v>
      </c>
      <c r="AG6" s="187">
        <f>$AF6*Z6</f>
        <v>0</v>
      </c>
      <c r="AH6" s="187">
        <f>$AF6*AA6</f>
        <v>0</v>
      </c>
      <c r="AI6" s="187">
        <f>$AF6*AB6</f>
        <v>0</v>
      </c>
      <c r="AJ6" s="265">
        <f>$AF6*AC6</f>
        <v>0</v>
      </c>
      <c r="AK6" s="274">
        <f>GBDUS!L24/(Y6+Z6+AA6+AB6+AC6)</f>
        <v>0</v>
      </c>
      <c r="AL6" s="274">
        <f>$AK6*Z6</f>
        <v>0</v>
      </c>
      <c r="AM6" s="274">
        <f>$AK6*AA6</f>
        <v>0</v>
      </c>
      <c r="AN6" s="274">
        <f>$AK6*AB6</f>
        <v>0</v>
      </c>
      <c r="AO6" s="276">
        <f>$AK6*AC6</f>
        <v>0</v>
      </c>
      <c r="AP6" s="274">
        <f>GBDUS!M24/(Y6+Z6+AA6+AB6+AC6)</f>
        <v>0</v>
      </c>
      <c r="AQ6" s="274">
        <f>$AP6*Z6</f>
        <v>0</v>
      </c>
      <c r="AR6" s="274">
        <f>$AP6*AA6</f>
        <v>0</v>
      </c>
      <c r="AS6" s="274">
        <f>$AP6*AB6</f>
        <v>0</v>
      </c>
      <c r="AT6" s="275">
        <f>$AP6*AC6</f>
        <v>0</v>
      </c>
      <c r="AU6" s="272"/>
      <c r="AV6" s="272"/>
      <c r="AW6" s="272"/>
      <c r="AX6" s="272"/>
    </row>
    <row r="7" spans="2:62" x14ac:dyDescent="0.2">
      <c r="B7" s="190">
        <v>1</v>
      </c>
      <c r="C7" s="197" t="s">
        <v>7</v>
      </c>
      <c r="D7" s="191">
        <f>Baseline!AL32</f>
        <v>0.6753691820387282</v>
      </c>
      <c r="E7" s="191">
        <f>Baseline!AM32</f>
        <v>1.6997804593802961</v>
      </c>
      <c r="F7" s="191">
        <f>Baseline!AN32</f>
        <v>3.221227695962912</v>
      </c>
      <c r="G7" s="191">
        <f>Baseline!AO32</f>
        <v>6.1044988557060549</v>
      </c>
      <c r="H7" s="196">
        <f>Baseline!AP32</f>
        <v>15.363904876316242</v>
      </c>
      <c r="I7" s="191">
        <f>IF(D7+'Non-travel METs'!D7&gt;2.5, D7+'Non-travel METs'!D7, 0.1)</f>
        <v>0.1</v>
      </c>
      <c r="J7" s="191">
        <f>IF(E7+'Non-travel METs'!E7&gt;2.5, E7+'Non-travel METs'!E7, 0.1)</f>
        <v>0.1</v>
      </c>
      <c r="K7" s="191">
        <f>IF(F7+'Non-travel METs'!F7&gt;2.5, F7+'Non-travel METs'!F7, 0.1)</f>
        <v>3.221227695962912</v>
      </c>
      <c r="L7" s="191">
        <f>IF(G7+'Non-travel METs'!G7&gt;2.5, G7+'Non-travel METs'!G7, 0.1)</f>
        <v>6.1044988557060549</v>
      </c>
      <c r="M7" s="196">
        <f>IF(H7+'Non-travel METs'!H7&gt;2.5, H7+'Non-travel METs'!H7, 0.1)</f>
        <v>15.363904876316242</v>
      </c>
      <c r="N7" s="241">
        <f>'Phy activity RRs'!$F$6</f>
        <v>0.96065247560449929</v>
      </c>
      <c r="O7" s="234">
        <f t="shared" ref="O7:O13" si="0">$N7^(I7^0.5)</f>
        <v>0.98738603830564786</v>
      </c>
      <c r="P7" s="234">
        <f t="shared" ref="P7:P14" si="1">$N7^(J7^0.5)</f>
        <v>0.98738603830564786</v>
      </c>
      <c r="Q7" s="234">
        <f t="shared" ref="Q7:Q14" si="2">$N7^(K7^0.5)</f>
        <v>0.93048717556893679</v>
      </c>
      <c r="R7" s="234">
        <f t="shared" ref="R7:R14" si="3">$N7^(L7^0.5)</f>
        <v>0.9055784470738808</v>
      </c>
      <c r="S7" s="244">
        <f t="shared" ref="S7:S14" si="4">$N7^(M7^0.5)</f>
        <v>0.85440832083833329</v>
      </c>
      <c r="T7" s="248"/>
      <c r="U7" s="248"/>
      <c r="V7" s="248"/>
      <c r="W7" s="248"/>
      <c r="X7" s="249"/>
      <c r="Y7" s="235">
        <f t="shared" ref="Y7:Y21" si="5">O7/$O7</f>
        <v>1</v>
      </c>
      <c r="Z7" s="235">
        <f t="shared" ref="Z7:Z21" si="6">P7/$O7</f>
        <v>1</v>
      </c>
      <c r="AA7" s="235">
        <f t="shared" ref="AA7:AA21" si="7">Q7/$O7</f>
        <v>0.94237424823795424</v>
      </c>
      <c r="AB7" s="235">
        <f t="shared" ref="AB7:AB21" si="8">R7/$O7</f>
        <v>0.91714730808615774</v>
      </c>
      <c r="AC7" s="246">
        <f t="shared" ref="AC7:AC21" si="9">S7/$O7</f>
        <v>0.86532347804359877</v>
      </c>
      <c r="AD7" s="263"/>
      <c r="AE7" s="263"/>
      <c r="AF7" s="187">
        <f>GBDUS!K25/(Y7+Z7+AA7+AB7+AC7)</f>
        <v>0</v>
      </c>
      <c r="AG7" s="187">
        <f t="shared" ref="AG7:AG21" si="10">$AF7*Z7</f>
        <v>0</v>
      </c>
      <c r="AH7" s="187">
        <f t="shared" ref="AH7:AH21" si="11">$AF7*AA7</f>
        <v>0</v>
      </c>
      <c r="AI7" s="187">
        <f t="shared" ref="AI7:AI21" si="12">$AF7*AB7</f>
        <v>0</v>
      </c>
      <c r="AJ7" s="265">
        <f t="shared" ref="AJ7:AJ21" si="13">$AF7*AC7</f>
        <v>0</v>
      </c>
      <c r="AK7" s="274">
        <f>GBDUS!L25/(Y7+Z7+AA7+AB7+AC7)</f>
        <v>0</v>
      </c>
      <c r="AL7" s="274">
        <f t="shared" ref="AL7:AL21" si="14">$AK7*Z7</f>
        <v>0</v>
      </c>
      <c r="AM7" s="274">
        <f t="shared" ref="AM7:AM21" si="15">$AK7*AA7</f>
        <v>0</v>
      </c>
      <c r="AN7" s="274">
        <f t="shared" ref="AN7:AN21" si="16">$AK7*AB7</f>
        <v>0</v>
      </c>
      <c r="AO7" s="276">
        <f t="shared" ref="AO7:AO21" si="17">$AK7*AC7</f>
        <v>0</v>
      </c>
      <c r="AP7" s="274">
        <f>GBDUS!M25/(Y7+Z7+AA7+AB7+AC7)</f>
        <v>0</v>
      </c>
      <c r="AQ7" s="274">
        <f t="shared" ref="AQ7:AQ21" si="18">$AP7*Z7</f>
        <v>0</v>
      </c>
      <c r="AR7" s="274">
        <f t="shared" ref="AR7:AR21" si="19">$AP7*AA7</f>
        <v>0</v>
      </c>
      <c r="AS7" s="274">
        <f t="shared" ref="AS7:AS21" si="20">$AP7*AB7</f>
        <v>0</v>
      </c>
      <c r="AT7" s="276">
        <f t="shared" ref="AT7:AT21" si="21">$AP7*AC7</f>
        <v>0</v>
      </c>
      <c r="AU7" s="272"/>
      <c r="AV7" s="272"/>
      <c r="AW7" s="272"/>
      <c r="AX7" s="272"/>
    </row>
    <row r="8" spans="2:62" x14ac:dyDescent="0.2">
      <c r="B8" s="190">
        <v>1</v>
      </c>
      <c r="C8" s="197" t="s">
        <v>8</v>
      </c>
      <c r="D8" s="191">
        <f>Baseline!AL33</f>
        <v>0.52336012682040156</v>
      </c>
      <c r="E8" s="191">
        <f>Baseline!AM33</f>
        <v>1.3172015253978522</v>
      </c>
      <c r="F8" s="191">
        <f>Baseline!AN33</f>
        <v>2.4962082669917658</v>
      </c>
      <c r="G8" s="191">
        <f>Baseline!AO33</f>
        <v>4.7305257335744315</v>
      </c>
      <c r="H8" s="196">
        <f>Baseline!AP33</f>
        <v>11.90586632966081</v>
      </c>
      <c r="I8" s="191">
        <f>IF(D8+'Non-travel METs'!D8&gt;2.5, D8+'Non-travel METs'!D8, 0.1)</f>
        <v>65.400860126820405</v>
      </c>
      <c r="J8" s="191">
        <f>IF(E8+'Non-travel METs'!E8&gt;2.5, E8+'Non-travel METs'!E8, 0.1)</f>
        <v>66.194701525397846</v>
      </c>
      <c r="K8" s="191">
        <f>IF(F8+'Non-travel METs'!F8&gt;2.5, F8+'Non-travel METs'!F8, 0.1)</f>
        <v>67.37370826699177</v>
      </c>
      <c r="L8" s="191">
        <f>IF(G8+'Non-travel METs'!G8&gt;2.5, G8+'Non-travel METs'!G8, 0.1)</f>
        <v>69.608025733574436</v>
      </c>
      <c r="M8" s="196">
        <f>IF(H8+'Non-travel METs'!H8&gt;2.5, H8+'Non-travel METs'!H8, 0.1)</f>
        <v>76.783366329660808</v>
      </c>
      <c r="N8" s="241">
        <f>'Phy activity RRs'!$F$6</f>
        <v>0.96065247560449929</v>
      </c>
      <c r="O8" s="234">
        <f t="shared" si="0"/>
        <v>0.72279031918307945</v>
      </c>
      <c r="P8" s="234">
        <f t="shared" si="1"/>
        <v>0.7213719442145492</v>
      </c>
      <c r="Q8" s="234">
        <f t="shared" si="2"/>
        <v>0.71928606410786777</v>
      </c>
      <c r="R8" s="234">
        <f t="shared" si="3"/>
        <v>0.71539880439132242</v>
      </c>
      <c r="S8" s="244">
        <f t="shared" si="4"/>
        <v>0.70345336077818743</v>
      </c>
      <c r="T8" s="248"/>
      <c r="U8" s="248"/>
      <c r="V8" s="248"/>
      <c r="W8" s="248"/>
      <c r="X8" s="249"/>
      <c r="Y8" s="235">
        <f t="shared" si="5"/>
        <v>1</v>
      </c>
      <c r="Z8" s="235">
        <f t="shared" si="6"/>
        <v>0.99803763978170967</v>
      </c>
      <c r="AA8" s="235">
        <f t="shared" si="7"/>
        <v>0.99515176811004846</v>
      </c>
      <c r="AB8" s="235">
        <f t="shared" si="8"/>
        <v>0.98977363891631642</v>
      </c>
      <c r="AC8" s="246">
        <f t="shared" si="9"/>
        <v>0.97324679386028956</v>
      </c>
      <c r="AD8" s="263"/>
      <c r="AE8" s="263"/>
      <c r="AF8" s="187">
        <f>GBDUS!K26/(Y8+Z8+AA8+AB8+AC8)</f>
        <v>0.20176708253844758</v>
      </c>
      <c r="AG8" s="187">
        <f t="shared" si="10"/>
        <v>0.20137114284231364</v>
      </c>
      <c r="AH8" s="187">
        <f t="shared" si="11"/>
        <v>0.2007888689345422</v>
      </c>
      <c r="AI8" s="187">
        <f t="shared" si="12"/>
        <v>0.19970373949760803</v>
      </c>
      <c r="AJ8" s="265">
        <f t="shared" si="13"/>
        <v>0.19636916618708852</v>
      </c>
      <c r="AK8" s="274">
        <f>GBDUS!L26/(Y8+Z8+AA8+AB8+AC8)</f>
        <v>12.338856431613376</v>
      </c>
      <c r="AL8" s="274">
        <f t="shared" si="14"/>
        <v>12.314643150612783</v>
      </c>
      <c r="AM8" s="274">
        <f t="shared" si="15"/>
        <v>12.279034794376095</v>
      </c>
      <c r="AN8" s="274">
        <f t="shared" si="16"/>
        <v>12.212674830383966</v>
      </c>
      <c r="AO8" s="276">
        <f t="shared" si="17"/>
        <v>12.008752461970131</v>
      </c>
      <c r="AP8" s="274">
        <f>GBDUS!M26/(Y8+Z8+AA8+AB8+AC8)</f>
        <v>0.28713777787389122</v>
      </c>
      <c r="AQ8" s="274">
        <f t="shared" si="18"/>
        <v>0.2865743101214232</v>
      </c>
      <c r="AR8" s="274">
        <f t="shared" si="19"/>
        <v>0.28574566734239321</v>
      </c>
      <c r="AS8" s="274">
        <f t="shared" si="20"/>
        <v>0.28420140327658627</v>
      </c>
      <c r="AT8" s="276">
        <f t="shared" si="21"/>
        <v>0.27945592171193262</v>
      </c>
      <c r="AU8" s="272"/>
      <c r="AV8" s="272"/>
      <c r="AW8" s="272"/>
      <c r="AX8" s="272"/>
    </row>
    <row r="9" spans="2:62" x14ac:dyDescent="0.2">
      <c r="B9" s="190">
        <v>1</v>
      </c>
      <c r="C9" s="197" t="s">
        <v>9</v>
      </c>
      <c r="D9" s="191">
        <f>Baseline!AL34</f>
        <v>0.45100860513125557</v>
      </c>
      <c r="E9" s="191">
        <f>Baseline!AM34</f>
        <v>1.1351060048376795</v>
      </c>
      <c r="F9" s="191">
        <f>Baseline!AN34</f>
        <v>2.151121858389879</v>
      </c>
      <c r="G9" s="191">
        <f>Baseline!AO34</f>
        <v>4.0765578103909643</v>
      </c>
      <c r="H9" s="196">
        <f>Baseline!AP34</f>
        <v>10.259948916708694</v>
      </c>
      <c r="I9" s="191">
        <f>IF(D9+'Non-travel METs'!D9&gt;2.5, D9+'Non-travel METs'!D9, 0.1)</f>
        <v>68.144758605131244</v>
      </c>
      <c r="J9" s="191">
        <f>IF(E9+'Non-travel METs'!E9&gt;2.5, E9+'Non-travel METs'!E9, 0.1)</f>
        <v>68.828856004837675</v>
      </c>
      <c r="K9" s="191">
        <f>IF(F9+'Non-travel METs'!F9&gt;2.5, F9+'Non-travel METs'!F9, 0.1)</f>
        <v>69.84487185838988</v>
      </c>
      <c r="L9" s="191">
        <f>IF(G9+'Non-travel METs'!G9&gt;2.5, G9+'Non-travel METs'!G9, 0.1)</f>
        <v>71.77030781039096</v>
      </c>
      <c r="M9" s="196">
        <f>IF(H9+'Non-travel METs'!H9&gt;2.5, H9+'Non-travel METs'!H9, 0.1)</f>
        <v>77.953698916708689</v>
      </c>
      <c r="N9" s="241">
        <f>'Phy activity RRs'!$F$6</f>
        <v>0.96065247560449929</v>
      </c>
      <c r="O9" s="234">
        <f t="shared" si="0"/>
        <v>0.71793502223524819</v>
      </c>
      <c r="P9" s="234">
        <f t="shared" si="1"/>
        <v>0.71674483347759255</v>
      </c>
      <c r="Q9" s="234">
        <f t="shared" si="2"/>
        <v>0.71499164227301026</v>
      </c>
      <c r="R9" s="234">
        <f t="shared" si="3"/>
        <v>0.71171538232617404</v>
      </c>
      <c r="S9" s="244">
        <f t="shared" si="4"/>
        <v>0.70157723972215214</v>
      </c>
      <c r="T9" s="248"/>
      <c r="U9" s="248"/>
      <c r="V9" s="248"/>
      <c r="W9" s="248"/>
      <c r="X9" s="249"/>
      <c r="Y9" s="235">
        <f t="shared" si="5"/>
        <v>1</v>
      </c>
      <c r="Z9" s="235">
        <f t="shared" si="6"/>
        <v>0.99834220546317676</v>
      </c>
      <c r="AA9" s="235">
        <f t="shared" si="7"/>
        <v>0.99590021398722983</v>
      </c>
      <c r="AB9" s="235">
        <f t="shared" si="8"/>
        <v>0.99133676486528033</v>
      </c>
      <c r="AC9" s="246">
        <f t="shared" si="9"/>
        <v>0.97721551114449456</v>
      </c>
      <c r="AD9" s="263"/>
      <c r="AE9" s="263"/>
      <c r="AF9" s="187">
        <f>GBDUS!K27/(Y9+Z9+AA9+AB9+AC9)</f>
        <v>0</v>
      </c>
      <c r="AG9" s="187">
        <f t="shared" si="10"/>
        <v>0</v>
      </c>
      <c r="AH9" s="187">
        <f t="shared" si="11"/>
        <v>0</v>
      </c>
      <c r="AI9" s="187">
        <f t="shared" si="12"/>
        <v>0</v>
      </c>
      <c r="AJ9" s="265">
        <f t="shared" si="13"/>
        <v>0</v>
      </c>
      <c r="AK9" s="274">
        <f>GBDUS!L27/(Y9+Z9+AA9+AB9+AC9)</f>
        <v>21.59996786243245</v>
      </c>
      <c r="AL9" s="274">
        <f t="shared" si="14"/>
        <v>21.564159553714553</v>
      </c>
      <c r="AM9" s="274">
        <f t="shared" si="15"/>
        <v>21.511412616313766</v>
      </c>
      <c r="AN9" s="274">
        <f t="shared" si="16"/>
        <v>21.412842261937811</v>
      </c>
      <c r="AO9" s="276">
        <f t="shared" si="17"/>
        <v>21.107823635391583</v>
      </c>
      <c r="AP9" s="274">
        <f>GBDUS!M27/(Y9+Z9+AA9+AB9+AC9)</f>
        <v>0.74506850189975204</v>
      </c>
      <c r="AQ9" s="274">
        <f t="shared" si="18"/>
        <v>0.74383333140774355</v>
      </c>
      <c r="AR9" s="274">
        <f t="shared" si="19"/>
        <v>0.74201388047710781</v>
      </c>
      <c r="AS9" s="274">
        <f t="shared" si="20"/>
        <v>0.73861379827632112</v>
      </c>
      <c r="AT9" s="276">
        <f t="shared" si="21"/>
        <v>0.72809249692162903</v>
      </c>
      <c r="AU9" s="272"/>
      <c r="AV9" s="272"/>
      <c r="AW9" s="272"/>
      <c r="AX9" s="272"/>
    </row>
    <row r="10" spans="2:62" x14ac:dyDescent="0.2">
      <c r="B10" s="190">
        <v>1</v>
      </c>
      <c r="C10" s="197" t="s">
        <v>10</v>
      </c>
      <c r="D10" s="191">
        <f>Baseline!AL35</f>
        <v>0.38443114877047524</v>
      </c>
      <c r="E10" s="191">
        <f>Baseline!AM35</f>
        <v>0.96754274852254363</v>
      </c>
      <c r="F10" s="191">
        <f>Baseline!AN35</f>
        <v>1.8335753193122197</v>
      </c>
      <c r="G10" s="191">
        <f>Baseline!AO35</f>
        <v>3.4747802685976854</v>
      </c>
      <c r="H10" s="196">
        <f>Baseline!AP35</f>
        <v>8.7453851290239513</v>
      </c>
      <c r="I10" s="191">
        <f>IF(D10+'Non-travel METs'!D10&gt;2.5, D10+'Non-travel METs'!D10, 0.1)</f>
        <v>58.159431148770473</v>
      </c>
      <c r="J10" s="191">
        <f>IF(E10+'Non-travel METs'!E10&gt;2.5, E10+'Non-travel METs'!E10, 0.1)</f>
        <v>58.742542748522546</v>
      </c>
      <c r="K10" s="191">
        <f>IF(F10+'Non-travel METs'!F10&gt;2.5, F10+'Non-travel METs'!F10, 0.1)</f>
        <v>59.608575319312216</v>
      </c>
      <c r="L10" s="191">
        <f>IF(G10+'Non-travel METs'!G10&gt;2.5, G10+'Non-travel METs'!G10, 0.1)</f>
        <v>61.249780268597682</v>
      </c>
      <c r="M10" s="196">
        <f>IF(H10+'Non-travel METs'!H10&gt;2.5, H10+'Non-travel METs'!H10, 0.1)</f>
        <v>66.52038512902395</v>
      </c>
      <c r="N10" s="241">
        <f>'Phy activity RRs'!$F$6</f>
        <v>0.96065247560449929</v>
      </c>
      <c r="O10" s="234">
        <f t="shared" si="0"/>
        <v>0.73628607673719759</v>
      </c>
      <c r="P10" s="234">
        <f t="shared" si="1"/>
        <v>0.7351597966046064</v>
      </c>
      <c r="Q10" s="234">
        <f t="shared" si="2"/>
        <v>0.73350046869558205</v>
      </c>
      <c r="R10" s="234">
        <f t="shared" si="3"/>
        <v>0.73039873063158112</v>
      </c>
      <c r="S10" s="244">
        <f t="shared" si="4"/>
        <v>0.72079330057540181</v>
      </c>
      <c r="T10" s="248"/>
      <c r="U10" s="248"/>
      <c r="V10" s="248"/>
      <c r="W10" s="248"/>
      <c r="X10" s="249"/>
      <c r="Y10" s="235">
        <f t="shared" si="5"/>
        <v>1</v>
      </c>
      <c r="Z10" s="235">
        <f t="shared" si="6"/>
        <v>0.99847032265287128</v>
      </c>
      <c r="AA10" s="235">
        <f t="shared" si="7"/>
        <v>0.99621667700962135</v>
      </c>
      <c r="AB10" s="235">
        <f t="shared" si="8"/>
        <v>0.99200399641983472</v>
      </c>
      <c r="AC10" s="246">
        <f t="shared" si="9"/>
        <v>0.97895821114742387</v>
      </c>
      <c r="AD10" s="263"/>
      <c r="AE10" s="263"/>
      <c r="AF10" s="187">
        <f>GBDUS!K28/(Y10+Z10+AA10+AB10+AC10)</f>
        <v>4.2290542733918848</v>
      </c>
      <c r="AG10" s="187">
        <f t="shared" si="10"/>
        <v>4.2225851848700993</v>
      </c>
      <c r="AH10" s="187">
        <f t="shared" si="11"/>
        <v>4.2130543951318025</v>
      </c>
      <c r="AI10" s="187">
        <f t="shared" si="12"/>
        <v>4.1952387402811304</v>
      </c>
      <c r="AJ10" s="265">
        <f t="shared" si="13"/>
        <v>4.1400674063250884</v>
      </c>
      <c r="AK10" s="274">
        <f>GBDUS!L28/(Y10+Z10+AA10+AB10+AC10)</f>
        <v>140.77460427431097</v>
      </c>
      <c r="AL10" s="274">
        <f t="shared" si="14"/>
        <v>140.55926455110156</v>
      </c>
      <c r="AM10" s="274">
        <f t="shared" si="15"/>
        <v>140.24200847749853</v>
      </c>
      <c r="AN10" s="274">
        <f t="shared" si="16"/>
        <v>139.64897003453723</v>
      </c>
      <c r="AO10" s="276">
        <f t="shared" si="17"/>
        <v>137.81245477536595</v>
      </c>
      <c r="AP10" s="274">
        <f>GBDUS!M28/(Y10+Z10+AA10+AB10+AC10)</f>
        <v>6.442261178940103</v>
      </c>
      <c r="AQ10" s="274">
        <f t="shared" si="18"/>
        <v>6.4324065979503917</v>
      </c>
      <c r="AR10" s="274">
        <f t="shared" si="19"/>
        <v>6.4178880241117948</v>
      </c>
      <c r="AS10" s="274">
        <f t="shared" si="20"/>
        <v>6.3907488354889379</v>
      </c>
      <c r="AT10" s="276">
        <f t="shared" si="21"/>
        <v>6.3067044794796976</v>
      </c>
      <c r="AU10" s="272"/>
      <c r="AV10" s="272"/>
      <c r="AW10" s="272"/>
      <c r="AX10" s="272"/>
    </row>
    <row r="11" spans="2:62" x14ac:dyDescent="0.2">
      <c r="B11" s="190">
        <v>1</v>
      </c>
      <c r="C11" s="197" t="s">
        <v>11</v>
      </c>
      <c r="D11" s="191">
        <f>Baseline!AL36</f>
        <v>0.31197165587745512</v>
      </c>
      <c r="E11" s="191">
        <f>Baseline!AM36</f>
        <v>0.78517548422960748</v>
      </c>
      <c r="F11" s="191">
        <f>Baseline!AN36</f>
        <v>1.4879739333593738</v>
      </c>
      <c r="G11" s="191">
        <f>Baseline!AO36</f>
        <v>2.8198364197900889</v>
      </c>
      <c r="H11" s="196">
        <f>Baseline!AP36</f>
        <v>7.0970114901293062</v>
      </c>
      <c r="I11" s="191">
        <f>IF(D11+'Non-travel METs'!D11&gt;2.5, D11+'Non-travel METs'!D11, 0.1)</f>
        <v>23.395304989210754</v>
      </c>
      <c r="J11" s="191">
        <f>IF(E11+'Non-travel METs'!E11&gt;2.5, E11+'Non-travel METs'!E11, 0.1)</f>
        <v>23.868508817562908</v>
      </c>
      <c r="K11" s="191">
        <f>IF(F11+'Non-travel METs'!F11&gt;2.5, F11+'Non-travel METs'!F11, 0.1)</f>
        <v>24.571307266692674</v>
      </c>
      <c r="L11" s="191">
        <f>IF(G11+'Non-travel METs'!G11&gt;2.5, G11+'Non-travel METs'!G11, 0.1)</f>
        <v>25.90316975312339</v>
      </c>
      <c r="M11" s="196">
        <f>IF(H11+'Non-travel METs'!H11&gt;2.5, H11+'Non-travel METs'!H11, 0.1)</f>
        <v>30.180344823462605</v>
      </c>
      <c r="N11" s="241">
        <f>'Phy activity RRs'!$F$6</f>
        <v>0.96065247560449929</v>
      </c>
      <c r="O11" s="234">
        <f t="shared" si="0"/>
        <v>0.82352256076293184</v>
      </c>
      <c r="P11" s="234">
        <f t="shared" si="1"/>
        <v>0.82191513575055009</v>
      </c>
      <c r="Q11" s="234">
        <f t="shared" si="2"/>
        <v>0.81956260240882861</v>
      </c>
      <c r="R11" s="234">
        <f t="shared" si="3"/>
        <v>0.81521271081409308</v>
      </c>
      <c r="S11" s="244">
        <f t="shared" si="4"/>
        <v>0.80209377033217588</v>
      </c>
      <c r="T11" s="248"/>
      <c r="U11" s="248"/>
      <c r="V11" s="248"/>
      <c r="W11" s="248"/>
      <c r="X11" s="249"/>
      <c r="Y11" s="235">
        <f t="shared" si="5"/>
        <v>1</v>
      </c>
      <c r="Z11" s="235">
        <f t="shared" si="6"/>
        <v>0.99804811053276721</v>
      </c>
      <c r="AA11" s="235">
        <f t="shared" si="7"/>
        <v>0.99519143913867447</v>
      </c>
      <c r="AB11" s="235">
        <f t="shared" si="8"/>
        <v>0.98990938397468997</v>
      </c>
      <c r="AC11" s="246">
        <f t="shared" si="9"/>
        <v>0.97397910943580734</v>
      </c>
      <c r="AD11" s="263"/>
      <c r="AE11" s="263"/>
      <c r="AF11" s="187">
        <f>GBDUS!K29/(Y11+Z11+AA11+AB11+AC11)</f>
        <v>2.2190268043108881</v>
      </c>
      <c r="AG11" s="187">
        <f t="shared" si="10"/>
        <v>2.2146955092640463</v>
      </c>
      <c r="AH11" s="187">
        <f>$AF11*AA11</f>
        <v>2.2083564788694465</v>
      </c>
      <c r="AI11" s="187">
        <f t="shared" si="12"/>
        <v>2.1966354568787163</v>
      </c>
      <c r="AJ11" s="265">
        <f t="shared" si="13"/>
        <v>2.1612857506769041</v>
      </c>
      <c r="AK11" s="274">
        <f>GBDUS!L29/(Y11+Z11+AA11+AB11+AC11)</f>
        <v>51.375612960263524</v>
      </c>
      <c r="AL11" s="274">
        <f t="shared" si="14"/>
        <v>51.275333442453757</v>
      </c>
      <c r="AM11" s="274">
        <f t="shared" si="15"/>
        <v>51.12857019855619</v>
      </c>
      <c r="AN11" s="274">
        <f t="shared" si="16"/>
        <v>50.857201376816562</v>
      </c>
      <c r="AO11" s="276">
        <f t="shared" si="17"/>
        <v>50.038773757756189</v>
      </c>
      <c r="AP11" s="274">
        <f>GBDUS!M29/(Y11+Z11+AA11+AB11+AC11)</f>
        <v>2.8977354058211415</v>
      </c>
      <c r="AQ11" s="274">
        <f t="shared" si="18"/>
        <v>2.8920793466036918</v>
      </c>
      <c r="AR11" s="274">
        <f t="shared" si="19"/>
        <v>2.8838014687622326</v>
      </c>
      <c r="AS11" s="274">
        <f t="shared" si="20"/>
        <v>2.8684954704980545</v>
      </c>
      <c r="AT11" s="276">
        <f t="shared" si="21"/>
        <v>2.8223337499422834</v>
      </c>
      <c r="AU11" s="272"/>
      <c r="AV11" s="272"/>
      <c r="AW11" s="272"/>
      <c r="AX11" s="272"/>
    </row>
    <row r="12" spans="2:62" x14ac:dyDescent="0.2">
      <c r="B12" s="190">
        <v>1</v>
      </c>
      <c r="C12" s="197" t="s">
        <v>12</v>
      </c>
      <c r="D12" s="191">
        <f>Baseline!AL37</f>
        <v>0.18042378449691091</v>
      </c>
      <c r="E12" s="191">
        <f>Baseline!AM37</f>
        <v>0.45409360013958189</v>
      </c>
      <c r="F12" s="191">
        <f>Baseline!AN37</f>
        <v>0.86054576828257767</v>
      </c>
      <c r="G12" s="191">
        <f>Baseline!AO37</f>
        <v>1.6308069945963135</v>
      </c>
      <c r="H12" s="196">
        <f>Baseline!AP37</f>
        <v>4.1044423348836867</v>
      </c>
      <c r="I12" s="191">
        <f>IF(D12+'Non-travel METs'!D12&gt;2.5, D12+'Non-travel METs'!D12, 0.1)</f>
        <v>0.1</v>
      </c>
      <c r="J12" s="191">
        <f>IF(E12+'Non-travel METs'!E12&gt;2.5, E12+'Non-travel METs'!E12, 0.1)</f>
        <v>0.1</v>
      </c>
      <c r="K12" s="191">
        <f>IF(F12+'Non-travel METs'!F12&gt;2.5, F12+'Non-travel METs'!F12, 0.1)</f>
        <v>2.7355457682825777</v>
      </c>
      <c r="L12" s="191">
        <f>IF(G12+'Non-travel METs'!G12&gt;2.5, G12+'Non-travel METs'!G12, 0.1)</f>
        <v>3.5058069945963135</v>
      </c>
      <c r="M12" s="196">
        <f>IF(H12+'Non-travel METs'!H12&gt;2.5, H12+'Non-travel METs'!H12, 0.1)</f>
        <v>5.9794423348836867</v>
      </c>
      <c r="N12" s="241">
        <f>'Phy activity RRs'!$F$6</f>
        <v>0.96065247560449929</v>
      </c>
      <c r="O12" s="234">
        <f t="shared" si="0"/>
        <v>0.98738603830564786</v>
      </c>
      <c r="P12" s="234">
        <f t="shared" si="1"/>
        <v>0.98738603830564786</v>
      </c>
      <c r="Q12" s="234">
        <f t="shared" si="2"/>
        <v>0.93576235038700484</v>
      </c>
      <c r="R12" s="234">
        <f t="shared" si="3"/>
        <v>0.9275930797006674</v>
      </c>
      <c r="S12" s="244">
        <f t="shared" si="4"/>
        <v>0.90650366874977761</v>
      </c>
      <c r="T12" s="248"/>
      <c r="U12" s="248"/>
      <c r="V12" s="248"/>
      <c r="W12" s="248"/>
      <c r="X12" s="249"/>
      <c r="Y12" s="235">
        <f t="shared" si="5"/>
        <v>1</v>
      </c>
      <c r="Z12" s="235">
        <f t="shared" si="6"/>
        <v>1</v>
      </c>
      <c r="AA12" s="235">
        <f t="shared" si="7"/>
        <v>0.94771681397558638</v>
      </c>
      <c r="AB12" s="235">
        <f t="shared" si="8"/>
        <v>0.9394431799870443</v>
      </c>
      <c r="AC12" s="246">
        <f t="shared" si="9"/>
        <v>0.91808434956740503</v>
      </c>
      <c r="AD12" s="263"/>
      <c r="AE12" s="263"/>
      <c r="AF12" s="187">
        <f>GBDUS!K30/(Y12+Z12+AA12+AB12+AC12)</f>
        <v>4.370225216179735</v>
      </c>
      <c r="AG12" s="187">
        <f t="shared" si="10"/>
        <v>4.370225216179735</v>
      </c>
      <c r="AH12" s="187">
        <f t="shared" si="11"/>
        <v>4.1417359182336266</v>
      </c>
      <c r="AI12" s="187">
        <f t="shared" si="12"/>
        <v>4.105578274347458</v>
      </c>
      <c r="AJ12" s="265">
        <f t="shared" si="13"/>
        <v>4.0122353750594444</v>
      </c>
      <c r="AK12" s="274">
        <f>GBDUS!L30/(Y12+Z12+AA12+AB12+AC12)</f>
        <v>64.570863768446372</v>
      </c>
      <c r="AL12" s="274">
        <f t="shared" si="14"/>
        <v>64.570863768446372</v>
      </c>
      <c r="AM12" s="274">
        <f t="shared" si="15"/>
        <v>61.194893286283623</v>
      </c>
      <c r="AN12" s="274">
        <f t="shared" si="16"/>
        <v>60.660657593139483</v>
      </c>
      <c r="AO12" s="276">
        <f t="shared" si="17"/>
        <v>59.28149946385961</v>
      </c>
      <c r="AP12" s="274">
        <f>GBDUS!M30/(Y12+Z12+AA12+AB12+AC12)</f>
        <v>4.9241905931679897</v>
      </c>
      <c r="AQ12" s="274">
        <f t="shared" si="18"/>
        <v>4.9241905931679897</v>
      </c>
      <c r="AR12" s="274">
        <f t="shared" si="19"/>
        <v>4.6667382203657199</v>
      </c>
      <c r="AS12" s="274">
        <f t="shared" si="20"/>
        <v>4.6259972697080265</v>
      </c>
      <c r="AT12" s="276">
        <f t="shared" si="21"/>
        <v>4.5208223178745683</v>
      </c>
      <c r="AU12" s="272"/>
      <c r="AV12" s="272"/>
      <c r="AW12" s="272"/>
      <c r="AX12" s="272"/>
    </row>
    <row r="13" spans="2:62" x14ac:dyDescent="0.2">
      <c r="B13" s="199">
        <v>1</v>
      </c>
      <c r="C13" s="200" t="s">
        <v>13</v>
      </c>
      <c r="D13" s="201">
        <f>Baseline!AL38</f>
        <v>0.16596673213865387</v>
      </c>
      <c r="E13" s="201">
        <f>Baseline!AM38</f>
        <v>0.41770784883150103</v>
      </c>
      <c r="F13" s="201">
        <f>Baseline!AN38</f>
        <v>0.79159169294584864</v>
      </c>
      <c r="G13" s="201">
        <f>Baseline!AO38</f>
        <v>1.5001331914010683</v>
      </c>
      <c r="H13" s="202">
        <f>Baseline!AP38</f>
        <v>3.7755603202295913</v>
      </c>
      <c r="I13" s="203">
        <f>IF(D13+'Non-travel METs'!D13&gt;2.5, D13+'Non-travel METs'!D13, 0.1)</f>
        <v>0.1</v>
      </c>
      <c r="J13" s="201">
        <f>IF(E13+'Non-travel METs'!E13&gt;2.5, E13+'Non-travel METs'!E13, 0.1)</f>
        <v>0.1</v>
      </c>
      <c r="K13" s="201">
        <f>IF(F13+'Non-travel METs'!F13&gt;2.5, F13+'Non-travel METs'!F13, 0.1)</f>
        <v>0.1</v>
      </c>
      <c r="L13" s="201">
        <f>IF(G13+'Non-travel METs'!G13&gt;2.5, G13+'Non-travel METs'!G13, 0.1)</f>
        <v>0.1</v>
      </c>
      <c r="M13" s="202">
        <f>IF(H13+'Non-travel METs'!H13&gt;2.5, H13+'Non-travel METs'!H13, 0.1)</f>
        <v>4.1088936535629239</v>
      </c>
      <c r="N13" s="241">
        <f>'Phy activity RRs'!$F$6</f>
        <v>0.96065247560449929</v>
      </c>
      <c r="O13" s="238">
        <f t="shared" si="0"/>
        <v>0.98738603830564786</v>
      </c>
      <c r="P13" s="238">
        <f t="shared" si="1"/>
        <v>0.98738603830564786</v>
      </c>
      <c r="Q13" s="238">
        <f t="shared" si="2"/>
        <v>0.98738603830564786</v>
      </c>
      <c r="R13" s="238">
        <f t="shared" si="3"/>
        <v>0.98738603830564786</v>
      </c>
      <c r="S13" s="245">
        <f t="shared" si="4"/>
        <v>0.92185198408468227</v>
      </c>
      <c r="T13" s="248"/>
      <c r="U13" s="248"/>
      <c r="V13" s="248"/>
      <c r="W13" s="248"/>
      <c r="X13" s="249"/>
      <c r="Y13" s="260">
        <f t="shared" si="5"/>
        <v>1</v>
      </c>
      <c r="Z13" s="237">
        <f t="shared" si="6"/>
        <v>1</v>
      </c>
      <c r="AA13" s="237">
        <f t="shared" si="7"/>
        <v>1</v>
      </c>
      <c r="AB13" s="237">
        <f t="shared" si="8"/>
        <v>1</v>
      </c>
      <c r="AC13" s="247">
        <f t="shared" si="9"/>
        <v>0.93362874126372919</v>
      </c>
      <c r="AD13" s="263"/>
      <c r="AE13" s="263"/>
      <c r="AF13" s="187">
        <f>GBDUS!K31/(Y13+Z13+AA13+AB13+AC13)</f>
        <v>3.2430490495119146</v>
      </c>
      <c r="AG13" s="267">
        <f t="shared" si="10"/>
        <v>3.2430490495119146</v>
      </c>
      <c r="AH13" s="267">
        <f t="shared" si="11"/>
        <v>3.2430490495119146</v>
      </c>
      <c r="AI13" s="267">
        <f t="shared" si="12"/>
        <v>3.2430490495119146</v>
      </c>
      <c r="AJ13" s="268">
        <f t="shared" si="13"/>
        <v>3.0278038019523423</v>
      </c>
      <c r="AK13" s="274">
        <f>GBDUS!L31/(Y13+Z13+AA13+AB13+AC13)</f>
        <v>20.642566480845197</v>
      </c>
      <c r="AL13" s="278">
        <f t="shared" si="14"/>
        <v>20.642566480845197</v>
      </c>
      <c r="AM13" s="278">
        <f t="shared" si="15"/>
        <v>20.642566480845197</v>
      </c>
      <c r="AN13" s="278">
        <f t="shared" si="16"/>
        <v>20.642566480845197</v>
      </c>
      <c r="AO13" s="279">
        <f t="shared" si="17"/>
        <v>19.272493359964351</v>
      </c>
      <c r="AP13" s="274">
        <f>GBDUS!M31/(Y13+Z13+AA13+AB13+AC13)</f>
        <v>2.6839015136819708</v>
      </c>
      <c r="AQ13" s="278">
        <f t="shared" si="18"/>
        <v>2.6839015136819708</v>
      </c>
      <c r="AR13" s="278">
        <f t="shared" si="19"/>
        <v>2.6839015136819708</v>
      </c>
      <c r="AS13" s="278">
        <f t="shared" si="20"/>
        <v>2.6839015136819708</v>
      </c>
      <c r="AT13" s="279">
        <f t="shared" si="21"/>
        <v>2.505767591894716</v>
      </c>
      <c r="AU13" s="272"/>
      <c r="AV13" s="272"/>
      <c r="AW13" s="272"/>
      <c r="AX13" s="272"/>
    </row>
    <row r="14" spans="2:62" x14ac:dyDescent="0.2">
      <c r="B14" s="190">
        <v>2</v>
      </c>
      <c r="C14" s="197" t="s">
        <v>6</v>
      </c>
      <c r="D14" s="191">
        <f>Baseline!AL39</f>
        <v>0.58571636315218234</v>
      </c>
      <c r="E14" s="191">
        <f>Baseline!AM39</f>
        <v>1.4741407445036221</v>
      </c>
      <c r="F14" s="191">
        <f>Baseline!AN39</f>
        <v>2.7936213572390822</v>
      </c>
      <c r="G14" s="191">
        <f>Baseline!AO39</f>
        <v>5.2941486874445172</v>
      </c>
      <c r="H14" s="196">
        <f>Baseline!AP39</f>
        <v>13.324402011959144</v>
      </c>
      <c r="I14" s="191">
        <f>IF(D14+'Non-travel METs'!D14&gt;2.5, D14+'Non-travel METs'!D14, 0.1)</f>
        <v>0.1</v>
      </c>
      <c r="J14" s="191">
        <f>IF(E14+'Non-travel METs'!E14&gt;2.5, E14+'Non-travel METs'!E14, 0.1)</f>
        <v>0.1</v>
      </c>
      <c r="K14" s="191">
        <f>IF(F14+'Non-travel METs'!F14&gt;2.5, F14+'Non-travel METs'!F14, 0.1)</f>
        <v>2.7936213572390822</v>
      </c>
      <c r="L14" s="191">
        <f>IF(G14+'Non-travel METs'!G14&gt;2.5, G14+'Non-travel METs'!G14, 0.1)</f>
        <v>5.2941486874445172</v>
      </c>
      <c r="M14" s="196">
        <f>IF(H14+'Non-travel METs'!H14&gt;2.5, H14+'Non-travel METs'!H14, 0.1)</f>
        <v>13.324402011959144</v>
      </c>
      <c r="N14" s="336">
        <f>'Phy activity RRs'!$F$7</f>
        <v>0.97288384048792509</v>
      </c>
      <c r="O14" s="235">
        <f>$N14^(I14^0.5)</f>
        <v>0.99134439051762713</v>
      </c>
      <c r="P14" s="235">
        <f t="shared" si="1"/>
        <v>0.99134439051762713</v>
      </c>
      <c r="Q14" s="235">
        <f t="shared" si="2"/>
        <v>0.95509150759542605</v>
      </c>
      <c r="R14" s="235">
        <f t="shared" si="3"/>
        <v>0.93870582134453129</v>
      </c>
      <c r="S14" s="246">
        <f t="shared" si="4"/>
        <v>0.9045227665735025</v>
      </c>
      <c r="T14" s="248"/>
      <c r="U14" s="248"/>
      <c r="V14" s="248"/>
      <c r="W14" s="248"/>
      <c r="X14" s="249"/>
      <c r="Y14" s="235">
        <f t="shared" si="5"/>
        <v>1</v>
      </c>
      <c r="Z14" s="235">
        <f t="shared" si="6"/>
        <v>1</v>
      </c>
      <c r="AA14" s="235">
        <f t="shared" si="7"/>
        <v>0.96343058651567925</v>
      </c>
      <c r="AB14" s="235">
        <f t="shared" si="8"/>
        <v>0.94690183383636151</v>
      </c>
      <c r="AC14" s="246">
        <f t="shared" si="9"/>
        <v>0.91242032055198197</v>
      </c>
      <c r="AD14" s="263"/>
      <c r="AE14" s="263"/>
      <c r="AF14" s="384">
        <f>GBDUS!K32/(Y14+Z14+AA14+AB14+AC14)</f>
        <v>0</v>
      </c>
      <c r="AG14" s="187">
        <f t="shared" si="10"/>
        <v>0</v>
      </c>
      <c r="AH14" s="187">
        <f t="shared" si="11"/>
        <v>0</v>
      </c>
      <c r="AI14" s="187">
        <f t="shared" si="12"/>
        <v>0</v>
      </c>
      <c r="AJ14" s="265">
        <f t="shared" si="13"/>
        <v>0</v>
      </c>
      <c r="AK14" s="382">
        <f>GBDUS!L32/(Y14+Z14+AA14+AB14+AC14)</f>
        <v>0</v>
      </c>
      <c r="AL14" s="274">
        <f t="shared" si="14"/>
        <v>0</v>
      </c>
      <c r="AM14" s="274">
        <f t="shared" si="15"/>
        <v>0</v>
      </c>
      <c r="AN14" s="274">
        <f t="shared" si="16"/>
        <v>0</v>
      </c>
      <c r="AO14" s="276">
        <f t="shared" si="17"/>
        <v>0</v>
      </c>
      <c r="AP14" s="382">
        <f>GBDUS!M32/(Y14+Z14+AA14+AB14+AC14)</f>
        <v>0</v>
      </c>
      <c r="AQ14" s="274">
        <f t="shared" si="18"/>
        <v>0</v>
      </c>
      <c r="AR14" s="274">
        <f t="shared" si="19"/>
        <v>0</v>
      </c>
      <c r="AS14" s="274">
        <f t="shared" si="20"/>
        <v>0</v>
      </c>
      <c r="AT14" s="276">
        <f t="shared" si="21"/>
        <v>0</v>
      </c>
      <c r="AU14" s="272"/>
      <c r="AV14" s="272"/>
      <c r="AW14" s="272"/>
      <c r="AX14" s="272"/>
    </row>
    <row r="15" spans="2:62" x14ac:dyDescent="0.2">
      <c r="B15" s="190">
        <v>2</v>
      </c>
      <c r="C15" s="197" t="s">
        <v>7</v>
      </c>
      <c r="D15" s="191">
        <f>Baseline!AL40</f>
        <v>0.43674060992104319</v>
      </c>
      <c r="E15" s="191">
        <f>Baseline!AM40</f>
        <v>1.099196075723591</v>
      </c>
      <c r="F15" s="191">
        <f>Baseline!AN40</f>
        <v>2.0830695063440512</v>
      </c>
      <c r="G15" s="191">
        <f>Baseline!AO40</f>
        <v>3.9475928490774548</v>
      </c>
      <c r="H15" s="196">
        <f>Baseline!AP40</f>
        <v>9.9353677438993167</v>
      </c>
      <c r="I15" s="191">
        <f>IF(D15+'Non-travel METs'!D15&gt;2.5, D15+'Non-travel METs'!D15, 0.1)</f>
        <v>0.1</v>
      </c>
      <c r="J15" s="191">
        <f>IF(E15+'Non-travel METs'!E15&gt;2.5, E15+'Non-travel METs'!E15, 0.1)</f>
        <v>0.1</v>
      </c>
      <c r="K15" s="191">
        <f>IF(F15+'Non-travel METs'!F15&gt;2.5, F15+'Non-travel METs'!F15, 0.1)</f>
        <v>0.1</v>
      </c>
      <c r="L15" s="191">
        <f>IF(G15+'Non-travel METs'!G15&gt;2.5, G15+'Non-travel METs'!G15, 0.1)</f>
        <v>3.9475928490774548</v>
      </c>
      <c r="M15" s="196">
        <f>IF(H15+'Non-travel METs'!H15&gt;2.5, H15+'Non-travel METs'!H15, 0.1)</f>
        <v>9.9353677438993167</v>
      </c>
      <c r="N15" s="241">
        <f>'Phy activity RRs'!$F$7</f>
        <v>0.97288384048792509</v>
      </c>
      <c r="O15" s="235">
        <f t="shared" ref="O15:O21" si="22">$N15^(I15^0.5)</f>
        <v>0.99134439051762713</v>
      </c>
      <c r="P15" s="235">
        <f t="shared" ref="P15:P21" si="23">$N15^(J15^0.5)</f>
        <v>0.99134439051762713</v>
      </c>
      <c r="Q15" s="235">
        <f t="shared" ref="Q15:Q21" si="24">$N15^(K15^0.5)</f>
        <v>0.99134439051762713</v>
      </c>
      <c r="R15" s="235">
        <f t="shared" ref="R15:R21" si="25">$N15^(L15^0.5)</f>
        <v>0.94684506038266092</v>
      </c>
      <c r="S15" s="246">
        <f t="shared" ref="S15:S21" si="26">$N15^(M15^0.5)</f>
        <v>0.91699663194750414</v>
      </c>
      <c r="T15" s="248"/>
      <c r="U15" s="248"/>
      <c r="V15" s="248"/>
      <c r="W15" s="248"/>
      <c r="X15" s="249"/>
      <c r="Y15" s="235">
        <f t="shared" si="5"/>
        <v>1</v>
      </c>
      <c r="Z15" s="235">
        <f t="shared" si="6"/>
        <v>1</v>
      </c>
      <c r="AA15" s="235">
        <f t="shared" si="7"/>
        <v>1</v>
      </c>
      <c r="AB15" s="235">
        <f t="shared" si="8"/>
        <v>0.95511213806159634</v>
      </c>
      <c r="AC15" s="246">
        <f t="shared" si="9"/>
        <v>0.92500309752970655</v>
      </c>
      <c r="AD15" s="263"/>
      <c r="AE15" s="263"/>
      <c r="AF15" s="187">
        <f>GBDUS!K33/(Y15+Z15+AA15+AB15+AC15)</f>
        <v>0</v>
      </c>
      <c r="AG15" s="187">
        <f t="shared" si="10"/>
        <v>0</v>
      </c>
      <c r="AH15" s="187">
        <f t="shared" si="11"/>
        <v>0</v>
      </c>
      <c r="AI15" s="187">
        <f t="shared" si="12"/>
        <v>0</v>
      </c>
      <c r="AJ15" s="265">
        <f t="shared" si="13"/>
        <v>0</v>
      </c>
      <c r="AK15" s="274">
        <f>GBDUS!L33/(Y15+Z15+AA15+AB15+AC15)</f>
        <v>0</v>
      </c>
      <c r="AL15" s="274">
        <f t="shared" si="14"/>
        <v>0</v>
      </c>
      <c r="AM15" s="274">
        <f t="shared" si="15"/>
        <v>0</v>
      </c>
      <c r="AN15" s="274">
        <f t="shared" si="16"/>
        <v>0</v>
      </c>
      <c r="AO15" s="276">
        <f t="shared" si="17"/>
        <v>0</v>
      </c>
      <c r="AP15" s="274">
        <f>GBDUS!M33/(Y15+Z15+AA15+AB15+AC15)</f>
        <v>0</v>
      </c>
      <c r="AQ15" s="274">
        <f t="shared" si="18"/>
        <v>0</v>
      </c>
      <c r="AR15" s="274">
        <f t="shared" si="19"/>
        <v>0</v>
      </c>
      <c r="AS15" s="274">
        <f t="shared" si="20"/>
        <v>0</v>
      </c>
      <c r="AT15" s="276">
        <f t="shared" si="21"/>
        <v>0</v>
      </c>
      <c r="AU15" s="272"/>
      <c r="AV15" s="272"/>
      <c r="AW15" s="272"/>
      <c r="AX15" s="272"/>
    </row>
    <row r="16" spans="2:62" x14ac:dyDescent="0.2">
      <c r="B16" s="190">
        <v>2</v>
      </c>
      <c r="C16" s="197" t="s">
        <v>8</v>
      </c>
      <c r="D16" s="191">
        <f>Baseline!AL41</f>
        <v>0.42061144034593556</v>
      </c>
      <c r="E16" s="191">
        <f>Baseline!AM41</f>
        <v>1.0586019118219474</v>
      </c>
      <c r="F16" s="191">
        <f>Baseline!AN41</f>
        <v>2.0061401332989548</v>
      </c>
      <c r="G16" s="191">
        <f>Baseline!AO41</f>
        <v>3.8018051823712069</v>
      </c>
      <c r="H16" s="196">
        <f>Baseline!AP41</f>
        <v>9.568446904636458</v>
      </c>
      <c r="I16" s="191">
        <f>IF(D16+'Non-travel METs'!D16&gt;2.5, D16+'Non-travel METs'!D16, 0.1)</f>
        <v>37.920611440345937</v>
      </c>
      <c r="J16" s="191">
        <f>IF(E16+'Non-travel METs'!E16&gt;2.5, E16+'Non-travel METs'!E16, 0.1)</f>
        <v>38.558601911821945</v>
      </c>
      <c r="K16" s="191">
        <f>IF(F16+'Non-travel METs'!F16&gt;2.5, F16+'Non-travel METs'!F16, 0.1)</f>
        <v>39.506140133298956</v>
      </c>
      <c r="L16" s="191">
        <f>IF(G16+'Non-travel METs'!G16&gt;2.5, G16+'Non-travel METs'!G16, 0.1)</f>
        <v>41.301805182371204</v>
      </c>
      <c r="M16" s="196">
        <f>IF(H16+'Non-travel METs'!H16&gt;2.5, H16+'Non-travel METs'!H16, 0.1)</f>
        <v>47.06844690463646</v>
      </c>
      <c r="N16" s="241">
        <f>'Phy activity RRs'!$F$7</f>
        <v>0.97288384048792509</v>
      </c>
      <c r="O16" s="235">
        <f t="shared" si="22"/>
        <v>0.84426720035653635</v>
      </c>
      <c r="P16" s="235">
        <f t="shared" si="23"/>
        <v>0.84307077037545886</v>
      </c>
      <c r="Q16" s="235">
        <f t="shared" si="24"/>
        <v>0.84131504047815808</v>
      </c>
      <c r="R16" s="235">
        <f t="shared" si="25"/>
        <v>0.83805434822316949</v>
      </c>
      <c r="S16" s="246">
        <f t="shared" si="26"/>
        <v>0.82811507825844721</v>
      </c>
      <c r="T16" s="248"/>
      <c r="U16" s="248"/>
      <c r="V16" s="248"/>
      <c r="W16" s="248"/>
      <c r="X16" s="249"/>
      <c r="Y16" s="235">
        <f t="shared" si="5"/>
        <v>1</v>
      </c>
      <c r="Z16" s="235">
        <f t="shared" si="6"/>
        <v>0.99858287757646835</v>
      </c>
      <c r="AA16" s="235">
        <f t="shared" si="7"/>
        <v>0.99650328725653259</v>
      </c>
      <c r="AB16" s="235">
        <f t="shared" si="8"/>
        <v>0.99264113052035763</v>
      </c>
      <c r="AC16" s="246">
        <f t="shared" si="9"/>
        <v>0.98086847139001954</v>
      </c>
      <c r="AD16" s="263"/>
      <c r="AE16" s="263"/>
      <c r="AF16" s="187">
        <f>GBDUS!K34/(Y16+Z16+AA16+AB16+AC16)</f>
        <v>0</v>
      </c>
      <c r="AG16" s="187">
        <f t="shared" si="10"/>
        <v>0</v>
      </c>
      <c r="AH16" s="187">
        <f t="shared" si="11"/>
        <v>0</v>
      </c>
      <c r="AI16" s="187">
        <f t="shared" si="12"/>
        <v>0</v>
      </c>
      <c r="AJ16" s="265">
        <f t="shared" si="13"/>
        <v>0</v>
      </c>
      <c r="AK16" s="274">
        <f>GBDUS!L34/(Y16+Z16+AA16+AB16+AC16)</f>
        <v>2.9483693259346926</v>
      </c>
      <c r="AL16" s="274">
        <f t="shared" si="14"/>
        <v>2.9441911256500575</v>
      </c>
      <c r="AM16" s="274">
        <f t="shared" si="15"/>
        <v>2.9380597253402483</v>
      </c>
      <c r="AN16" s="274">
        <f t="shared" si="16"/>
        <v>2.9266726608873581</v>
      </c>
      <c r="AO16" s="276">
        <f t="shared" si="17"/>
        <v>2.8919625138227842</v>
      </c>
      <c r="AP16" s="274">
        <f>GBDUS!M34/(Y16+Z16+AA16+AB16+AC16)</f>
        <v>8.3024322372016846E-2</v>
      </c>
      <c r="AQ16" s="274">
        <f t="shared" si="18"/>
        <v>8.2906666743084945E-2</v>
      </c>
      <c r="AR16" s="274">
        <f t="shared" si="19"/>
        <v>8.2734010165960867E-2</v>
      </c>
      <c r="AS16" s="274">
        <f t="shared" si="20"/>
        <v>8.2413357220045419E-2</v>
      </c>
      <c r="AT16" s="276">
        <f t="shared" si="21"/>
        <v>8.1435940173232357E-2</v>
      </c>
      <c r="AU16" s="272"/>
      <c r="AV16" s="272"/>
      <c r="AW16" s="272"/>
      <c r="AX16" s="272"/>
    </row>
    <row r="17" spans="2:50" x14ac:dyDescent="0.2">
      <c r="B17" s="190">
        <v>2</v>
      </c>
      <c r="C17" s="197" t="s">
        <v>9</v>
      </c>
      <c r="D17" s="191">
        <f>Baseline!AL42</f>
        <v>0.35430197088303461</v>
      </c>
      <c r="E17" s="191">
        <f>Baseline!AM42</f>
        <v>0.89171312941604497</v>
      </c>
      <c r="F17" s="191">
        <f>Baseline!AN42</f>
        <v>1.6898717793096323</v>
      </c>
      <c r="G17" s="191">
        <f>Baseline!AO42</f>
        <v>3.2024499093976431</v>
      </c>
      <c r="H17" s="196">
        <f>Baseline!AP42</f>
        <v>8.0599795236528315</v>
      </c>
      <c r="I17" s="191">
        <f>IF(D17+'Non-travel METs'!D17&gt;2.5, D17+'Non-travel METs'!D17, 0.1)</f>
        <v>37.917635304216333</v>
      </c>
      <c r="J17" s="191">
        <f>IF(E17+'Non-travel METs'!E17&gt;2.5, E17+'Non-travel METs'!E17, 0.1)</f>
        <v>38.455046462749344</v>
      </c>
      <c r="K17" s="191">
        <f>IF(F17+'Non-travel METs'!F17&gt;2.5, F17+'Non-travel METs'!F17, 0.1)</f>
        <v>39.253205112642931</v>
      </c>
      <c r="L17" s="191">
        <f>IF(G17+'Non-travel METs'!G17&gt;2.5, G17+'Non-travel METs'!G17, 0.1)</f>
        <v>40.76578324273094</v>
      </c>
      <c r="M17" s="196">
        <f>IF(H17+'Non-travel METs'!H17&gt;2.5, H17+'Non-travel METs'!H17, 0.1)</f>
        <v>45.623312856986132</v>
      </c>
      <c r="N17" s="241">
        <f>'Phy activity RRs'!$F$7</f>
        <v>0.97288384048792509</v>
      </c>
      <c r="O17" s="235">
        <f t="shared" si="22"/>
        <v>0.84427280901535096</v>
      </c>
      <c r="P17" s="235">
        <f t="shared" si="23"/>
        <v>0.84326417731840952</v>
      </c>
      <c r="Q17" s="235">
        <f t="shared" si="24"/>
        <v>0.84178127717258855</v>
      </c>
      <c r="R17" s="235">
        <f t="shared" si="25"/>
        <v>0.83901882111433967</v>
      </c>
      <c r="S17" s="246">
        <f t="shared" si="26"/>
        <v>0.83053496052867248</v>
      </c>
      <c r="T17" s="248"/>
      <c r="U17" s="248"/>
      <c r="V17" s="248"/>
      <c r="W17" s="248"/>
      <c r="X17" s="249"/>
      <c r="Y17" s="235">
        <f t="shared" si="5"/>
        <v>1</v>
      </c>
      <c r="Z17" s="235">
        <f t="shared" si="6"/>
        <v>0.99880532490662854</v>
      </c>
      <c r="AA17" s="235">
        <f t="shared" si="7"/>
        <v>0.99704890194714646</v>
      </c>
      <c r="AB17" s="235">
        <f t="shared" si="8"/>
        <v>0.99377690736346369</v>
      </c>
      <c r="AC17" s="246">
        <f t="shared" si="9"/>
        <v>0.98372818792695638</v>
      </c>
      <c r="AD17" s="263"/>
      <c r="AE17" s="263"/>
      <c r="AF17" s="187">
        <f>GBDUS!K35/(Y17+Z17+AA17+AB17+AC17)</f>
        <v>0.4021426706682692</v>
      </c>
      <c r="AG17" s="187">
        <f t="shared" si="10"/>
        <v>0.40166224083563995</v>
      </c>
      <c r="AH17" s="187">
        <f t="shared" si="11"/>
        <v>0.40095590821589072</v>
      </c>
      <c r="AI17" s="187">
        <f t="shared" si="12"/>
        <v>0.39964009957559643</v>
      </c>
      <c r="AJ17" s="265">
        <f t="shared" si="13"/>
        <v>0.39559908070460326</v>
      </c>
      <c r="AK17" s="274">
        <f>GBDUS!L35/(Y17+Z17+AA17+AB17+AC17)</f>
        <v>18.811639402063843</v>
      </c>
      <c r="AL17" s="274">
        <f t="shared" si="14"/>
        <v>18.789165605004712</v>
      </c>
      <c r="AM17" s="274">
        <f t="shared" si="15"/>
        <v>18.756124409653431</v>
      </c>
      <c r="AN17" s="274">
        <f t="shared" si="16"/>
        <v>18.694572827419684</v>
      </c>
      <c r="AO17" s="276">
        <f t="shared" si="17"/>
        <v>18.505539940927598</v>
      </c>
      <c r="AP17" s="274">
        <f>GBDUS!M35/(Y17+Z17+AA17+AB17+AC17)</f>
        <v>0.71143824246174814</v>
      </c>
      <c r="AQ17" s="274">
        <f t="shared" si="18"/>
        <v>0.71058830491300717</v>
      </c>
      <c r="AR17" s="274">
        <f t="shared" si="19"/>
        <v>0.70933871844969376</v>
      </c>
      <c r="AS17" s="274">
        <f t="shared" si="20"/>
        <v>0.70701089637373415</v>
      </c>
      <c r="AT17" s="276">
        <f t="shared" si="21"/>
        <v>0.69986185307883408</v>
      </c>
      <c r="AU17" s="272"/>
      <c r="AV17" s="272"/>
      <c r="AW17" s="272"/>
      <c r="AX17" s="272"/>
    </row>
    <row r="18" spans="2:50" x14ac:dyDescent="0.2">
      <c r="B18" s="190">
        <v>2</v>
      </c>
      <c r="C18" s="197" t="s">
        <v>10</v>
      </c>
      <c r="D18" s="191">
        <f>Baseline!AL43</f>
        <v>0.26733773499708668</v>
      </c>
      <c r="E18" s="191">
        <f>Baseline!AM43</f>
        <v>0.67284008522760486</v>
      </c>
      <c r="F18" s="191">
        <f>Baseline!AN43</f>
        <v>1.2750888536978389</v>
      </c>
      <c r="G18" s="191">
        <f>Baseline!AO43</f>
        <v>2.4164011932708851</v>
      </c>
      <c r="H18" s="196">
        <f>Baseline!AP43</f>
        <v>6.0816389607033488</v>
      </c>
      <c r="I18" s="191">
        <f>IF(D18+'Non-travel METs'!D18&gt;2.5, D18+'Non-travel METs'!D18, 0.1)</f>
        <v>38.020671068330387</v>
      </c>
      <c r="J18" s="191">
        <f>IF(E18+'Non-travel METs'!E18&gt;2.5, E18+'Non-travel METs'!E18, 0.1)</f>
        <v>38.426173418560907</v>
      </c>
      <c r="K18" s="191">
        <f>IF(F18+'Non-travel METs'!F18&gt;2.5, F18+'Non-travel METs'!F18, 0.1)</f>
        <v>39.02842218703114</v>
      </c>
      <c r="L18" s="191">
        <f>IF(G18+'Non-travel METs'!G18&gt;2.5, G18+'Non-travel METs'!G18, 0.1)</f>
        <v>40.169734526604188</v>
      </c>
      <c r="M18" s="196">
        <f>IF(H18+'Non-travel METs'!H18&gt;2.5, H18+'Non-travel METs'!H18, 0.1)</f>
        <v>43.834972294036653</v>
      </c>
      <c r="N18" s="241">
        <f>'Phy activity RRs'!$F$7</f>
        <v>0.97288384048792509</v>
      </c>
      <c r="O18" s="235">
        <f t="shared" si="22"/>
        <v>0.84407878318591245</v>
      </c>
      <c r="P18" s="235">
        <f t="shared" si="23"/>
        <v>0.84331815683779909</v>
      </c>
      <c r="Q18" s="235">
        <f t="shared" si="24"/>
        <v>0.84219710099167244</v>
      </c>
      <c r="R18" s="235">
        <f t="shared" si="25"/>
        <v>0.8401000945581234</v>
      </c>
      <c r="S18" s="246">
        <f t="shared" si="26"/>
        <v>0.833593308989662</v>
      </c>
      <c r="T18" s="248"/>
      <c r="U18" s="248"/>
      <c r="V18" s="248"/>
      <c r="W18" s="248"/>
      <c r="X18" s="249"/>
      <c r="Y18" s="235">
        <f t="shared" si="5"/>
        <v>1</v>
      </c>
      <c r="Z18" s="235">
        <f t="shared" si="6"/>
        <v>0.99909886806389991</v>
      </c>
      <c r="AA18" s="235">
        <f t="shared" si="7"/>
        <v>0.99777072681872447</v>
      </c>
      <c r="AB18" s="235">
        <f t="shared" si="8"/>
        <v>0.99528635394344145</v>
      </c>
      <c r="AC18" s="246">
        <f t="shared" si="9"/>
        <v>0.9875776119420111</v>
      </c>
      <c r="AD18" s="263"/>
      <c r="AE18" s="263"/>
      <c r="AF18" s="187">
        <f>GBDUS!K36/(Y18+Z18+AA18+AB18+AC18)</f>
        <v>1.8073256109332554</v>
      </c>
      <c r="AG18" s="187">
        <f t="shared" si="10"/>
        <v>1.8056969721063119</v>
      </c>
      <c r="AH18" s="187">
        <f t="shared" si="11"/>
        <v>1.8032965884189696</v>
      </c>
      <c r="AI18" s="187">
        <f t="shared" si="12"/>
        <v>1.7988065176943626</v>
      </c>
      <c r="AJ18" s="265">
        <f t="shared" si="13"/>
        <v>1.7848743108471006</v>
      </c>
      <c r="AK18" s="274">
        <f>GBDUS!L36/(Y18+Z18+AA18+AB18+AC18)</f>
        <v>60.34304257558744</v>
      </c>
      <c r="AL18" s="274">
        <f t="shared" si="14"/>
        <v>60.288665532801133</v>
      </c>
      <c r="AM18" s="274">
        <f t="shared" si="15"/>
        <v>60.208521449097113</v>
      </c>
      <c r="AN18" s="274">
        <f t="shared" si="16"/>
        <v>60.058606830910279</v>
      </c>
      <c r="AO18" s="276">
        <f t="shared" si="17"/>
        <v>59.593437884113747</v>
      </c>
      <c r="AP18" s="274">
        <f>GBDUS!M36/(Y18+Z18+AA18+AB18+AC18)</f>
        <v>2.9303726637179732</v>
      </c>
      <c r="AQ18" s="274">
        <f t="shared" si="18"/>
        <v>2.9277320113260221</v>
      </c>
      <c r="AR18" s="274">
        <f t="shared" si="19"/>
        <v>2.9238400625276038</v>
      </c>
      <c r="AS18" s="274">
        <f t="shared" si="20"/>
        <v>2.9165599241673918</v>
      </c>
      <c r="AT18" s="276">
        <f t="shared" si="21"/>
        <v>2.8939704373347461</v>
      </c>
      <c r="AU18" s="272"/>
      <c r="AV18" s="272"/>
      <c r="AW18" s="272"/>
      <c r="AX18" s="272"/>
    </row>
    <row r="19" spans="2:50" x14ac:dyDescent="0.2">
      <c r="B19" s="190">
        <v>2</v>
      </c>
      <c r="C19" s="197" t="s">
        <v>11</v>
      </c>
      <c r="D19" s="191">
        <f>Baseline!AL44</f>
        <v>0.17691769036532026</v>
      </c>
      <c r="E19" s="191">
        <f>Baseline!AM44</f>
        <v>0.44526940375615254</v>
      </c>
      <c r="F19" s="191">
        <f>Baseline!AN44</f>
        <v>0.84382317000345575</v>
      </c>
      <c r="G19" s="191">
        <f>Baseline!AO44</f>
        <v>1.5991162568731561</v>
      </c>
      <c r="H19" s="196">
        <f>Baseline!AP44</f>
        <v>4.0246825558505925</v>
      </c>
      <c r="I19" s="191">
        <f>IF(D19+'Non-travel METs'!D19&gt;2.5, D19+'Non-travel METs'!D19, 0.1)</f>
        <v>9.17691769036532</v>
      </c>
      <c r="J19" s="191">
        <f>IF(E19+'Non-travel METs'!E19&gt;2.5, E19+'Non-travel METs'!E19, 0.1)</f>
        <v>9.4452694037561518</v>
      </c>
      <c r="K19" s="191">
        <f>IF(F19+'Non-travel METs'!F19&gt;2.5, F19+'Non-travel METs'!F19, 0.1)</f>
        <v>9.8438231700034553</v>
      </c>
      <c r="L19" s="191">
        <f>IF(G19+'Non-travel METs'!G19&gt;2.5, G19+'Non-travel METs'!G19, 0.1)</f>
        <v>10.599116256873156</v>
      </c>
      <c r="M19" s="196">
        <f>IF(H19+'Non-travel METs'!H19&gt;2.5, H19+'Non-travel METs'!H19, 0.1)</f>
        <v>13.024682555850593</v>
      </c>
      <c r="N19" s="241">
        <f>'Phy activity RRs'!$F$7</f>
        <v>0.97288384048792509</v>
      </c>
      <c r="O19" s="235">
        <f t="shared" si="22"/>
        <v>0.92009494736372255</v>
      </c>
      <c r="P19" s="235">
        <f t="shared" si="23"/>
        <v>0.91898337051939594</v>
      </c>
      <c r="Q19" s="235">
        <f t="shared" si="24"/>
        <v>0.91736362103550373</v>
      </c>
      <c r="R19" s="235">
        <f t="shared" si="25"/>
        <v>0.91438905613076227</v>
      </c>
      <c r="S19" s="246">
        <f t="shared" si="26"/>
        <v>0.90555001196449314</v>
      </c>
      <c r="T19" s="248"/>
      <c r="U19" s="248"/>
      <c r="V19" s="248"/>
      <c r="W19" s="248"/>
      <c r="X19" s="249"/>
      <c r="Y19" s="235">
        <f t="shared" si="5"/>
        <v>1</v>
      </c>
      <c r="Z19" s="235">
        <f t="shared" si="6"/>
        <v>0.99879188898111926</v>
      </c>
      <c r="AA19" s="235">
        <f t="shared" si="7"/>
        <v>0.99703147339734377</v>
      </c>
      <c r="AB19" s="235">
        <f t="shared" si="8"/>
        <v>0.99379858432077151</v>
      </c>
      <c r="AC19" s="246">
        <f t="shared" si="9"/>
        <v>0.984191919061284</v>
      </c>
      <c r="AD19" s="263"/>
      <c r="AE19" s="263"/>
      <c r="AF19" s="187">
        <f>GBDUS!K37/(Y19+Z19+AA19+AB19+AC19)</f>
        <v>1.2063177597585013</v>
      </c>
      <c r="AG19" s="187">
        <f t="shared" si="10"/>
        <v>1.2048603939806655</v>
      </c>
      <c r="AH19" s="187">
        <f t="shared" si="11"/>
        <v>1.2027367733974015</v>
      </c>
      <c r="AI19" s="187">
        <f t="shared" si="12"/>
        <v>1.1988368818890032</v>
      </c>
      <c r="AJ19" s="265">
        <f t="shared" si="13"/>
        <v>1.1872481909744284</v>
      </c>
      <c r="AK19" s="274">
        <f>GBDUS!L37/(Y19+Z19+AA19+AB19+AC19)</f>
        <v>27.858471322521773</v>
      </c>
      <c r="AL19" s="274">
        <f t="shared" si="14"/>
        <v>27.82481519634786</v>
      </c>
      <c r="AM19" s="274">
        <f t="shared" si="15"/>
        <v>27.77577270929153</v>
      </c>
      <c r="AN19" s="274">
        <f t="shared" si="16"/>
        <v>27.685709361662948</v>
      </c>
      <c r="AO19" s="276">
        <f t="shared" si="17"/>
        <v>27.418082353026449</v>
      </c>
      <c r="AP19" s="274">
        <f>GBDUS!M37/(Y19+Z19+AA19+AB19+AC19)</f>
        <v>1.6902785713177104</v>
      </c>
      <c r="AQ19" s="274">
        <f t="shared" si="18"/>
        <v>1.6882365271507236</v>
      </c>
      <c r="AR19" s="274">
        <f t="shared" si="19"/>
        <v>1.685260934412854</v>
      </c>
      <c r="AS19" s="274">
        <f t="shared" si="20"/>
        <v>1.6797964512832768</v>
      </c>
      <c r="AT19" s="276">
        <f t="shared" si="21"/>
        <v>1.6635585108533428</v>
      </c>
      <c r="AU19" s="272"/>
      <c r="AV19" s="272"/>
      <c r="AW19" s="272"/>
      <c r="AX19" s="272"/>
    </row>
    <row r="20" spans="2:50" x14ac:dyDescent="0.2">
      <c r="B20" s="190">
        <v>2</v>
      </c>
      <c r="C20" s="197" t="s">
        <v>12</v>
      </c>
      <c r="D20" s="191">
        <f>Baseline!AL45</f>
        <v>0.11157070141951282</v>
      </c>
      <c r="E20" s="191">
        <f>Baseline!AM45</f>
        <v>0.28080300842238665</v>
      </c>
      <c r="F20" s="191">
        <f>Baseline!AN45</f>
        <v>0.5321454443414837</v>
      </c>
      <c r="G20" s="191">
        <f>Baseline!AO45</f>
        <v>1.0084606127418505</v>
      </c>
      <c r="H20" s="196">
        <f>Baseline!AP45</f>
        <v>2.5381105463218789</v>
      </c>
      <c r="I20" s="191">
        <f>IF(D20+'Non-travel METs'!D20&gt;2.5, D20+'Non-travel METs'!D20, 0.1)</f>
        <v>0.1</v>
      </c>
      <c r="J20" s="191">
        <f>IF(E20+'Non-travel METs'!E20&gt;2.5, E20+'Non-travel METs'!E20, 0.1)</f>
        <v>0.1</v>
      </c>
      <c r="K20" s="191">
        <f>IF(F20+'Non-travel METs'!F20&gt;2.5, F20+'Non-travel METs'!F20, 0.1)</f>
        <v>0.1</v>
      </c>
      <c r="L20" s="191">
        <f>IF(G20+'Non-travel METs'!G20&gt;2.5, G20+'Non-travel METs'!G20, 0.1)</f>
        <v>0.1</v>
      </c>
      <c r="M20" s="196">
        <f>IF(H20+'Non-travel METs'!H20&gt;2.5, H20+'Non-travel METs'!H20, 0.1)</f>
        <v>3.0381105463218789</v>
      </c>
      <c r="N20" s="241">
        <f>'Phy activity RRs'!$F$7</f>
        <v>0.97288384048792509</v>
      </c>
      <c r="O20" s="235">
        <f t="shared" si="22"/>
        <v>0.99134439051762713</v>
      </c>
      <c r="P20" s="235">
        <f t="shared" si="23"/>
        <v>0.99134439051762713</v>
      </c>
      <c r="Q20" s="235">
        <f t="shared" si="24"/>
        <v>0.99134439051762713</v>
      </c>
      <c r="R20" s="235">
        <f t="shared" si="25"/>
        <v>0.99134439051762713</v>
      </c>
      <c r="S20" s="246">
        <f t="shared" si="26"/>
        <v>0.95321330263039272</v>
      </c>
      <c r="T20" s="248"/>
      <c r="U20" s="248"/>
      <c r="V20" s="248"/>
      <c r="W20" s="248"/>
      <c r="X20" s="249"/>
      <c r="Y20" s="235">
        <f t="shared" si="5"/>
        <v>1</v>
      </c>
      <c r="Z20" s="235">
        <f t="shared" si="6"/>
        <v>1</v>
      </c>
      <c r="AA20" s="235">
        <f t="shared" si="7"/>
        <v>1</v>
      </c>
      <c r="AB20" s="235">
        <f t="shared" si="8"/>
        <v>1</v>
      </c>
      <c r="AC20" s="246">
        <f t="shared" si="9"/>
        <v>0.96153598259901951</v>
      </c>
      <c r="AD20" s="263"/>
      <c r="AE20" s="263"/>
      <c r="AF20" s="187">
        <f>GBDUS!K38/(Y20+Z20+AA20+AB20+AC20)</f>
        <v>1.8139543946803138</v>
      </c>
      <c r="AG20" s="187">
        <f t="shared" si="10"/>
        <v>1.8139543946803138</v>
      </c>
      <c r="AH20" s="187">
        <f t="shared" si="11"/>
        <v>1.8139543946803138</v>
      </c>
      <c r="AI20" s="187">
        <f t="shared" si="12"/>
        <v>1.8139543946803138</v>
      </c>
      <c r="AJ20" s="265">
        <f t="shared" si="13"/>
        <v>1.7441824212787451</v>
      </c>
      <c r="AK20" s="274">
        <f>GBDUS!L38/(Y20+Z20+AA20+AB20+AC20)</f>
        <v>26.485508872109126</v>
      </c>
      <c r="AL20" s="274">
        <f t="shared" si="14"/>
        <v>26.485508872109126</v>
      </c>
      <c r="AM20" s="274">
        <f t="shared" si="15"/>
        <v>26.485508872109126</v>
      </c>
      <c r="AN20" s="274">
        <f t="shared" si="16"/>
        <v>26.485508872109126</v>
      </c>
      <c r="AO20" s="276">
        <f t="shared" si="17"/>
        <v>25.466769797978497</v>
      </c>
      <c r="AP20" s="274">
        <f>GBDUS!M38/(Y20+Z20+AA20+AB20+AC20)</f>
        <v>2.1561130468356242</v>
      </c>
      <c r="AQ20" s="274">
        <f t="shared" si="18"/>
        <v>2.1561130468356242</v>
      </c>
      <c r="AR20" s="274">
        <f t="shared" si="19"/>
        <v>2.1561130468356242</v>
      </c>
      <c r="AS20" s="274">
        <f t="shared" si="20"/>
        <v>2.1561130468356242</v>
      </c>
      <c r="AT20" s="276">
        <f t="shared" si="21"/>
        <v>2.0731802770836576</v>
      </c>
      <c r="AU20" s="272"/>
      <c r="AV20" s="272"/>
      <c r="AW20" s="272"/>
      <c r="AX20" s="272"/>
    </row>
    <row r="21" spans="2:50" x14ac:dyDescent="0.2">
      <c r="B21" s="199">
        <v>2</v>
      </c>
      <c r="C21" s="200" t="s">
        <v>13</v>
      </c>
      <c r="D21" s="201">
        <f>Baseline!AL46</f>
        <v>0.1379075408816644</v>
      </c>
      <c r="E21" s="201">
        <f>Baseline!AM46</f>
        <v>0.3470880067168956</v>
      </c>
      <c r="F21" s="201">
        <f>Baseline!AN46</f>
        <v>0.65776112085712712</v>
      </c>
      <c r="G21" s="201">
        <f>Baseline!AO46</f>
        <v>1.2465129412095104</v>
      </c>
      <c r="H21" s="202">
        <f>Baseline!AP46</f>
        <v>3.1372446303170025</v>
      </c>
      <c r="I21" s="203">
        <f>IF(D21+'Non-travel METs'!D21&gt;2.5, D21+'Non-travel METs'!D21, 0.1)</f>
        <v>0.1</v>
      </c>
      <c r="J21" s="201">
        <f>IF(E21+'Non-travel METs'!E21&gt;2.5, E21+'Non-travel METs'!E21, 0.1)</f>
        <v>0.1</v>
      </c>
      <c r="K21" s="201">
        <f>IF(F21+'Non-travel METs'!F21&gt;2.5, F21+'Non-travel METs'!F21, 0.1)</f>
        <v>0.1</v>
      </c>
      <c r="L21" s="201">
        <f>IF(G21+'Non-travel METs'!G21&gt;2.5, G21+'Non-travel METs'!G21, 0.1)</f>
        <v>0.1</v>
      </c>
      <c r="M21" s="202">
        <f>IF(H21+'Non-travel METs'!H21&gt;2.5, H21+'Non-travel METs'!H21, 0.1)</f>
        <v>3.220577963650336</v>
      </c>
      <c r="N21" s="337">
        <f>'Phy activity RRs'!$F$7</f>
        <v>0.97288384048792509</v>
      </c>
      <c r="O21" s="237">
        <f t="shared" si="22"/>
        <v>0.99134439051762713</v>
      </c>
      <c r="P21" s="237">
        <f t="shared" si="23"/>
        <v>0.99134439051762713</v>
      </c>
      <c r="Q21" s="237">
        <f t="shared" si="24"/>
        <v>0.99134439051762713</v>
      </c>
      <c r="R21" s="237">
        <f t="shared" si="25"/>
        <v>0.99134439051762713</v>
      </c>
      <c r="S21" s="247">
        <f t="shared" si="26"/>
        <v>0.95186265813322524</v>
      </c>
      <c r="T21" s="250"/>
      <c r="U21" s="251"/>
      <c r="V21" s="251"/>
      <c r="W21" s="251"/>
      <c r="X21" s="252"/>
      <c r="Y21" s="260">
        <f t="shared" si="5"/>
        <v>1</v>
      </c>
      <c r="Z21" s="237">
        <f t="shared" si="6"/>
        <v>1</v>
      </c>
      <c r="AA21" s="237">
        <f t="shared" si="7"/>
        <v>1</v>
      </c>
      <c r="AB21" s="237">
        <f t="shared" si="8"/>
        <v>1</v>
      </c>
      <c r="AC21" s="247">
        <f t="shared" si="9"/>
        <v>0.9601735453773167</v>
      </c>
      <c r="AD21" s="263"/>
      <c r="AE21" s="264"/>
      <c r="AF21" s="266">
        <f>GBDUS!K39/(Y21+Z21+AA21+AB21+AC21)</f>
        <v>3.024087738619428</v>
      </c>
      <c r="AG21" s="267">
        <f t="shared" si="10"/>
        <v>3.024087738619428</v>
      </c>
      <c r="AH21" s="267">
        <f t="shared" si="11"/>
        <v>3.024087738619428</v>
      </c>
      <c r="AI21" s="267">
        <f t="shared" si="12"/>
        <v>3.024087738619428</v>
      </c>
      <c r="AJ21" s="268">
        <f t="shared" si="13"/>
        <v>2.9036490455222883</v>
      </c>
      <c r="AK21" s="274">
        <f>GBDUS!L39/(Y21+Z21+AA21+AB21+AC21)</f>
        <v>16.558714932249377</v>
      </c>
      <c r="AL21" s="278">
        <f t="shared" si="14"/>
        <v>16.558714932249377</v>
      </c>
      <c r="AM21" s="278">
        <f t="shared" si="15"/>
        <v>16.558714932249377</v>
      </c>
      <c r="AN21" s="278">
        <f t="shared" si="16"/>
        <v>16.558714932249377</v>
      </c>
      <c r="AO21" s="279">
        <f t="shared" si="17"/>
        <v>15.899240023390199</v>
      </c>
      <c r="AP21" s="274">
        <f>GBDUS!M39/(Y21+Z21+AA21+AB21+AC21)</f>
        <v>2.4804365640452626</v>
      </c>
      <c r="AQ21" s="278">
        <f t="shared" si="18"/>
        <v>2.4804365640452626</v>
      </c>
      <c r="AR21" s="278">
        <f t="shared" si="19"/>
        <v>2.4804365640452626</v>
      </c>
      <c r="AS21" s="278">
        <f t="shared" si="20"/>
        <v>2.4804365640452626</v>
      </c>
      <c r="AT21" s="279">
        <f t="shared" si="21"/>
        <v>2.3816495697828692</v>
      </c>
      <c r="AU21" s="273"/>
      <c r="AV21" s="273"/>
      <c r="AW21" s="273"/>
      <c r="AX21" s="273"/>
    </row>
    <row r="22" spans="2:50" x14ac:dyDescent="0.2">
      <c r="B22" s="185"/>
      <c r="C22" s="185"/>
      <c r="AD22" s="261"/>
      <c r="AK22" s="383"/>
      <c r="AL22" s="188"/>
      <c r="AM22" s="188"/>
      <c r="AN22" s="188"/>
      <c r="AO22" s="188"/>
      <c r="AP22" s="261"/>
    </row>
    <row r="23" spans="2:50" x14ac:dyDescent="0.2">
      <c r="B23" s="310" t="s">
        <v>37</v>
      </c>
      <c r="C23" s="292"/>
      <c r="D23" s="253"/>
      <c r="E23" s="253"/>
      <c r="F23" s="253"/>
      <c r="G23" s="253"/>
      <c r="H23" s="253"/>
      <c r="I23" s="253"/>
      <c r="J23" s="253"/>
      <c r="K23" s="253"/>
      <c r="L23" s="253"/>
      <c r="M23" s="253"/>
      <c r="N23" s="253"/>
      <c r="O23" s="253"/>
      <c r="P23" s="253"/>
      <c r="Q23" s="253"/>
      <c r="R23" s="253"/>
      <c r="S23" s="253"/>
      <c r="T23" s="253"/>
      <c r="U23" s="253"/>
      <c r="V23" s="253"/>
      <c r="W23" s="253"/>
      <c r="X23" s="253"/>
      <c r="Y23" s="253"/>
      <c r="Z23" s="253"/>
      <c r="AA23" s="253"/>
      <c r="AB23" s="253"/>
      <c r="AC23" s="253"/>
      <c r="AD23" s="253"/>
      <c r="AE23" s="253"/>
      <c r="AF23" s="253"/>
      <c r="AG23" s="253"/>
      <c r="AH23" s="253"/>
      <c r="AI23" s="253"/>
      <c r="AJ23" s="253"/>
      <c r="AK23" s="293"/>
      <c r="AL23" s="293"/>
      <c r="AM23" s="293"/>
      <c r="AN23" s="293"/>
      <c r="AO23" s="293"/>
      <c r="AP23" s="253"/>
      <c r="AQ23" s="253"/>
      <c r="AR23" s="253"/>
      <c r="AS23" s="253"/>
      <c r="AT23" s="253"/>
      <c r="AU23" s="253"/>
      <c r="AV23" s="253"/>
      <c r="AW23" s="253"/>
      <c r="AX23" s="253"/>
    </row>
    <row r="24" spans="2:50" x14ac:dyDescent="0.2">
      <c r="B24" s="185">
        <v>1</v>
      </c>
      <c r="C24" s="297" t="s">
        <v>6</v>
      </c>
      <c r="D24" s="188">
        <f>Scenario!AL31</f>
        <v>0.35885603949224421</v>
      </c>
      <c r="E24" s="188">
        <f>Scenario!AM31</f>
        <v>0.9013033450837723</v>
      </c>
      <c r="F24" s="188">
        <f>Scenario!AN31</f>
        <v>1.7055939051037041</v>
      </c>
      <c r="G24" s="188">
        <f>Scenario!AO31</f>
        <v>3.2276043187840591</v>
      </c>
      <c r="H24" s="294">
        <f>Scenario!AP31</f>
        <v>8.1064556506921353</v>
      </c>
      <c r="I24" s="191">
        <f>IF(D24+'Non-travel METs'!D25&gt;2.5, D24+'Non-travel METs'!D25, 0.1)</f>
        <v>0.1</v>
      </c>
      <c r="J24" s="191">
        <f>IF(E24+'Non-travel METs'!E25&gt;2.5, E24+'Non-travel METs'!E25, 0.1)</f>
        <v>0.1</v>
      </c>
      <c r="K24" s="191">
        <f>IF(F24+'Non-travel METs'!F25&gt;2.5, F24+'Non-travel METs'!F25, 0.1)</f>
        <v>0.1</v>
      </c>
      <c r="L24" s="191">
        <f>IF(G24+'Non-travel METs'!G25&gt;2.5, G24+'Non-travel METs'!G25, 0.1)</f>
        <v>3.2276043187840591</v>
      </c>
      <c r="M24" s="196">
        <f>IF(H24+'Non-travel METs'!H25&gt;2.5, H24+'Non-travel METs'!H25, 0.1)</f>
        <v>8.1064556506921353</v>
      </c>
      <c r="N24" s="241">
        <f>'Phy activity RRs'!$F$6</f>
        <v>0.96065247560449929</v>
      </c>
      <c r="O24" s="188">
        <f>$N24^(I24^0.5)</f>
        <v>0.98738603830564786</v>
      </c>
      <c r="P24" s="188">
        <f>$N24^(J24^0.5)</f>
        <v>0.98738603830564786</v>
      </c>
      <c r="Q24" s="188">
        <f>$N24^(K24^0.5)</f>
        <v>0.98738603830564786</v>
      </c>
      <c r="R24" s="188">
        <f>$N24^(L24^0.5)</f>
        <v>0.93042085698142785</v>
      </c>
      <c r="S24" s="294">
        <f>$N24^(M24^0.5)</f>
        <v>0.89199633394900735</v>
      </c>
      <c r="T24" s="269">
        <f>O24/O6</f>
        <v>1</v>
      </c>
      <c r="U24" s="269">
        <f>P24/P6</f>
        <v>1</v>
      </c>
      <c r="V24" s="269">
        <f>Q24/Q6</f>
        <v>1</v>
      </c>
      <c r="W24" s="269">
        <f>R24/R6</f>
        <v>0.99677808602828455</v>
      </c>
      <c r="X24" s="300">
        <f>S24/S6</f>
        <v>0.99501143642444911</v>
      </c>
      <c r="Y24" s="269">
        <f>O24/$O24</f>
        <v>1</v>
      </c>
      <c r="Z24" s="269">
        <f>P24/$O24</f>
        <v>1</v>
      </c>
      <c r="AA24" s="269">
        <f>Q24/$O24</f>
        <v>1</v>
      </c>
      <c r="AB24" s="269">
        <f>R24/$O24</f>
        <v>0.94230708242343375</v>
      </c>
      <c r="AC24" s="300">
        <f>S24/$O24</f>
        <v>0.90339168202101683</v>
      </c>
      <c r="AD24" s="305">
        <f>(5-SUM(T24:X24))/5</f>
        <v>1.642095509453334E-3</v>
      </c>
      <c r="AE24" s="306">
        <f>1-AD24</f>
        <v>0.99835790449054662</v>
      </c>
      <c r="AF24" s="187">
        <f>AE24*GBDUS!K24/(Y24+Z24+AA24+AB24+AC24)</f>
        <v>0</v>
      </c>
      <c r="AG24" s="187">
        <f>$AF24*Z24</f>
        <v>0</v>
      </c>
      <c r="AH24" s="187">
        <f>$AF24*AA24</f>
        <v>0</v>
      </c>
      <c r="AI24" s="187">
        <f>$AF24*AB24</f>
        <v>0</v>
      </c>
      <c r="AJ24" s="265">
        <f>$AF24*AC24</f>
        <v>0</v>
      </c>
      <c r="AK24" s="274">
        <f>AE24*GBDUS!L24/(Y24+Z24+AA24+AB24+AC24)</f>
        <v>0</v>
      </c>
      <c r="AL24" s="274">
        <f>$AK24*Z24</f>
        <v>0</v>
      </c>
      <c r="AM24" s="274">
        <f>$AK24*AA24</f>
        <v>0</v>
      </c>
      <c r="AN24" s="274">
        <f>$AK24*AB24</f>
        <v>0</v>
      </c>
      <c r="AO24" s="276">
        <f>$AK24*AC24</f>
        <v>0</v>
      </c>
      <c r="AP24" s="274">
        <f>AE24*GBDUS!M24/(Y24+Z24+AA24+AB24+AC24)</f>
        <v>0</v>
      </c>
      <c r="AQ24" s="274">
        <f>$AP24*Z24</f>
        <v>0</v>
      </c>
      <c r="AR24" s="274">
        <f>$AP24*AA24</f>
        <v>0</v>
      </c>
      <c r="AS24" s="274">
        <f>$AP24*AB24</f>
        <v>0</v>
      </c>
      <c r="AT24" s="276">
        <f>$AP24*AC24</f>
        <v>0</v>
      </c>
      <c r="AU24" s="235">
        <f>SUM(AF24:AJ24)-SUM(AF6:AJ6)</f>
        <v>0</v>
      </c>
      <c r="AV24" s="234">
        <f>SUM(AK24:AO24)-SUM(AK6:AO6)</f>
        <v>0</v>
      </c>
      <c r="AW24" s="235">
        <f>SUM(AP24:AT24)-SUM(AP6:AT6)</f>
        <v>0</v>
      </c>
      <c r="AX24" s="235">
        <f>AV24+AW24</f>
        <v>0</v>
      </c>
    </row>
    <row r="25" spans="2:50" x14ac:dyDescent="0.2">
      <c r="B25" s="185">
        <v>1</v>
      </c>
      <c r="C25" s="297" t="s">
        <v>7</v>
      </c>
      <c r="D25" s="188">
        <f>Scenario!AL32</f>
        <v>0.72455011766948996</v>
      </c>
      <c r="E25" s="188">
        <f>Scenario!AM32</f>
        <v>1.8197811179668499</v>
      </c>
      <c r="F25" s="188">
        <f>Scenario!AN32</f>
        <v>3.4436880772239649</v>
      </c>
      <c r="G25" s="331">
        <f>Scenario!AO32</f>
        <v>6.5167109693191785</v>
      </c>
      <c r="H25" s="294">
        <f>Scenario!AP32</f>
        <v>16.36738064629516</v>
      </c>
      <c r="I25" s="191">
        <f>IF(D25+'Non-travel METs'!D26&gt;2.5, D25+'Non-travel METs'!D26, 0.1)</f>
        <v>0.1</v>
      </c>
      <c r="J25" s="191">
        <f>IF(E25+'Non-travel METs'!E26&gt;2.5, E25+'Non-travel METs'!E26, 0.1)</f>
        <v>0.1</v>
      </c>
      <c r="K25" s="191">
        <f>IF(F25+'Non-travel METs'!F26&gt;2.5, F25+'Non-travel METs'!F26, 0.1)</f>
        <v>3.4436880772239649</v>
      </c>
      <c r="L25" s="191">
        <f>IF(G25+'Non-travel METs'!G26&gt;2.5, G25+'Non-travel METs'!G26, 0.1)</f>
        <v>6.5167109693191785</v>
      </c>
      <c r="M25" s="196">
        <f>IF(H25+'Non-travel METs'!H26&gt;2.5, H25+'Non-travel METs'!H26, 0.1)</f>
        <v>16.36738064629516</v>
      </c>
      <c r="N25" s="241">
        <f>'Phy activity RRs'!$F$6</f>
        <v>0.96065247560449929</v>
      </c>
      <c r="O25" s="188">
        <f t="shared" ref="O25:O39" si="27">$N25^(I25^0.5)</f>
        <v>0.98738603830564786</v>
      </c>
      <c r="P25" s="188">
        <f t="shared" ref="P25:P39" si="28">$N25^(J25^0.5)</f>
        <v>0.98738603830564786</v>
      </c>
      <c r="Q25" s="188">
        <f t="shared" ref="Q25:Q39" si="29">$N25^(K25^0.5)</f>
        <v>0.92821372639179456</v>
      </c>
      <c r="R25" s="188">
        <f t="shared" ref="R25:R39" si="30">$N25^(L25^0.5)</f>
        <v>0.90260041555404613</v>
      </c>
      <c r="S25" s="294">
        <f t="shared" ref="S25:S39" si="31">$N25^(M25^0.5)</f>
        <v>0.85009834085054981</v>
      </c>
      <c r="T25" s="269">
        <f t="shared" ref="T25:T39" si="32">O25/O7</f>
        <v>1</v>
      </c>
      <c r="U25" s="269">
        <f t="shared" ref="U25:U39" si="33">P25/P7</f>
        <v>1</v>
      </c>
      <c r="V25" s="269">
        <f t="shared" ref="V25:V39" si="34">Q25/Q7</f>
        <v>0.99755671089636222</v>
      </c>
      <c r="W25" s="269">
        <f t="shared" ref="W25:W39" si="35">R25/R7</f>
        <v>0.99671145936670935</v>
      </c>
      <c r="X25" s="300">
        <f t="shared" ref="X25:X39" si="36">S25/S7</f>
        <v>0.99495559689358526</v>
      </c>
      <c r="Y25" s="269">
        <f t="shared" ref="Y25:Y39" si="37">O25/$O25</f>
        <v>1</v>
      </c>
      <c r="Z25" s="269">
        <f t="shared" ref="Z25:Z39" si="38">P25/$O25</f>
        <v>1</v>
      </c>
      <c r="AA25" s="269">
        <f t="shared" ref="AA25:AA39" si="39">Q25/$O25</f>
        <v>0.94007175550568567</v>
      </c>
      <c r="AB25" s="269">
        <f t="shared" ref="AB25:AB39" si="40">R25/$O25</f>
        <v>0.91413123189680334</v>
      </c>
      <c r="AC25" s="300">
        <f t="shared" ref="AC25:AC39" si="41">S25/$O25</f>
        <v>0.86095843760290203</v>
      </c>
      <c r="AD25" s="305">
        <f t="shared" ref="AD25:AD39" si="42">(5-SUM(T25:X25))/5</f>
        <v>2.155246568668545E-3</v>
      </c>
      <c r="AE25" s="306">
        <f t="shared" ref="AE25:AE39" si="43">1-AD25</f>
        <v>0.9978447534313315</v>
      </c>
      <c r="AF25" s="187">
        <f>AE25*GBDUS!K25/(Y25+Z25+AA25+AB25+AC25)</f>
        <v>0</v>
      </c>
      <c r="AG25" s="187">
        <f t="shared" ref="AG25:AG39" si="44">$AF25*Z25</f>
        <v>0</v>
      </c>
      <c r="AH25" s="187">
        <f t="shared" ref="AH25:AH39" si="45">$AF25*AA25</f>
        <v>0</v>
      </c>
      <c r="AI25" s="187">
        <f t="shared" ref="AI25:AI39" si="46">$AF25*AB25</f>
        <v>0</v>
      </c>
      <c r="AJ25" s="265">
        <f t="shared" ref="AJ25:AJ39" si="47">$AF25*AC25</f>
        <v>0</v>
      </c>
      <c r="AK25" s="274">
        <f>AE25*GBDUS!L25/(Y25+Z25+AA25+AB25+AC25)</f>
        <v>0</v>
      </c>
      <c r="AL25" s="274">
        <f t="shared" ref="AL25:AL39" si="48">$AK25*Z25</f>
        <v>0</v>
      </c>
      <c r="AM25" s="274">
        <f t="shared" ref="AM25:AM39" si="49">$AK25*AA25</f>
        <v>0</v>
      </c>
      <c r="AN25" s="274">
        <f t="shared" ref="AN25:AN39" si="50">$AK25*AB25</f>
        <v>0</v>
      </c>
      <c r="AO25" s="276">
        <f t="shared" ref="AO25:AO39" si="51">$AK25*AC25</f>
        <v>0</v>
      </c>
      <c r="AP25" s="274">
        <f>AE25*GBDUS!M25/(Y25+Z25+AA25+AB25+AC25)</f>
        <v>0</v>
      </c>
      <c r="AQ25" s="274">
        <f t="shared" ref="AQ25:AQ39" si="52">$AP25*Z25</f>
        <v>0</v>
      </c>
      <c r="AR25" s="274">
        <f t="shared" ref="AR25:AR39" si="53">$AP25*AA25</f>
        <v>0</v>
      </c>
      <c r="AS25" s="274">
        <f t="shared" ref="AS25:AS39" si="54">$AP25*AB25</f>
        <v>0</v>
      </c>
      <c r="AT25" s="276">
        <f t="shared" ref="AT25:AT39" si="55">$AP25*AC25</f>
        <v>0</v>
      </c>
      <c r="AU25" s="235">
        <f t="shared" ref="AU25:AU39" si="56">SUM(AF25:AJ25)-SUM(AF7:AJ7)</f>
        <v>0</v>
      </c>
      <c r="AV25" s="234">
        <f t="shared" ref="AV25:AV39" si="57">SUM(AK25:AO25)-SUM(AK7:AO7)</f>
        <v>0</v>
      </c>
      <c r="AW25" s="235">
        <f t="shared" ref="AW25:AW39" si="58">SUM(AP25:AT25)-SUM(AP7:AT7)</f>
        <v>0</v>
      </c>
      <c r="AX25" s="235">
        <f t="shared" ref="AX25:AX39" si="59">AV25+AW25</f>
        <v>0</v>
      </c>
    </row>
    <row r="26" spans="2:50" x14ac:dyDescent="0.2">
      <c r="B26" s="185">
        <v>1</v>
      </c>
      <c r="C26" s="297" t="s">
        <v>8</v>
      </c>
      <c r="D26" s="188">
        <f>Scenario!AL33</f>
        <v>0.55835336477175823</v>
      </c>
      <c r="E26" s="188">
        <f>Scenario!AM33</f>
        <v>1.4023611142775319</v>
      </c>
      <c r="F26" s="188">
        <f>Scenario!AN33</f>
        <v>2.6537775348474759</v>
      </c>
      <c r="G26" s="188">
        <f>Scenario!AO33</f>
        <v>5.0219127817796902</v>
      </c>
      <c r="H26" s="294">
        <f>Scenario!AP33</f>
        <v>12.613043367867888</v>
      </c>
      <c r="I26" s="191">
        <f>IF(D26+'Non-travel METs'!D27&gt;2.5, D26+'Non-travel METs'!D27, 0.1)</f>
        <v>65.435853364771759</v>
      </c>
      <c r="J26" s="191">
        <f>IF(E26+'Non-travel METs'!E27&gt;2.5, E26+'Non-travel METs'!E27, 0.1)</f>
        <v>66.279861114277523</v>
      </c>
      <c r="K26" s="191">
        <f>IF(F26+'Non-travel METs'!F27&gt;2.5, F26+'Non-travel METs'!F27, 0.1)</f>
        <v>67.531277534847476</v>
      </c>
      <c r="L26" s="191">
        <f>IF(G26+'Non-travel METs'!G27&gt;2.5, G26+'Non-travel METs'!G27, 0.1)</f>
        <v>69.899412781779688</v>
      </c>
      <c r="M26" s="196">
        <f>IF(H26+'Non-travel METs'!H27&gt;2.5, H26+'Non-travel METs'!H27, 0.1)</f>
        <v>77.490543367867886</v>
      </c>
      <c r="N26" s="241">
        <f>'Phy activity RRs'!$F$6</f>
        <v>0.96065247560449929</v>
      </c>
      <c r="O26" s="188">
        <f t="shared" si="27"/>
        <v>0.72272755629868313</v>
      </c>
      <c r="P26" s="188">
        <f t="shared" si="28"/>
        <v>0.72122045870994722</v>
      </c>
      <c r="Q26" s="188">
        <f t="shared" si="29"/>
        <v>0.7190091368379562</v>
      </c>
      <c r="R26" s="188">
        <f t="shared" si="30"/>
        <v>0.71489801161020439</v>
      </c>
      <c r="S26" s="294">
        <f t="shared" si="31"/>
        <v>0.70231741507762324</v>
      </c>
      <c r="T26" s="269">
        <f t="shared" si="32"/>
        <v>0.99991316584806056</v>
      </c>
      <c r="U26" s="269">
        <f t="shared" si="33"/>
        <v>0.999790003609349</v>
      </c>
      <c r="V26" s="269">
        <f t="shared" si="34"/>
        <v>0.99961499703145917</v>
      </c>
      <c r="W26" s="269">
        <f t="shared" si="35"/>
        <v>0.99929998096440187</v>
      </c>
      <c r="X26" s="300">
        <f t="shared" si="36"/>
        <v>0.998385186902359</v>
      </c>
      <c r="Y26" s="269">
        <f t="shared" si="37"/>
        <v>1</v>
      </c>
      <c r="Z26" s="269">
        <f t="shared" si="38"/>
        <v>0.99791470855704711</v>
      </c>
      <c r="AA26" s="269">
        <f t="shared" si="39"/>
        <v>0.9948550191170652</v>
      </c>
      <c r="AB26" s="269">
        <f t="shared" si="40"/>
        <v>0.98916667197722985</v>
      </c>
      <c r="AC26" s="300">
        <f t="shared" si="41"/>
        <v>0.97175956410796527</v>
      </c>
      <c r="AD26" s="305">
        <f t="shared" si="42"/>
        <v>5.9933312887405776E-4</v>
      </c>
      <c r="AE26" s="306">
        <f t="shared" si="43"/>
        <v>0.99940066687112594</v>
      </c>
      <c r="AF26" s="187">
        <f>AE26*GBDUS!K26/(Y26+Z26+AA26+AB26+AC26)</f>
        <v>0.20174848722703836</v>
      </c>
      <c r="AG26" s="187">
        <f t="shared" si="44"/>
        <v>0.20132778283299513</v>
      </c>
      <c r="AH26" s="187">
        <f t="shared" si="45"/>
        <v>0.20071049511709424</v>
      </c>
      <c r="AI26" s="187">
        <f t="shared" si="46"/>
        <v>0.19956287968681019</v>
      </c>
      <c r="AJ26" s="265">
        <f t="shared" si="47"/>
        <v>0.19605102200718819</v>
      </c>
      <c r="AK26" s="274">
        <f>AE26*GBDUS!L26/(Y26+Z26+AA26+AB26+AC26)</f>
        <v>12.337719254652233</v>
      </c>
      <c r="AL26" s="274">
        <f t="shared" si="48"/>
        <v>12.311991514264951</v>
      </c>
      <c r="AM26" s="274">
        <f t="shared" si="49"/>
        <v>12.274241924948031</v>
      </c>
      <c r="AN26" s="274">
        <f t="shared" si="50"/>
        <v>12.204060694913739</v>
      </c>
      <c r="AO26" s="276">
        <f t="shared" si="51"/>
        <v>11.989296684987304</v>
      </c>
      <c r="AP26" s="274">
        <f>AE26*GBDUS!M26/(Y26+Z26+AA26+AB26+AC26)</f>
        <v>0.28711131460580142</v>
      </c>
      <c r="AQ26" s="274">
        <f t="shared" si="52"/>
        <v>0.28651260383827898</v>
      </c>
      <c r="AR26" s="274">
        <f t="shared" si="53"/>
        <v>0.28563413238088031</v>
      </c>
      <c r="AS26" s="274">
        <f t="shared" si="54"/>
        <v>0.28400094355562799</v>
      </c>
      <c r="AT26" s="276">
        <f t="shared" si="55"/>
        <v>0.27900316593179847</v>
      </c>
      <c r="AU26" s="235">
        <f t="shared" si="56"/>
        <v>-5.9933312887394674E-4</v>
      </c>
      <c r="AV26" s="234">
        <f t="shared" si="57"/>
        <v>-3.665159519010075E-2</v>
      </c>
      <c r="AW26" s="235">
        <f t="shared" si="58"/>
        <v>-8.5292001383940885E-4</v>
      </c>
      <c r="AX26" s="235">
        <f t="shared" si="59"/>
        <v>-3.7504515203940159E-2</v>
      </c>
    </row>
    <row r="27" spans="2:50" x14ac:dyDescent="0.2">
      <c r="B27" s="185">
        <v>1</v>
      </c>
      <c r="C27" s="297" t="s">
        <v>9</v>
      </c>
      <c r="D27" s="188">
        <f>Scenario!AL34</f>
        <v>0.48139446095649707</v>
      </c>
      <c r="E27" s="188">
        <f>Scenario!AM34</f>
        <v>1.2090710207324453</v>
      </c>
      <c r="F27" s="188">
        <f>Scenario!AN34</f>
        <v>2.2880023413283812</v>
      </c>
      <c r="G27" s="188">
        <f>Scenario!AO34</f>
        <v>4.3297330133285801</v>
      </c>
      <c r="H27" s="294">
        <f>Scenario!AP34</f>
        <v>10.874563665569944</v>
      </c>
      <c r="I27" s="191">
        <f>IF(D27+'Non-travel METs'!D28&gt;2.5, D27+'Non-travel METs'!D28, 0.1)</f>
        <v>68.175144460956489</v>
      </c>
      <c r="J27" s="191">
        <f>IF(E27+'Non-travel METs'!E28&gt;2.5, E27+'Non-travel METs'!E28, 0.1)</f>
        <v>68.902821020732446</v>
      </c>
      <c r="K27" s="191">
        <f>IF(F27+'Non-travel METs'!F28&gt;2.5, F27+'Non-travel METs'!F28, 0.1)</f>
        <v>69.981752341328374</v>
      </c>
      <c r="L27" s="191">
        <f>IF(G27+'Non-travel METs'!G28&gt;2.5, G27+'Non-travel METs'!G28, 0.1)</f>
        <v>72.023483013328573</v>
      </c>
      <c r="M27" s="196">
        <f>IF(H27+'Non-travel METs'!H28&gt;2.5, H27+'Non-travel METs'!H28, 0.1)</f>
        <v>78.568313665569946</v>
      </c>
      <c r="N27" s="241">
        <f>'Phy activity RRs'!$F$6</f>
        <v>0.96065247560449929</v>
      </c>
      <c r="O27" s="188">
        <f t="shared" si="27"/>
        <v>0.71788198864329722</v>
      </c>
      <c r="P27" s="188">
        <f t="shared" si="28"/>
        <v>0.71661662247957081</v>
      </c>
      <c r="Q27" s="188">
        <f t="shared" si="29"/>
        <v>0.71475675127931315</v>
      </c>
      <c r="R27" s="188">
        <f t="shared" si="30"/>
        <v>0.7112889819345537</v>
      </c>
      <c r="S27" s="294">
        <f t="shared" si="31"/>
        <v>0.70059959979626851</v>
      </c>
      <c r="T27" s="269">
        <f t="shared" si="32"/>
        <v>0.99992613037348999</v>
      </c>
      <c r="U27" s="269">
        <f t="shared" si="33"/>
        <v>0.99982112044338056</v>
      </c>
      <c r="V27" s="269">
        <f t="shared" si="34"/>
        <v>0.99967147728755212</v>
      </c>
      <c r="W27" s="269">
        <f t="shared" si="35"/>
        <v>0.99940088355231738</v>
      </c>
      <c r="X27" s="300">
        <f t="shared" si="36"/>
        <v>0.99860651134254186</v>
      </c>
      <c r="Y27" s="269">
        <f t="shared" si="37"/>
        <v>1</v>
      </c>
      <c r="Z27" s="269">
        <f t="shared" si="38"/>
        <v>0.998237361873199</v>
      </c>
      <c r="AA27" s="269">
        <f t="shared" si="39"/>
        <v>0.99564658618906099</v>
      </c>
      <c r="AB27" s="269">
        <f t="shared" si="40"/>
        <v>0.99081602991432693</v>
      </c>
      <c r="AC27" s="300">
        <f t="shared" si="41"/>
        <v>0.97592586369287504</v>
      </c>
      <c r="AD27" s="305">
        <f t="shared" si="42"/>
        <v>5.1477540014364107E-4</v>
      </c>
      <c r="AE27" s="306">
        <f t="shared" si="43"/>
        <v>0.99948522459985634</v>
      </c>
      <c r="AF27" s="187">
        <f>AE27*GBDUS!K27/(Y27+Z27+AA27+AB27+AC27)</f>
        <v>0</v>
      </c>
      <c r="AG27" s="187">
        <f t="shared" si="44"/>
        <v>0</v>
      </c>
      <c r="AH27" s="187">
        <f t="shared" si="45"/>
        <v>0</v>
      </c>
      <c r="AI27" s="187">
        <f t="shared" si="46"/>
        <v>0</v>
      </c>
      <c r="AJ27" s="265">
        <f t="shared" si="47"/>
        <v>0</v>
      </c>
      <c r="AK27" s="274">
        <f>AE27*GBDUS!L27/(Y27+Z27+AA27+AB27+AC27)</f>
        <v>21.598287671688468</v>
      </c>
      <c r="AL27" s="274">
        <f t="shared" si="48"/>
        <v>21.560217706364732</v>
      </c>
      <c r="AM27" s="274">
        <f t="shared" si="49"/>
        <v>21.504261387845904</v>
      </c>
      <c r="AN27" s="274">
        <f t="shared" si="50"/>
        <v>21.399929643809919</v>
      </c>
      <c r="AO27" s="276">
        <f t="shared" si="51"/>
        <v>21.078327550279742</v>
      </c>
      <c r="AP27" s="274">
        <f>AE27*GBDUS!M27/(Y27+Z27+AA27+AB27+AC27)</f>
        <v>0.74501054546164547</v>
      </c>
      <c r="AQ27" s="274">
        <f t="shared" si="52"/>
        <v>0.74369736146934595</v>
      </c>
      <c r="AR27" s="274">
        <f t="shared" si="53"/>
        <v>0.74176720626373749</v>
      </c>
      <c r="AS27" s="274">
        <f t="shared" si="54"/>
        <v>0.73816839089861475</v>
      </c>
      <c r="AT27" s="276">
        <f t="shared" si="55"/>
        <v>0.72707506003995626</v>
      </c>
      <c r="AU27" s="235">
        <f t="shared" si="56"/>
        <v>0</v>
      </c>
      <c r="AV27" s="234">
        <f t="shared" si="57"/>
        <v>-5.5181969801409991E-2</v>
      </c>
      <c r="AW27" s="235">
        <f t="shared" si="58"/>
        <v>-1.9034448492534217E-3</v>
      </c>
      <c r="AX27" s="235">
        <f t="shared" si="59"/>
        <v>-5.7085414650663413E-2</v>
      </c>
    </row>
    <row r="28" spans="2:50" x14ac:dyDescent="0.2">
      <c r="B28" s="185">
        <v>1</v>
      </c>
      <c r="C28" s="297" t="s">
        <v>10</v>
      </c>
      <c r="D28" s="188">
        <f>Scenario!AL35</f>
        <v>0.40591226731191066</v>
      </c>
      <c r="E28" s="188">
        <f>Scenario!AM35</f>
        <v>1.0194898345766048</v>
      </c>
      <c r="F28" s="188">
        <f>Scenario!AN35</f>
        <v>1.9292457502278801</v>
      </c>
      <c r="G28" s="188">
        <f>Scenario!AO35</f>
        <v>3.6508349946599323</v>
      </c>
      <c r="H28" s="294">
        <f>Scenario!AP35</f>
        <v>9.1694424251344167</v>
      </c>
      <c r="I28" s="191">
        <f>IF(D28+'Non-travel METs'!D29&gt;2.5, D28+'Non-travel METs'!D29, 0.1)</f>
        <v>58.180912267311911</v>
      </c>
      <c r="J28" s="191">
        <f>IF(E28+'Non-travel METs'!E29&gt;2.5, E28+'Non-travel METs'!E29, 0.1)</f>
        <v>58.794489834576602</v>
      </c>
      <c r="K28" s="191">
        <f>IF(F28+'Non-travel METs'!F29&gt;2.5, F28+'Non-travel METs'!F29, 0.1)</f>
        <v>59.704245750227876</v>
      </c>
      <c r="L28" s="191">
        <f>IF(G28+'Non-travel METs'!G29&gt;2.5, G28+'Non-travel METs'!G29, 0.1)</f>
        <v>61.42583499465993</v>
      </c>
      <c r="M28" s="196">
        <f>IF(H28+'Non-travel METs'!H29&gt;2.5, H28+'Non-travel METs'!H29, 0.1)</f>
        <v>66.944442425134412</v>
      </c>
      <c r="N28" s="241">
        <f>'Phy activity RRs'!$F$6</f>
        <v>0.96065247560449929</v>
      </c>
      <c r="O28" s="188">
        <f t="shared" si="27"/>
        <v>0.73624445538950223</v>
      </c>
      <c r="P28" s="188">
        <f t="shared" si="28"/>
        <v>0.73505981590780223</v>
      </c>
      <c r="Q28" s="188">
        <f t="shared" si="29"/>
        <v>0.73331813340985674</v>
      </c>
      <c r="R28" s="188">
        <f t="shared" si="30"/>
        <v>0.73006925688137692</v>
      </c>
      <c r="S28" s="294">
        <f t="shared" si="31"/>
        <v>0.72004268721815567</v>
      </c>
      <c r="T28" s="269">
        <f t="shared" si="32"/>
        <v>0.99994347122808591</v>
      </c>
      <c r="U28" s="269">
        <f t="shared" si="33"/>
        <v>0.99986400140858367</v>
      </c>
      <c r="V28" s="269">
        <f t="shared" si="34"/>
        <v>0.99975141762888087</v>
      </c>
      <c r="W28" s="269">
        <f t="shared" si="35"/>
        <v>0.99954891248247479</v>
      </c>
      <c r="X28" s="300">
        <f t="shared" si="36"/>
        <v>0.99895862883763353</v>
      </c>
      <c r="Y28" s="269">
        <f t="shared" si="37"/>
        <v>1</v>
      </c>
      <c r="Z28" s="269">
        <f t="shared" si="38"/>
        <v>0.99839096991083853</v>
      </c>
      <c r="AA28" s="269">
        <f t="shared" si="39"/>
        <v>0.99602533919512193</v>
      </c>
      <c r="AB28" s="269">
        <f t="shared" si="40"/>
        <v>0.99161257044053608</v>
      </c>
      <c r="AC28" s="300">
        <f t="shared" si="41"/>
        <v>0.97799403709902955</v>
      </c>
      <c r="AD28" s="305">
        <f t="shared" si="42"/>
        <v>3.867136828681339E-4</v>
      </c>
      <c r="AE28" s="306">
        <f t="shared" si="43"/>
        <v>0.99961328631713187</v>
      </c>
      <c r="AF28" s="187">
        <f>AE28*GBDUS!K28/(Y28+Z28+AA28+AB28+AC28)</f>
        <v>4.2288038079496175</v>
      </c>
      <c r="AG28" s="187">
        <f t="shared" si="44"/>
        <v>4.2219995353814657</v>
      </c>
      <c r="AH28" s="187">
        <f t="shared" si="45"/>
        <v>4.211995747202641</v>
      </c>
      <c r="AI28" s="187">
        <f t="shared" si="46"/>
        <v>4.193335013889647</v>
      </c>
      <c r="AJ28" s="265">
        <f t="shared" si="47"/>
        <v>4.1357449082363953</v>
      </c>
      <c r="AK28" s="274">
        <f>AE28*GBDUS!L28/(Y28+Z28+AA28+AB28+AC28)</f>
        <v>140.76626690826168</v>
      </c>
      <c r="AL28" s="274">
        <f t="shared" si="48"/>
        <v>140.53976974926735</v>
      </c>
      <c r="AM28" s="274">
        <f t="shared" si="49"/>
        <v>140.20676874453241</v>
      </c>
      <c r="AN28" s="274">
        <f t="shared" si="50"/>
        <v>139.58559976021994</v>
      </c>
      <c r="AO28" s="276">
        <f t="shared" si="51"/>
        <v>137.66856966097038</v>
      </c>
      <c r="AP28" s="274">
        <f>AE28*GBDUS!M28/(Y28+Z28+AA28+AB28+AC28)</f>
        <v>6.441879636474324</v>
      </c>
      <c r="AQ28" s="274">
        <f t="shared" si="52"/>
        <v>6.43151445830848</v>
      </c>
      <c r="AR28" s="274">
        <f t="shared" si="53"/>
        <v>6.4162753499734873</v>
      </c>
      <c r="AS28" s="274">
        <f t="shared" si="54"/>
        <v>6.3878488247928509</v>
      </c>
      <c r="AT28" s="276">
        <f t="shared" si="55"/>
        <v>6.3001198721815532</v>
      </c>
      <c r="AU28" s="235">
        <f t="shared" si="56"/>
        <v>-8.1209873402379174E-3</v>
      </c>
      <c r="AV28" s="234">
        <f t="shared" si="57"/>
        <v>-0.27032728956248775</v>
      </c>
      <c r="AW28" s="235">
        <f t="shared" si="58"/>
        <v>-1.2370974240226928E-2</v>
      </c>
      <c r="AX28" s="235">
        <f t="shared" si="59"/>
        <v>-0.28269826380271468</v>
      </c>
    </row>
    <row r="29" spans="2:50" x14ac:dyDescent="0.2">
      <c r="B29" s="185">
        <v>1</v>
      </c>
      <c r="C29" s="297" t="s">
        <v>11</v>
      </c>
      <c r="D29" s="188">
        <f>Scenario!AL36</f>
        <v>0.33207313165469332</v>
      </c>
      <c r="E29" s="188">
        <f>Scenario!AM36</f>
        <v>0.83403535522574834</v>
      </c>
      <c r="F29" s="188">
        <f>Scenario!AN36</f>
        <v>1.5782983900740115</v>
      </c>
      <c r="G29" s="188">
        <f>Scenario!AO36</f>
        <v>2.9867148826514303</v>
      </c>
      <c r="H29" s="294">
        <f>Scenario!AP36</f>
        <v>7.5014373963278462</v>
      </c>
      <c r="I29" s="191">
        <f>IF(D29+'Non-travel METs'!D30&gt;2.5, D29+'Non-travel METs'!D30, 0.1)</f>
        <v>23.415406464987992</v>
      </c>
      <c r="J29" s="191">
        <f>IF(E29+'Non-travel METs'!E30&gt;2.5, E29+'Non-travel METs'!E30, 0.1)</f>
        <v>23.917368688559048</v>
      </c>
      <c r="K29" s="191">
        <f>IF(F29+'Non-travel METs'!F30&gt;2.5, F29+'Non-travel METs'!F30, 0.1)</f>
        <v>24.661631723407311</v>
      </c>
      <c r="L29" s="191">
        <f>IF(G29+'Non-travel METs'!G30&gt;2.5, G29+'Non-travel METs'!G30, 0.1)</f>
        <v>26.07004821598473</v>
      </c>
      <c r="M29" s="196">
        <f>IF(H29+'Non-travel METs'!H30&gt;2.5, H29+'Non-travel METs'!H30, 0.1)</f>
        <v>30.584770729661145</v>
      </c>
      <c r="N29" s="241">
        <f>'Phy activity RRs'!$F$6</f>
        <v>0.96065247560449929</v>
      </c>
      <c r="O29" s="188">
        <f t="shared" si="27"/>
        <v>0.82345388510523354</v>
      </c>
      <c r="P29" s="188">
        <f t="shared" si="28"/>
        <v>0.82175025266503487</v>
      </c>
      <c r="Q29" s="188">
        <f t="shared" si="29"/>
        <v>0.81926318947789734</v>
      </c>
      <c r="R29" s="188">
        <f t="shared" si="30"/>
        <v>0.81467724786858442</v>
      </c>
      <c r="S29" s="294">
        <f t="shared" si="31"/>
        <v>0.80091342331151993</v>
      </c>
      <c r="T29" s="269">
        <f t="shared" si="32"/>
        <v>0.99991660743618893</v>
      </c>
      <c r="U29" s="269">
        <f t="shared" si="33"/>
        <v>0.99979939159367759</v>
      </c>
      <c r="V29" s="269">
        <f t="shared" si="34"/>
        <v>0.99963466740667373</v>
      </c>
      <c r="W29" s="269">
        <f t="shared" si="35"/>
        <v>0.99934316168233694</v>
      </c>
      <c r="X29" s="300">
        <f t="shared" si="36"/>
        <v>0.99852841766846401</v>
      </c>
      <c r="Y29" s="269">
        <f t="shared" si="37"/>
        <v>1</v>
      </c>
      <c r="Z29" s="269">
        <f t="shared" si="38"/>
        <v>0.99793111372596055</v>
      </c>
      <c r="AA29" s="269">
        <f t="shared" si="39"/>
        <v>0.99491083143435455</v>
      </c>
      <c r="AB29" s="269">
        <f t="shared" si="40"/>
        <v>0.98934167729923639</v>
      </c>
      <c r="AC29" s="300">
        <f t="shared" si="41"/>
        <v>0.97262692884030411</v>
      </c>
      <c r="AD29" s="305">
        <f t="shared" si="42"/>
        <v>5.5555084253171576E-4</v>
      </c>
      <c r="AE29" s="306">
        <f t="shared" si="43"/>
        <v>0.99944444915746833</v>
      </c>
      <c r="AF29" s="187">
        <f>AE29*GBDUS!K29/(Y29+Z29+AA29+AB29+AC29)</f>
        <v>2.2188313411595506</v>
      </c>
      <c r="AG29" s="187">
        <f t="shared" si="44"/>
        <v>2.214240831453417</v>
      </c>
      <c r="AH29" s="187">
        <f t="shared" si="45"/>
        <v>2.2075393344456526</v>
      </c>
      <c r="AI29" s="187">
        <f t="shared" si="46"/>
        <v>2.1951823207069041</v>
      </c>
      <c r="AJ29" s="265">
        <f t="shared" si="47"/>
        <v>2.1580951129666266</v>
      </c>
      <c r="AK29" s="274">
        <f>AE29*GBDUS!L29/(Y29+Z29+AA29+AB29+AC29)</f>
        <v>51.371087535337793</v>
      </c>
      <c r="AL29" s="274">
        <f t="shared" si="48"/>
        <v>51.26480659745345</v>
      </c>
      <c r="AM29" s="274">
        <f t="shared" si="49"/>
        <v>51.109651411469933</v>
      </c>
      <c r="AN29" s="274">
        <f t="shared" si="50"/>
        <v>50.823557906896987</v>
      </c>
      <c r="AO29" s="276">
        <f t="shared" si="51"/>
        <v>49.964903100682022</v>
      </c>
      <c r="AP29" s="274">
        <f>AE29*GBDUS!M29/(Y29+Z29+AA29+AB29+AC29)</f>
        <v>2.8974801585690297</v>
      </c>
      <c r="AQ29" s="274">
        <f t="shared" si="52"/>
        <v>2.8914856016396646</v>
      </c>
      <c r="AR29" s="274">
        <f t="shared" si="53"/>
        <v>2.8827343936264587</v>
      </c>
      <c r="AS29" s="274">
        <f t="shared" si="54"/>
        <v>2.8665978800199414</v>
      </c>
      <c r="AT29" s="276">
        <f t="shared" si="55"/>
        <v>2.8181672280047128</v>
      </c>
      <c r="AU29" s="235">
        <f t="shared" si="56"/>
        <v>-6.1110592678481623E-3</v>
      </c>
      <c r="AV29" s="234">
        <f t="shared" si="57"/>
        <v>-0.14148518400605781</v>
      </c>
      <c r="AW29" s="235">
        <f t="shared" si="58"/>
        <v>-7.9801797675944641E-3</v>
      </c>
      <c r="AX29" s="235">
        <f t="shared" si="59"/>
        <v>-0.14946536377365227</v>
      </c>
    </row>
    <row r="30" spans="2:50" x14ac:dyDescent="0.2">
      <c r="B30" s="185">
        <v>1</v>
      </c>
      <c r="C30" s="297" t="s">
        <v>12</v>
      </c>
      <c r="D30" s="188">
        <f>Scenario!AL37</f>
        <v>0.19177331888346999</v>
      </c>
      <c r="E30" s="188">
        <f>Scenario!AM37</f>
        <v>0.48165814361673631</v>
      </c>
      <c r="F30" s="188">
        <f>Scenario!AN37</f>
        <v>0.91147247880225446</v>
      </c>
      <c r="G30" s="188">
        <f>Scenario!AO37</f>
        <v>1.7248376065556441</v>
      </c>
      <c r="H30" s="294">
        <f>Scenario!AP37</f>
        <v>4.3321046141916462</v>
      </c>
      <c r="I30" s="191">
        <f>IF(D30+'Non-travel METs'!D31&gt;2.5, D30+'Non-travel METs'!D31, 0.1)</f>
        <v>0.1</v>
      </c>
      <c r="J30" s="191">
        <f>IF(E30+'Non-travel METs'!E31&gt;2.5, E30+'Non-travel METs'!E31, 0.1)</f>
        <v>0.1</v>
      </c>
      <c r="K30" s="191">
        <f>IF(F30+'Non-travel METs'!F31&gt;2.5, F30+'Non-travel METs'!F31, 0.1)</f>
        <v>2.7864724788022546</v>
      </c>
      <c r="L30" s="191">
        <f>IF(G30+'Non-travel METs'!G31&gt;2.5, G30+'Non-travel METs'!G31, 0.1)</f>
        <v>3.5998376065556439</v>
      </c>
      <c r="M30" s="196">
        <f>IF(H30+'Non-travel METs'!H31&gt;2.5, H30+'Non-travel METs'!H31, 0.1)</f>
        <v>6.2071046141916462</v>
      </c>
      <c r="N30" s="241">
        <f>'Phy activity RRs'!$F$6</f>
        <v>0.96065247560449929</v>
      </c>
      <c r="O30" s="188">
        <f t="shared" si="27"/>
        <v>0.98738603830564786</v>
      </c>
      <c r="P30" s="188">
        <f t="shared" si="28"/>
        <v>0.98738603830564786</v>
      </c>
      <c r="Q30" s="188">
        <f t="shared" si="29"/>
        <v>0.9351868794173599</v>
      </c>
      <c r="R30" s="188">
        <f t="shared" si="30"/>
        <v>0.92666473936855376</v>
      </c>
      <c r="S30" s="294">
        <f t="shared" si="31"/>
        <v>0.90482707656595829</v>
      </c>
      <c r="T30" s="269">
        <f t="shared" si="32"/>
        <v>1</v>
      </c>
      <c r="U30" s="269">
        <f t="shared" si="33"/>
        <v>1</v>
      </c>
      <c r="V30" s="269">
        <f t="shared" si="34"/>
        <v>0.99938502444621014</v>
      </c>
      <c r="W30" s="269">
        <f t="shared" si="35"/>
        <v>0.99899919441786567</v>
      </c>
      <c r="X30" s="300">
        <f t="shared" si="36"/>
        <v>0.9981504849438374</v>
      </c>
      <c r="Y30" s="269">
        <f t="shared" si="37"/>
        <v>1</v>
      </c>
      <c r="Z30" s="269">
        <f t="shared" si="38"/>
        <v>1</v>
      </c>
      <c r="AA30" s="269">
        <f t="shared" si="39"/>
        <v>0.94713399130307574</v>
      </c>
      <c r="AB30" s="269">
        <f t="shared" si="40"/>
        <v>0.93850298000841526</v>
      </c>
      <c r="AC30" s="300">
        <f t="shared" si="41"/>
        <v>0.91638633874005293</v>
      </c>
      <c r="AD30" s="305">
        <f t="shared" si="42"/>
        <v>6.930592384172485E-4</v>
      </c>
      <c r="AE30" s="306">
        <f t="shared" si="43"/>
        <v>0.99930694076158277</v>
      </c>
      <c r="AF30" s="187">
        <f>AE30*GBDUS!K30/(Y30+Z30+AA30+AB30+AC30)</f>
        <v>4.3701257576294417</v>
      </c>
      <c r="AG30" s="187">
        <f t="shared" si="44"/>
        <v>4.3701257576294417</v>
      </c>
      <c r="AH30" s="187">
        <f t="shared" si="45"/>
        <v>4.1390946513199509</v>
      </c>
      <c r="AI30" s="187">
        <f t="shared" si="46"/>
        <v>4.1013760465467648</v>
      </c>
      <c r="AJ30" s="265">
        <f t="shared" si="47"/>
        <v>4.0047235428676435</v>
      </c>
      <c r="AK30" s="274">
        <f>AE30*GBDUS!L30/(Y30+Z30+AA30+AB30+AC30)</f>
        <v>64.56939425047328</v>
      </c>
      <c r="AL30" s="274">
        <f t="shared" si="48"/>
        <v>64.56939425047328</v>
      </c>
      <c r="AM30" s="274">
        <f t="shared" si="49"/>
        <v>61.15586809247263</v>
      </c>
      <c r="AN30" s="274">
        <f t="shared" si="50"/>
        <v>60.598568921407406</v>
      </c>
      <c r="AO30" s="276">
        <f t="shared" si="51"/>
        <v>59.170510791854234</v>
      </c>
      <c r="AP30" s="274">
        <f>AE30*GBDUS!M30/(Y30+Z30+AA30+AB30+AC30)</f>
        <v>4.9240785273513454</v>
      </c>
      <c r="AQ30" s="274">
        <f t="shared" si="52"/>
        <v>4.9240785273513454</v>
      </c>
      <c r="AR30" s="274">
        <f t="shared" si="53"/>
        <v>4.6637621491000516</v>
      </c>
      <c r="AS30" s="274">
        <f t="shared" si="54"/>
        <v>4.6212623717146863</v>
      </c>
      <c r="AT30" s="276">
        <f t="shared" si="55"/>
        <v>4.5123582933480106</v>
      </c>
      <c r="AU30" s="235">
        <f t="shared" si="56"/>
        <v>-1.4554244006752981E-2</v>
      </c>
      <c r="AV30" s="234">
        <f t="shared" si="57"/>
        <v>-0.21504157349465913</v>
      </c>
      <c r="AW30" s="235">
        <f t="shared" si="58"/>
        <v>-1.6399125418853799E-2</v>
      </c>
      <c r="AX30" s="235">
        <f t="shared" si="59"/>
        <v>-0.23144069891351293</v>
      </c>
    </row>
    <row r="31" spans="2:50" x14ac:dyDescent="0.2">
      <c r="B31" s="292">
        <v>1</v>
      </c>
      <c r="C31" s="298" t="s">
        <v>13</v>
      </c>
      <c r="D31" s="293">
        <f>Scenario!AL38</f>
        <v>0.18242608873991903</v>
      </c>
      <c r="E31" s="293">
        <f>Scenario!AM38</f>
        <v>0.45818162694010256</v>
      </c>
      <c r="F31" s="293">
        <f>Scenario!AN38</f>
        <v>0.86704636635616106</v>
      </c>
      <c r="G31" s="293">
        <f>Scenario!AO38</f>
        <v>1.6407672355436893</v>
      </c>
      <c r="H31" s="295">
        <f>Scenario!AP38</f>
        <v>4.1209533494038997</v>
      </c>
      <c r="I31" s="203">
        <f>IF(D31+'Non-travel METs'!D32&gt;2.5, D31+'Non-travel METs'!D32, 0.1)</f>
        <v>0.1</v>
      </c>
      <c r="J31" s="201">
        <f>IF(E31+'Non-travel METs'!E32&gt;2.5, E31+'Non-travel METs'!E32, 0.1)</f>
        <v>0.1</v>
      </c>
      <c r="K31" s="201">
        <f>IF(F31+'Non-travel METs'!F32&gt;2.5, F31+'Non-travel METs'!F32, 0.1)</f>
        <v>0.1</v>
      </c>
      <c r="L31" s="201">
        <f>IF(G31+'Non-travel METs'!G32&gt;2.5, G31+'Non-travel METs'!G32, 0.1)</f>
        <v>0.1</v>
      </c>
      <c r="M31" s="202">
        <f>IF(H31+'Non-travel METs'!H32&gt;2.5, H31+'Non-travel METs'!H32, 0.1)</f>
        <v>4.4542866827372327</v>
      </c>
      <c r="N31" s="241">
        <f>'Phy activity RRs'!$F$6</f>
        <v>0.96065247560449929</v>
      </c>
      <c r="O31" s="299">
        <f t="shared" si="27"/>
        <v>0.98738603830564786</v>
      </c>
      <c r="P31" s="293">
        <f t="shared" si="28"/>
        <v>0.98738603830564786</v>
      </c>
      <c r="Q31" s="293">
        <f t="shared" si="29"/>
        <v>0.98738603830564786</v>
      </c>
      <c r="R31" s="293">
        <f t="shared" si="30"/>
        <v>0.98738603830564786</v>
      </c>
      <c r="S31" s="295">
        <f t="shared" si="31"/>
        <v>0.91876802763871801</v>
      </c>
      <c r="T31" s="301">
        <f t="shared" si="32"/>
        <v>1</v>
      </c>
      <c r="U31" s="302">
        <f t="shared" si="33"/>
        <v>1</v>
      </c>
      <c r="V31" s="302">
        <f t="shared" si="34"/>
        <v>1</v>
      </c>
      <c r="W31" s="302">
        <f t="shared" si="35"/>
        <v>1</v>
      </c>
      <c r="X31" s="303">
        <f t="shared" si="36"/>
        <v>0.99665460779039672</v>
      </c>
      <c r="Y31" s="301">
        <f t="shared" si="37"/>
        <v>1</v>
      </c>
      <c r="Z31" s="302">
        <f t="shared" si="38"/>
        <v>1</v>
      </c>
      <c r="AA31" s="302">
        <f t="shared" si="39"/>
        <v>1</v>
      </c>
      <c r="AB31" s="302">
        <f t="shared" si="40"/>
        <v>1</v>
      </c>
      <c r="AC31" s="303">
        <f t="shared" si="41"/>
        <v>0.93050538694604368</v>
      </c>
      <c r="AD31" s="304">
        <f t="shared" si="42"/>
        <v>6.6907844192058978E-4</v>
      </c>
      <c r="AE31" s="306">
        <f t="shared" si="43"/>
        <v>0.99933092155807945</v>
      </c>
      <c r="AF31" s="266">
        <f>AE31*GBDUS!K31/(Y31+Z31+AA31+AB31+AC31)</f>
        <v>3.2429322128442184</v>
      </c>
      <c r="AG31" s="267">
        <f t="shared" si="44"/>
        <v>3.2429322128442184</v>
      </c>
      <c r="AH31" s="267">
        <f t="shared" si="45"/>
        <v>3.2429322128442184</v>
      </c>
      <c r="AI31" s="267">
        <f t="shared" si="46"/>
        <v>3.2429322128442184</v>
      </c>
      <c r="AJ31" s="268">
        <f t="shared" si="47"/>
        <v>3.017565893552399</v>
      </c>
      <c r="AK31" s="277">
        <f>AE31*GBDUS!L31/(Y31+Z31+AA31+AB31+AC31)</f>
        <v>20.641822795306222</v>
      </c>
      <c r="AL31" s="278">
        <f t="shared" si="48"/>
        <v>20.641822795306222</v>
      </c>
      <c r="AM31" s="278">
        <f t="shared" si="49"/>
        <v>20.641822795306222</v>
      </c>
      <c r="AN31" s="278">
        <f t="shared" si="50"/>
        <v>20.641822795306222</v>
      </c>
      <c r="AO31" s="279">
        <f t="shared" si="51"/>
        <v>19.20732730741808</v>
      </c>
      <c r="AP31" s="277">
        <f>AE31*GBDUS!M31/(Y31+Z31+AA31+AB31+AC31)</f>
        <v>2.683804821308684</v>
      </c>
      <c r="AQ31" s="278">
        <f t="shared" si="52"/>
        <v>2.683804821308684</v>
      </c>
      <c r="AR31" s="278">
        <f t="shared" si="53"/>
        <v>2.683804821308684</v>
      </c>
      <c r="AS31" s="278">
        <f t="shared" si="54"/>
        <v>2.683804821308684</v>
      </c>
      <c r="AT31" s="279">
        <f t="shared" si="55"/>
        <v>2.4972948437394948</v>
      </c>
      <c r="AU31" s="260">
        <f t="shared" si="56"/>
        <v>-1.0705255070726949E-2</v>
      </c>
      <c r="AV31" s="238">
        <f t="shared" si="57"/>
        <v>-6.8140794702173935E-2</v>
      </c>
      <c r="AW31" s="237">
        <f t="shared" si="58"/>
        <v>-8.8595176483678983E-3</v>
      </c>
      <c r="AX31" s="237">
        <f t="shared" si="59"/>
        <v>-7.7000312350541833E-2</v>
      </c>
    </row>
    <row r="32" spans="2:50" x14ac:dyDescent="0.2">
      <c r="B32" s="185">
        <v>2</v>
      </c>
      <c r="C32" s="297" t="s">
        <v>6</v>
      </c>
      <c r="D32" s="188">
        <f>Scenario!AL39</f>
        <v>0.63983865075854696</v>
      </c>
      <c r="E32" s="188">
        <f>Scenario!AM39</f>
        <v>1.6070196757968449</v>
      </c>
      <c r="F32" s="188">
        <f>Scenario!AN39</f>
        <v>3.0410660066573612</v>
      </c>
      <c r="G32" s="331">
        <f>Scenario!AO39</f>
        <v>5.7548035012460339</v>
      </c>
      <c r="H32" s="294">
        <f>Scenario!AP39</f>
        <v>14.453772753307545</v>
      </c>
      <c r="I32" s="191">
        <f>IF(D32+'Non-travel METs'!D33&gt;2.5, D32+'Non-travel METs'!D33, 0.1)</f>
        <v>0.1</v>
      </c>
      <c r="J32" s="191">
        <f>IF(E32+'Non-travel METs'!E33&gt;2.5, E32+'Non-travel METs'!E33, 0.1)</f>
        <v>0.1</v>
      </c>
      <c r="K32" s="191">
        <f>IF(F32+'Non-travel METs'!F33&gt;2.5, F32+'Non-travel METs'!F33, 0.1)</f>
        <v>3.0410660066573612</v>
      </c>
      <c r="L32" s="191">
        <f>IF(G32+'Non-travel METs'!G33&gt;2.5, G32+'Non-travel METs'!G33, 0.1)</f>
        <v>5.7548035012460339</v>
      </c>
      <c r="M32" s="196">
        <f>IF(H32+'Non-travel METs'!H33&gt;2.5, H32+'Non-travel METs'!H33, 0.1)</f>
        <v>14.453772753307545</v>
      </c>
      <c r="N32" s="336">
        <f>'Phy activity RRs'!$F$7</f>
        <v>0.97288384048792509</v>
      </c>
      <c r="O32" s="187">
        <f t="shared" si="27"/>
        <v>0.99134439051762713</v>
      </c>
      <c r="P32" s="187">
        <f t="shared" si="28"/>
        <v>0.99134439051762713</v>
      </c>
      <c r="Q32" s="187">
        <f t="shared" si="29"/>
        <v>0.95319109220807396</v>
      </c>
      <c r="R32" s="187">
        <f t="shared" si="30"/>
        <v>0.9361798812743537</v>
      </c>
      <c r="S32" s="265">
        <f t="shared" si="31"/>
        <v>0.9007621538410594</v>
      </c>
      <c r="T32" s="269">
        <f t="shared" si="32"/>
        <v>1</v>
      </c>
      <c r="U32" s="269">
        <f t="shared" si="33"/>
        <v>1</v>
      </c>
      <c r="V32" s="269">
        <f t="shared" si="34"/>
        <v>0.99801022690261731</v>
      </c>
      <c r="W32" s="269">
        <f t="shared" si="35"/>
        <v>0.99730912495401425</v>
      </c>
      <c r="X32" s="300">
        <f t="shared" si="36"/>
        <v>0.99584243440694253</v>
      </c>
      <c r="Y32" s="269">
        <f t="shared" si="37"/>
        <v>1</v>
      </c>
      <c r="Z32" s="269">
        <f t="shared" si="38"/>
        <v>1</v>
      </c>
      <c r="AA32" s="269">
        <f t="shared" si="39"/>
        <v>0.96151357825343464</v>
      </c>
      <c r="AB32" s="269">
        <f t="shared" si="40"/>
        <v>0.94435383932069317</v>
      </c>
      <c r="AC32" s="300">
        <f t="shared" si="41"/>
        <v>0.90862687322084856</v>
      </c>
      <c r="AD32" s="333">
        <f t="shared" si="42"/>
        <v>1.7676427472851585E-3</v>
      </c>
      <c r="AE32" s="308">
        <f t="shared" si="43"/>
        <v>0.99823235725271486</v>
      </c>
      <c r="AF32" s="187">
        <f>AE32*GBDUS!K32/(Y32+Z32+AA32+AB32+AC32)</f>
        <v>0</v>
      </c>
      <c r="AG32" s="187">
        <f t="shared" si="44"/>
        <v>0</v>
      </c>
      <c r="AH32" s="187">
        <f t="shared" si="45"/>
        <v>0</v>
      </c>
      <c r="AI32" s="187">
        <f t="shared" si="46"/>
        <v>0</v>
      </c>
      <c r="AJ32" s="265">
        <f t="shared" si="47"/>
        <v>0</v>
      </c>
      <c r="AK32" s="274">
        <f>AE32*GBDUS!L32/(Y32+Z32+AA32+AB32+AC32)</f>
        <v>0</v>
      </c>
      <c r="AL32" s="274">
        <f t="shared" si="48"/>
        <v>0</v>
      </c>
      <c r="AM32" s="274">
        <f t="shared" si="49"/>
        <v>0</v>
      </c>
      <c r="AN32" s="274">
        <f t="shared" si="50"/>
        <v>0</v>
      </c>
      <c r="AO32" s="276">
        <f t="shared" si="51"/>
        <v>0</v>
      </c>
      <c r="AP32" s="274">
        <f>AE32*GBDUS!M32/(Y32+Z32+AA32+AB32+AC32)</f>
        <v>0</v>
      </c>
      <c r="AQ32" s="274">
        <f t="shared" si="52"/>
        <v>0</v>
      </c>
      <c r="AR32" s="274">
        <f t="shared" si="53"/>
        <v>0</v>
      </c>
      <c r="AS32" s="274">
        <f t="shared" si="54"/>
        <v>0</v>
      </c>
      <c r="AT32" s="276">
        <f t="shared" si="55"/>
        <v>0</v>
      </c>
      <c r="AU32" s="235">
        <f t="shared" si="56"/>
        <v>0</v>
      </c>
      <c r="AV32" s="234">
        <f t="shared" si="57"/>
        <v>0</v>
      </c>
      <c r="AW32" s="235">
        <f t="shared" si="58"/>
        <v>0</v>
      </c>
      <c r="AX32" s="235">
        <f t="shared" si="59"/>
        <v>0</v>
      </c>
    </row>
    <row r="33" spans="2:50" x14ac:dyDescent="0.2">
      <c r="B33" s="185">
        <v>2</v>
      </c>
      <c r="C33" s="297" t="s">
        <v>7</v>
      </c>
      <c r="D33" s="188">
        <f>Scenario!AL40</f>
        <v>0.47238269054572068</v>
      </c>
      <c r="E33" s="188">
        <f>Scenario!AM40</f>
        <v>1.1864370452032824</v>
      </c>
      <c r="F33" s="188">
        <f>Scenario!AN40</f>
        <v>2.2451706233264708</v>
      </c>
      <c r="G33" s="188">
        <f>Scenario!AO40</f>
        <v>4.2486798167908608</v>
      </c>
      <c r="H33" s="294">
        <f>Scenario!AP40</f>
        <v>10.670990340532573</v>
      </c>
      <c r="I33" s="191">
        <f>IF(D33+'Non-travel METs'!D34&gt;2.5, D33+'Non-travel METs'!D34, 0.1)</f>
        <v>0.1</v>
      </c>
      <c r="J33" s="191">
        <f>IF(E33+'Non-travel METs'!E34&gt;2.5, E33+'Non-travel METs'!E34, 0.1)</f>
        <v>0.1</v>
      </c>
      <c r="K33" s="191">
        <f>IF(F33+'Non-travel METs'!F34&gt;2.5, F33+'Non-travel METs'!F34, 0.1)</f>
        <v>0.1</v>
      </c>
      <c r="L33" s="191">
        <f>IF(G33+'Non-travel METs'!G34&gt;2.5, G33+'Non-travel METs'!G34, 0.1)</f>
        <v>4.2486798167908608</v>
      </c>
      <c r="M33" s="196">
        <f>IF(H33+'Non-travel METs'!H34&gt;2.5, H33+'Non-travel METs'!H34, 0.1)</f>
        <v>10.670990340532573</v>
      </c>
      <c r="N33" s="241">
        <f>'Phy activity RRs'!$F$7</f>
        <v>0.97288384048792509</v>
      </c>
      <c r="O33" s="187">
        <f t="shared" si="27"/>
        <v>0.99134439051762713</v>
      </c>
      <c r="P33" s="187">
        <f t="shared" si="28"/>
        <v>0.99134439051762713</v>
      </c>
      <c r="Q33" s="187">
        <f t="shared" si="29"/>
        <v>0.99134439051762713</v>
      </c>
      <c r="R33" s="187">
        <f t="shared" si="30"/>
        <v>0.94491103993886383</v>
      </c>
      <c r="S33" s="265">
        <f t="shared" si="31"/>
        <v>0.91411209274609173</v>
      </c>
      <c r="T33" s="269">
        <f t="shared" si="32"/>
        <v>1</v>
      </c>
      <c r="U33" s="269">
        <f t="shared" si="33"/>
        <v>1</v>
      </c>
      <c r="V33" s="269">
        <f t="shared" si="34"/>
        <v>1</v>
      </c>
      <c r="W33" s="269">
        <f t="shared" si="35"/>
        <v>0.99795740557276025</v>
      </c>
      <c r="X33" s="300">
        <f t="shared" si="36"/>
        <v>0.99685436227253499</v>
      </c>
      <c r="Y33" s="269">
        <f t="shared" si="37"/>
        <v>1</v>
      </c>
      <c r="Z33" s="269">
        <f t="shared" si="38"/>
        <v>1</v>
      </c>
      <c r="AA33" s="269">
        <f t="shared" si="39"/>
        <v>1</v>
      </c>
      <c r="AB33" s="269">
        <f t="shared" si="40"/>
        <v>0.95316123133100261</v>
      </c>
      <c r="AC33" s="300">
        <f t="shared" si="41"/>
        <v>0.92209337288809512</v>
      </c>
      <c r="AD33" s="333">
        <f t="shared" si="42"/>
        <v>1.0376464309409528E-3</v>
      </c>
      <c r="AE33" s="306">
        <f t="shared" si="43"/>
        <v>0.99896235356905905</v>
      </c>
      <c r="AF33" s="187">
        <f>AE33*GBDUS!K33/(Y33+Z33+AA33+AB33+AC33)</f>
        <v>0</v>
      </c>
      <c r="AG33" s="187">
        <f t="shared" si="44"/>
        <v>0</v>
      </c>
      <c r="AH33" s="187">
        <f t="shared" si="45"/>
        <v>0</v>
      </c>
      <c r="AI33" s="187">
        <f t="shared" si="46"/>
        <v>0</v>
      </c>
      <c r="AJ33" s="265">
        <f t="shared" si="47"/>
        <v>0</v>
      </c>
      <c r="AK33" s="274">
        <f>AE33*GBDUS!L33/(Y33+Z33+AA33+AB33+AC33)</f>
        <v>0</v>
      </c>
      <c r="AL33" s="274">
        <f t="shared" si="48"/>
        <v>0</v>
      </c>
      <c r="AM33" s="274">
        <f t="shared" si="49"/>
        <v>0</v>
      </c>
      <c r="AN33" s="274">
        <f t="shared" si="50"/>
        <v>0</v>
      </c>
      <c r="AO33" s="276">
        <f t="shared" si="51"/>
        <v>0</v>
      </c>
      <c r="AP33" s="274">
        <f>AE33*GBDUS!M33/(Y33+Z33+AA33+AB33+AC33)</f>
        <v>0</v>
      </c>
      <c r="AQ33" s="274">
        <f t="shared" si="52"/>
        <v>0</v>
      </c>
      <c r="AR33" s="274">
        <f t="shared" si="53"/>
        <v>0</v>
      </c>
      <c r="AS33" s="274">
        <f t="shared" si="54"/>
        <v>0</v>
      </c>
      <c r="AT33" s="276">
        <f t="shared" si="55"/>
        <v>0</v>
      </c>
      <c r="AU33" s="235">
        <f t="shared" si="56"/>
        <v>0</v>
      </c>
      <c r="AV33" s="234">
        <f t="shared" si="57"/>
        <v>0</v>
      </c>
      <c r="AW33" s="235">
        <f t="shared" si="58"/>
        <v>0</v>
      </c>
      <c r="AX33" s="235">
        <f t="shared" si="59"/>
        <v>0</v>
      </c>
    </row>
    <row r="34" spans="2:50" x14ac:dyDescent="0.2">
      <c r="B34" s="185">
        <v>2</v>
      </c>
      <c r="C34" s="297" t="s">
        <v>8</v>
      </c>
      <c r="D34" s="188">
        <f>Scenario!AL41</f>
        <v>0.46001598825921336</v>
      </c>
      <c r="E34" s="188">
        <f>Scenario!AM41</f>
        <v>1.1553768179482105</v>
      </c>
      <c r="F34" s="188">
        <f>Scenario!AN41</f>
        <v>2.1863933708216963</v>
      </c>
      <c r="G34" s="188">
        <f>Scenario!AO41</f>
        <v>4.1374518665367024</v>
      </c>
      <c r="H34" s="294">
        <f>Scenario!AP41</f>
        <v>10.391630060647827</v>
      </c>
      <c r="I34" s="191">
        <f>IF(D34+'Non-travel METs'!D35&gt;2.5, D34+'Non-travel METs'!D35, 0.1)</f>
        <v>37.960015988259215</v>
      </c>
      <c r="J34" s="191">
        <f>IF(E34+'Non-travel METs'!E35&gt;2.5, E34+'Non-travel METs'!E35, 0.1)</f>
        <v>38.655376817948209</v>
      </c>
      <c r="K34" s="191">
        <f>IF(F34+'Non-travel METs'!F35&gt;2.5, F34+'Non-travel METs'!F35, 0.1)</f>
        <v>39.686393370821698</v>
      </c>
      <c r="L34" s="191">
        <f>IF(G34+'Non-travel METs'!G35&gt;2.5, G34+'Non-travel METs'!G35, 0.1)</f>
        <v>41.637451866536701</v>
      </c>
      <c r="M34" s="196">
        <f>IF(H34+'Non-travel METs'!H35&gt;2.5, H34+'Non-travel METs'!H35, 0.1)</f>
        <v>47.891630060647827</v>
      </c>
      <c r="N34" s="241">
        <f>'Phy activity RRs'!$F$7</f>
        <v>0.97288384048792509</v>
      </c>
      <c r="O34" s="187">
        <f t="shared" si="27"/>
        <v>0.84419296500964236</v>
      </c>
      <c r="P34" s="187">
        <f t="shared" si="28"/>
        <v>0.84289030186426017</v>
      </c>
      <c r="Q34" s="187">
        <f t="shared" si="29"/>
        <v>0.84098384575811602</v>
      </c>
      <c r="R34" s="187">
        <f t="shared" si="30"/>
        <v>0.83745415814110646</v>
      </c>
      <c r="S34" s="265">
        <f t="shared" si="31"/>
        <v>0.82675634814136201</v>
      </c>
      <c r="T34" s="269">
        <f t="shared" si="32"/>
        <v>0.99991207126504189</v>
      </c>
      <c r="U34" s="269">
        <f t="shared" si="33"/>
        <v>0.99978593907232927</v>
      </c>
      <c r="V34" s="269">
        <f t="shared" si="34"/>
        <v>0.99960633686062017</v>
      </c>
      <c r="W34" s="269">
        <f t="shared" si="35"/>
        <v>0.99928382916533331</v>
      </c>
      <c r="X34" s="300">
        <f t="shared" si="36"/>
        <v>0.99835924963479394</v>
      </c>
      <c r="Y34" s="269">
        <f t="shared" si="37"/>
        <v>1</v>
      </c>
      <c r="Z34" s="269">
        <f t="shared" si="38"/>
        <v>0.99845691305261319</v>
      </c>
      <c r="AA34" s="269">
        <f t="shared" si="39"/>
        <v>0.99619859512630538</v>
      </c>
      <c r="AB34" s="269">
        <f t="shared" si="40"/>
        <v>0.99201745673341535</v>
      </c>
      <c r="AC34" s="300">
        <f t="shared" si="41"/>
        <v>0.97934522367397225</v>
      </c>
      <c r="AD34" s="333">
        <f t="shared" si="42"/>
        <v>6.1051480037619397E-4</v>
      </c>
      <c r="AE34" s="306">
        <f t="shared" si="43"/>
        <v>0.99938948519962378</v>
      </c>
      <c r="AF34" s="187">
        <f>AE34*GBDUS!K34/(Y34+Z34+AA34+AB34+AC34)</f>
        <v>0</v>
      </c>
      <c r="AG34" s="187">
        <f t="shared" si="44"/>
        <v>0</v>
      </c>
      <c r="AH34" s="187">
        <f t="shared" si="45"/>
        <v>0</v>
      </c>
      <c r="AI34" s="187">
        <f t="shared" si="46"/>
        <v>0</v>
      </c>
      <c r="AJ34" s="265">
        <f t="shared" si="47"/>
        <v>0</v>
      </c>
      <c r="AK34" s="274">
        <f>AE34*GBDUS!L34/(Y34+Z34+AA34+AB34+AC34)</f>
        <v>2.9480986996940874</v>
      </c>
      <c r="AL34" s="274">
        <f t="shared" si="48"/>
        <v>2.9435495270709815</v>
      </c>
      <c r="AM34" s="274">
        <f t="shared" si="49"/>
        <v>2.9368917829289374</v>
      </c>
      <c r="AN34" s="274">
        <f t="shared" si="50"/>
        <v>2.9245653742696174</v>
      </c>
      <c r="AO34" s="276">
        <f t="shared" si="51"/>
        <v>2.8872063804648529</v>
      </c>
      <c r="AP34" s="274">
        <f>AE34*GBDUS!M34/(Y34+Z34+AA34+AB34+AC34)</f>
        <v>8.301670169843138E-2</v>
      </c>
      <c r="AQ34" s="274">
        <f t="shared" si="52"/>
        <v>8.2888599709625421E-2</v>
      </c>
      <c r="AR34" s="274">
        <f t="shared" si="53"/>
        <v>8.270112160399691E-2</v>
      </c>
      <c r="AS34" s="274">
        <f t="shared" si="54"/>
        <v>8.23540172852745E-2</v>
      </c>
      <c r="AT34" s="276">
        <f t="shared" si="55"/>
        <v>8.1302010293525712E-2</v>
      </c>
      <c r="AU34" s="235">
        <f t="shared" si="56"/>
        <v>0</v>
      </c>
      <c r="AV34" s="234">
        <f t="shared" si="57"/>
        <v>-8.9435872066658817E-3</v>
      </c>
      <c r="AW34" s="235">
        <f t="shared" si="58"/>
        <v>-2.5184608348655102E-4</v>
      </c>
      <c r="AX34" s="235">
        <f t="shared" si="59"/>
        <v>-9.1954332901524327E-3</v>
      </c>
    </row>
    <row r="35" spans="2:50" x14ac:dyDescent="0.2">
      <c r="B35" s="185">
        <v>2</v>
      </c>
      <c r="C35" s="297" t="s">
        <v>9</v>
      </c>
      <c r="D35" s="188">
        <f>Scenario!AL42</f>
        <v>0.38779511810305101</v>
      </c>
      <c r="E35" s="188">
        <f>Scenario!AM42</f>
        <v>0.97398677655804244</v>
      </c>
      <c r="F35" s="188">
        <f>Scenario!AN42</f>
        <v>1.8431374063019774</v>
      </c>
      <c r="G35" s="188">
        <f>Scenario!AO42</f>
        <v>3.4878866738979131</v>
      </c>
      <c r="H35" s="294">
        <f>Scenario!AP42</f>
        <v>8.7601811882707494</v>
      </c>
      <c r="I35" s="191">
        <f>IF(D35+'Non-travel METs'!D36&gt;2.5, D35+'Non-travel METs'!D36, 0.1)</f>
        <v>37.951128451436347</v>
      </c>
      <c r="J35" s="191">
        <f>IF(E35+'Non-travel METs'!E36&gt;2.5, E35+'Non-travel METs'!E36, 0.1)</f>
        <v>38.53732010989134</v>
      </c>
      <c r="K35" s="191">
        <f>IF(F35+'Non-travel METs'!F36&gt;2.5, F35+'Non-travel METs'!F36, 0.1)</f>
        <v>39.406470739635274</v>
      </c>
      <c r="L35" s="191">
        <f>IF(G35+'Non-travel METs'!G36&gt;2.5, G35+'Non-travel METs'!G36, 0.1)</f>
        <v>41.051220007231208</v>
      </c>
      <c r="M35" s="196">
        <f>IF(H35+'Non-travel METs'!H36&gt;2.5, H35+'Non-travel METs'!H36, 0.1)</f>
        <v>46.323514521604046</v>
      </c>
      <c r="N35" s="241">
        <f>'Phy activity RRs'!$F$7</f>
        <v>0.97288384048792509</v>
      </c>
      <c r="O35" s="187">
        <f t="shared" si="27"/>
        <v>0.84420970455624456</v>
      </c>
      <c r="P35" s="187">
        <f t="shared" si="28"/>
        <v>0.84311049282051109</v>
      </c>
      <c r="Q35" s="187">
        <f t="shared" si="29"/>
        <v>0.84149855216293756</v>
      </c>
      <c r="R35" s="187">
        <f t="shared" si="30"/>
        <v>0.83850430816942578</v>
      </c>
      <c r="S35" s="265">
        <f t="shared" si="31"/>
        <v>0.82935687547767989</v>
      </c>
      <c r="T35" s="269">
        <f t="shared" si="32"/>
        <v>0.99992525584333336</v>
      </c>
      <c r="U35" s="269">
        <f t="shared" si="33"/>
        <v>0.99981775047247101</v>
      </c>
      <c r="V35" s="269">
        <f t="shared" si="34"/>
        <v>0.99966413483250594</v>
      </c>
      <c r="W35" s="269">
        <f t="shared" si="35"/>
        <v>0.9993867682917642</v>
      </c>
      <c r="X35" s="300">
        <f t="shared" si="36"/>
        <v>0.99858153466502764</v>
      </c>
      <c r="Y35" s="269">
        <f t="shared" si="37"/>
        <v>1</v>
      </c>
      <c r="Z35" s="269">
        <f t="shared" si="38"/>
        <v>0.99869793994335654</v>
      </c>
      <c r="AA35" s="269">
        <f t="shared" si="39"/>
        <v>0.99678853206889861</v>
      </c>
      <c r="AB35" s="269">
        <f t="shared" si="40"/>
        <v>0.99324173086849576</v>
      </c>
      <c r="AC35" s="300">
        <f t="shared" si="41"/>
        <v>0.9824062327187153</v>
      </c>
      <c r="AD35" s="333">
        <f t="shared" si="42"/>
        <v>5.2491117897943693E-4</v>
      </c>
      <c r="AE35" s="306">
        <f t="shared" si="43"/>
        <v>0.99947508882102054</v>
      </c>
      <c r="AF35" s="187">
        <f>AE35*GBDUS!K35/(Y35+Z35+AA35+AB35+AC35)</f>
        <v>0.4021114704376304</v>
      </c>
      <c r="AG35" s="187">
        <f t="shared" si="44"/>
        <v>0.40158789715365539</v>
      </c>
      <c r="AH35" s="187">
        <f t="shared" si="45"/>
        <v>0.40082010234559196</v>
      </c>
      <c r="AI35" s="187">
        <f t="shared" si="46"/>
        <v>0.39939389289954796</v>
      </c>
      <c r="AJ35" s="265">
        <f t="shared" si="47"/>
        <v>0.39503681480561553</v>
      </c>
      <c r="AK35" s="274">
        <f>AE35*GBDUS!L35/(Y35+Z35+AA35+AB35+AC35)</f>
        <v>18.810179901416813</v>
      </c>
      <c r="AL35" s="274">
        <f t="shared" si="48"/>
        <v>18.785687917508902</v>
      </c>
      <c r="AM35" s="274">
        <f t="shared" si="49"/>
        <v>18.749771611885166</v>
      </c>
      <c r="AN35" s="274">
        <f t="shared" si="50"/>
        <v>18.683055643231025</v>
      </c>
      <c r="AO35" s="276">
        <f t="shared" si="51"/>
        <v>18.479237973712188</v>
      </c>
      <c r="AP35" s="274">
        <f>AE35*GBDUS!M35/(Y35+Z35+AA35+AB35+AC35)</f>
        <v>0.71138304554068232</v>
      </c>
      <c r="AQ35" s="274">
        <f t="shared" si="52"/>
        <v>0.71045678209211038</v>
      </c>
      <c r="AR35" s="274">
        <f t="shared" si="53"/>
        <v>0.70909846170319923</v>
      </c>
      <c r="AS35" s="274">
        <f t="shared" si="54"/>
        <v>0.70657532746332929</v>
      </c>
      <c r="AT35" s="276">
        <f t="shared" si="55"/>
        <v>0.69886713778958798</v>
      </c>
      <c r="AU35" s="235">
        <f t="shared" si="56"/>
        <v>-1.0498223579582522E-3</v>
      </c>
      <c r="AV35" s="234">
        <f t="shared" si="57"/>
        <v>-4.9109137315170415E-2</v>
      </c>
      <c r="AW35" s="235">
        <f t="shared" si="58"/>
        <v>-1.8572606881082088E-3</v>
      </c>
      <c r="AX35" s="235">
        <f t="shared" si="59"/>
        <v>-5.0966398003278623E-2</v>
      </c>
    </row>
    <row r="36" spans="2:50" x14ac:dyDescent="0.2">
      <c r="B36" s="185">
        <v>2</v>
      </c>
      <c r="C36" s="297" t="s">
        <v>10</v>
      </c>
      <c r="D36" s="188">
        <f>Scenario!AL43</f>
        <v>0.2880222001316094</v>
      </c>
      <c r="E36" s="188">
        <f>Scenario!AM43</f>
        <v>0.72339697223520716</v>
      </c>
      <c r="F36" s="188">
        <f>Scenario!AN43</f>
        <v>1.3689303091404414</v>
      </c>
      <c r="G36" s="188">
        <f>Scenario!AO43</f>
        <v>2.5905142863578874</v>
      </c>
      <c r="H36" s="294">
        <f>Scenario!AP43</f>
        <v>6.5063394086533934</v>
      </c>
      <c r="I36" s="191">
        <f>IF(D36+'Non-travel METs'!D37&gt;2.5, D36+'Non-travel METs'!D37, 0.1)</f>
        <v>38.041355533464909</v>
      </c>
      <c r="J36" s="191">
        <f>IF(E36+'Non-travel METs'!E37&gt;2.5, E36+'Non-travel METs'!E37, 0.1)</f>
        <v>38.476730305568509</v>
      </c>
      <c r="K36" s="191">
        <f>IF(F36+'Non-travel METs'!F37&gt;2.5, F36+'Non-travel METs'!F37, 0.1)</f>
        <v>39.12226364247374</v>
      </c>
      <c r="L36" s="191">
        <f>IF(G36+'Non-travel METs'!G37&gt;2.5, G36+'Non-travel METs'!G37, 0.1)</f>
        <v>40.343847619691189</v>
      </c>
      <c r="M36" s="196">
        <f>IF(H36+'Non-travel METs'!H37&gt;2.5, H36+'Non-travel METs'!H37, 0.1)</f>
        <v>44.259672741986698</v>
      </c>
      <c r="N36" s="241">
        <f>'Phy activity RRs'!$F$7</f>
        <v>0.97288384048792509</v>
      </c>
      <c r="O36" s="187">
        <f t="shared" si="27"/>
        <v>0.84403986950282306</v>
      </c>
      <c r="P36" s="187">
        <f t="shared" si="28"/>
        <v>0.84322365394406262</v>
      </c>
      <c r="Q36" s="187">
        <f t="shared" si="29"/>
        <v>0.84202333436767329</v>
      </c>
      <c r="R36" s="187">
        <f t="shared" si="30"/>
        <v>0.83978327261655483</v>
      </c>
      <c r="S36" s="265">
        <f t="shared" si="31"/>
        <v>0.8328604144736057</v>
      </c>
      <c r="T36" s="269">
        <f t="shared" si="32"/>
        <v>0.99995389804380286</v>
      </c>
      <c r="U36" s="269">
        <f t="shared" si="33"/>
        <v>0.99988793921609509</v>
      </c>
      <c r="V36" s="269">
        <f t="shared" si="34"/>
        <v>0.99979367463531454</v>
      </c>
      <c r="W36" s="269">
        <f t="shared" si="35"/>
        <v>0.99962287596011379</v>
      </c>
      <c r="X36" s="300">
        <f t="shared" si="36"/>
        <v>0.99912080086517896</v>
      </c>
      <c r="Y36" s="269">
        <f t="shared" si="37"/>
        <v>1</v>
      </c>
      <c r="Z36" s="269">
        <f t="shared" si="38"/>
        <v>0.99903296563556743</v>
      </c>
      <c r="AA36" s="269">
        <f t="shared" si="39"/>
        <v>0.99761085322149823</v>
      </c>
      <c r="AB36" s="269">
        <f t="shared" si="40"/>
        <v>0.99495687699115976</v>
      </c>
      <c r="AC36" s="300">
        <f t="shared" si="41"/>
        <v>0.98675482588778352</v>
      </c>
      <c r="AD36" s="333">
        <f t="shared" si="42"/>
        <v>3.2416225589901868E-4</v>
      </c>
      <c r="AE36" s="306">
        <f t="shared" si="43"/>
        <v>0.99967583774410096</v>
      </c>
      <c r="AF36" s="187">
        <f>AE36*GBDUS!K36/(Y36+Z36+AA36+AB36+AC36)</f>
        <v>1.807239860715999</v>
      </c>
      <c r="AG36" s="187">
        <f t="shared" si="44"/>
        <v>1.8054921976659142</v>
      </c>
      <c r="AH36" s="187">
        <f t="shared" si="45"/>
        <v>1.8029220994247894</v>
      </c>
      <c r="AI36" s="187">
        <f t="shared" si="46"/>
        <v>1.7981257277919289</v>
      </c>
      <c r="AJ36" s="265">
        <f t="shared" si="47"/>
        <v>1.7833026540982777</v>
      </c>
      <c r="AK36" s="274">
        <f>AE36*GBDUS!L36/(Y36+Z36+AA36+AB36+AC36)</f>
        <v>60.340179544720456</v>
      </c>
      <c r="AL36" s="274">
        <f t="shared" si="48"/>
        <v>60.281828517544682</v>
      </c>
      <c r="AM36" s="274">
        <f t="shared" si="49"/>
        <v>60.196017999146967</v>
      </c>
      <c r="AN36" s="274">
        <f t="shared" si="50"/>
        <v>60.035876596900927</v>
      </c>
      <c r="AO36" s="276">
        <f t="shared" si="51"/>
        <v>59.540963360688231</v>
      </c>
      <c r="AP36" s="274">
        <f>AE36*GBDUS!M36/(Y36+Z36+AA36+AB36+AC36)</f>
        <v>2.9302336295057447</v>
      </c>
      <c r="AQ36" s="274">
        <f t="shared" si="52"/>
        <v>2.9273999928901966</v>
      </c>
      <c r="AR36" s="274">
        <f t="shared" si="53"/>
        <v>2.9232328712695534</v>
      </c>
      <c r="AS36" s="274">
        <f t="shared" si="54"/>
        <v>2.9154561008675071</v>
      </c>
      <c r="AT36" s="276">
        <f t="shared" si="55"/>
        <v>2.891422174893469</v>
      </c>
      <c r="AU36" s="235">
        <f t="shared" si="56"/>
        <v>-2.9174603030917012E-3</v>
      </c>
      <c r="AV36" s="234">
        <f t="shared" si="57"/>
        <v>-9.7408253508490361E-2</v>
      </c>
      <c r="AW36" s="235">
        <f t="shared" si="58"/>
        <v>-4.7303296472662737E-3</v>
      </c>
      <c r="AX36" s="235">
        <f t="shared" si="59"/>
        <v>-0.10213858315575663</v>
      </c>
    </row>
    <row r="37" spans="2:50" x14ac:dyDescent="0.2">
      <c r="B37" s="185">
        <v>2</v>
      </c>
      <c r="C37" s="297" t="s">
        <v>11</v>
      </c>
      <c r="D37" s="188">
        <f>Scenario!AL44</f>
        <v>0.19383056670522639</v>
      </c>
      <c r="E37" s="188">
        <f>Scenario!AM44</f>
        <v>0.48682513020567292</v>
      </c>
      <c r="F37" s="188">
        <f>Scenario!AN44</f>
        <v>0.92125029764860955</v>
      </c>
      <c r="G37" s="188">
        <f>Scenario!AO44</f>
        <v>1.7433407978735476</v>
      </c>
      <c r="H37" s="294">
        <f>Scenario!AP44</f>
        <v>4.3785772561266905</v>
      </c>
      <c r="I37" s="191">
        <f>IF(D37+'Non-travel METs'!D38&gt;2.5, D37+'Non-travel METs'!D38, 0.1)</f>
        <v>9.1938305667052269</v>
      </c>
      <c r="J37" s="191">
        <f>IF(E37+'Non-travel METs'!E38&gt;2.5, E37+'Non-travel METs'!E38, 0.1)</f>
        <v>9.4868251302056734</v>
      </c>
      <c r="K37" s="191">
        <f>IF(F37+'Non-travel METs'!F38&gt;2.5, F37+'Non-travel METs'!F38, 0.1)</f>
        <v>9.9212502976486103</v>
      </c>
      <c r="L37" s="191">
        <f>IF(G37+'Non-travel METs'!G38&gt;2.5, G37+'Non-travel METs'!G38, 0.1)</f>
        <v>10.743340797873547</v>
      </c>
      <c r="M37" s="196">
        <f>IF(H37+'Non-travel METs'!H38&gt;2.5, H37+'Non-travel METs'!H38, 0.1)</f>
        <v>13.37857725612669</v>
      </c>
      <c r="N37" s="241">
        <f>'Phy activity RRs'!$F$7</f>
        <v>0.97288384048792509</v>
      </c>
      <c r="O37" s="187">
        <f t="shared" si="27"/>
        <v>0.92002437427941741</v>
      </c>
      <c r="P37" s="187">
        <f t="shared" si="28"/>
        <v>0.91881277478830314</v>
      </c>
      <c r="Q37" s="187">
        <f t="shared" si="29"/>
        <v>0.91705310661139217</v>
      </c>
      <c r="R37" s="187">
        <f t="shared" si="30"/>
        <v>0.91383431841151874</v>
      </c>
      <c r="S37" s="265">
        <f t="shared" si="31"/>
        <v>0.90433844952669717</v>
      </c>
      <c r="T37" s="269">
        <f t="shared" si="32"/>
        <v>0.99992329804167779</v>
      </c>
      <c r="U37" s="269">
        <f t="shared" si="33"/>
        <v>0.99981436472457996</v>
      </c>
      <c r="V37" s="269">
        <f t="shared" si="34"/>
        <v>0.99966151434721051</v>
      </c>
      <c r="W37" s="269">
        <f t="shared" si="35"/>
        <v>0.9993933241922307</v>
      </c>
      <c r="X37" s="300">
        <f t="shared" si="36"/>
        <v>0.99866207009906871</v>
      </c>
      <c r="Y37" s="269">
        <f t="shared" si="37"/>
        <v>1</v>
      </c>
      <c r="Z37" s="269">
        <f t="shared" si="38"/>
        <v>0.99868307892161745</v>
      </c>
      <c r="AA37" s="269">
        <f t="shared" si="39"/>
        <v>0.99677044679348592</v>
      </c>
      <c r="AB37" s="269">
        <f t="shared" si="40"/>
        <v>0.99327185665842077</v>
      </c>
      <c r="AC37" s="300">
        <f t="shared" si="41"/>
        <v>0.98295053349536987</v>
      </c>
      <c r="AD37" s="333">
        <f t="shared" si="42"/>
        <v>5.0908571904635376E-4</v>
      </c>
      <c r="AE37" s="306">
        <f t="shared" si="43"/>
        <v>0.9994909142809536</v>
      </c>
      <c r="AF37" s="187">
        <f>AE37*GBDUS!K37/(Y37+Z37+AA37+AB37+AC37)</f>
        <v>1.2062221245243099</v>
      </c>
      <c r="AG37" s="187">
        <f t="shared" si="44"/>
        <v>1.2046336251833125</v>
      </c>
      <c r="AH37" s="187">
        <f t="shared" si="45"/>
        <v>1.2023265659942841</v>
      </c>
      <c r="AI37" s="187">
        <f t="shared" si="46"/>
        <v>1.1981064891687261</v>
      </c>
      <c r="AJ37" s="265">
        <f t="shared" si="47"/>
        <v>1.1856566808150888</v>
      </c>
      <c r="AK37" s="274">
        <f>AE37*GBDUS!L37/(Y37+Z37+AA37+AB37+AC37)</f>
        <v>27.856262740738416</v>
      </c>
      <c r="AL37" s="274">
        <f t="shared" si="48"/>
        <v>27.819578241170174</v>
      </c>
      <c r="AM37" s="274">
        <f t="shared" si="49"/>
        <v>27.766299458082564</v>
      </c>
      <c r="AN37" s="274">
        <f t="shared" si="50"/>
        <v>27.668841812058034</v>
      </c>
      <c r="AO37" s="276">
        <f t="shared" si="51"/>
        <v>27.381328322196019</v>
      </c>
      <c r="AP37" s="274">
        <f>AE37*GBDUS!M37/(Y37+Z37+AA37+AB37+AC37)</f>
        <v>1.6901445683274459</v>
      </c>
      <c r="AQ37" s="274">
        <f t="shared" si="52"/>
        <v>1.6879187813199017</v>
      </c>
      <c r="AR37" s="274">
        <f t="shared" si="53"/>
        <v>1.6846861565173317</v>
      </c>
      <c r="AS37" s="274">
        <f t="shared" si="54"/>
        <v>1.6787730334037472</v>
      </c>
      <c r="AT37" s="276">
        <f t="shared" si="55"/>
        <v>1.6613285051217646</v>
      </c>
      <c r="AU37" s="235">
        <f t="shared" si="56"/>
        <v>-3.0545143142788334E-3</v>
      </c>
      <c r="AV37" s="234">
        <f t="shared" si="57"/>
        <v>-7.0540368605350068E-2</v>
      </c>
      <c r="AW37" s="235">
        <f t="shared" si="58"/>
        <v>-4.2799503277173301E-3</v>
      </c>
      <c r="AX37" s="235">
        <f t="shared" si="59"/>
        <v>-7.4820318933067398E-2</v>
      </c>
    </row>
    <row r="38" spans="2:50" x14ac:dyDescent="0.2">
      <c r="B38" s="185">
        <v>2</v>
      </c>
      <c r="C38" s="297" t="s">
        <v>12</v>
      </c>
      <c r="D38" s="188">
        <f>Scenario!AL45</f>
        <v>0.12325892229755643</v>
      </c>
      <c r="E38" s="188">
        <f>Scenario!AM45</f>
        <v>0.30957728657820022</v>
      </c>
      <c r="F38" s="188">
        <f>Scenario!AN45</f>
        <v>0.58583287860453281</v>
      </c>
      <c r="G38" s="188">
        <f>Scenario!AO45</f>
        <v>1.108608985651083</v>
      </c>
      <c r="H38" s="294">
        <f>Scenario!AP45</f>
        <v>2.7843839233444045</v>
      </c>
      <c r="I38" s="191">
        <f>IF(D38+'Non-travel METs'!D39&gt;2.5, D38+'Non-travel METs'!D39, 0.1)</f>
        <v>0.1</v>
      </c>
      <c r="J38" s="191">
        <f>IF(E38+'Non-travel METs'!E39&gt;2.5, E38+'Non-travel METs'!E39, 0.1)</f>
        <v>0.1</v>
      </c>
      <c r="K38" s="191">
        <f>IF(F38+'Non-travel METs'!F39&gt;2.5, F38+'Non-travel METs'!F39, 0.1)</f>
        <v>0.1</v>
      </c>
      <c r="L38" s="191">
        <f>IF(G38+'Non-travel METs'!G39&gt;2.5, G38+'Non-travel METs'!G39, 0.1)</f>
        <v>0.1</v>
      </c>
      <c r="M38" s="196">
        <f>IF(H38+'Non-travel METs'!H39&gt;2.5, H38+'Non-travel METs'!H39, 0.1)</f>
        <v>3.2843839233444045</v>
      </c>
      <c r="N38" s="241">
        <f>'Phy activity RRs'!$F$7</f>
        <v>0.97288384048792509</v>
      </c>
      <c r="O38" s="187">
        <f t="shared" si="27"/>
        <v>0.99134439051762713</v>
      </c>
      <c r="P38" s="187">
        <f t="shared" si="28"/>
        <v>0.99134439051762713</v>
      </c>
      <c r="Q38" s="187">
        <f t="shared" si="29"/>
        <v>0.99134439051762713</v>
      </c>
      <c r="R38" s="187">
        <f t="shared" si="30"/>
        <v>0.99134439051762713</v>
      </c>
      <c r="S38" s="265">
        <f t="shared" si="31"/>
        <v>0.9513998704464971</v>
      </c>
      <c r="T38" s="269">
        <f t="shared" si="32"/>
        <v>1</v>
      </c>
      <c r="U38" s="269">
        <f t="shared" si="33"/>
        <v>1</v>
      </c>
      <c r="V38" s="269">
        <f t="shared" si="34"/>
        <v>1</v>
      </c>
      <c r="W38" s="269">
        <f t="shared" si="35"/>
        <v>1</v>
      </c>
      <c r="X38" s="300">
        <f t="shared" si="36"/>
        <v>0.99809755887911822</v>
      </c>
      <c r="Y38" s="269">
        <f t="shared" si="37"/>
        <v>1</v>
      </c>
      <c r="Z38" s="269">
        <f t="shared" si="38"/>
        <v>1</v>
      </c>
      <c r="AA38" s="269">
        <f t="shared" si="39"/>
        <v>1</v>
      </c>
      <c r="AB38" s="269">
        <f t="shared" si="40"/>
        <v>1</v>
      </c>
      <c r="AC38" s="300">
        <f t="shared" si="41"/>
        <v>0.95970671700651566</v>
      </c>
      <c r="AD38" s="333">
        <f t="shared" si="42"/>
        <v>3.8048822417628968E-4</v>
      </c>
      <c r="AE38" s="306">
        <f t="shared" si="43"/>
        <v>0.99961951177582375</v>
      </c>
      <c r="AF38" s="187">
        <f>AE38*GBDUS!K38/(Y38+Z38+AA38+AB38+AC38)</f>
        <v>1.8139329842092751</v>
      </c>
      <c r="AG38" s="187">
        <f t="shared" si="44"/>
        <v>1.8139329842092751</v>
      </c>
      <c r="AH38" s="187">
        <f t="shared" si="45"/>
        <v>1.8139329842092751</v>
      </c>
      <c r="AI38" s="187">
        <f t="shared" si="46"/>
        <v>1.8139329842092751</v>
      </c>
      <c r="AJ38" s="265">
        <f t="shared" si="47"/>
        <v>1.7408436691453153</v>
      </c>
      <c r="AK38" s="274">
        <f>AE38*GBDUS!L38/(Y38+Z38+AA38+AB38+AC38)</f>
        <v>26.485196258284702</v>
      </c>
      <c r="AL38" s="274">
        <f t="shared" si="48"/>
        <v>26.485196258284702</v>
      </c>
      <c r="AM38" s="274">
        <f t="shared" si="49"/>
        <v>26.485196258284702</v>
      </c>
      <c r="AN38" s="274">
        <f t="shared" si="50"/>
        <v>26.485196258284702</v>
      </c>
      <c r="AO38" s="276">
        <f t="shared" si="51"/>
        <v>25.418020750311666</v>
      </c>
      <c r="AP38" s="274">
        <f>AE38*GBDUS!M38/(Y38+Z38+AA38+AB38+AC38)</f>
        <v>2.1560875977967284</v>
      </c>
      <c r="AQ38" s="274">
        <f t="shared" si="52"/>
        <v>2.1560875977967284</v>
      </c>
      <c r="AR38" s="274">
        <f t="shared" si="53"/>
        <v>2.1560875977967284</v>
      </c>
      <c r="AS38" s="274">
        <f t="shared" si="54"/>
        <v>2.1560875977967284</v>
      </c>
      <c r="AT38" s="276">
        <f t="shared" si="55"/>
        <v>2.0692117500599632</v>
      </c>
      <c r="AU38" s="235">
        <f t="shared" si="56"/>
        <v>-3.424394017583765E-3</v>
      </c>
      <c r="AV38" s="234">
        <f t="shared" si="57"/>
        <v>-4.9999502964539033E-2</v>
      </c>
      <c r="AW38" s="235">
        <f t="shared" si="58"/>
        <v>-4.0703231792775796E-3</v>
      </c>
      <c r="AX38" s="235">
        <f t="shared" si="59"/>
        <v>-5.4069826143816613E-2</v>
      </c>
    </row>
    <row r="39" spans="2:50" x14ac:dyDescent="0.2">
      <c r="B39" s="292">
        <v>2</v>
      </c>
      <c r="C39" s="298" t="s">
        <v>13</v>
      </c>
      <c r="D39" s="293">
        <f>Scenario!AL46</f>
        <v>0.15235482657642674</v>
      </c>
      <c r="E39" s="293">
        <f>Scenario!AM46</f>
        <v>0.38265460162600734</v>
      </c>
      <c r="F39" s="293">
        <f>Scenario!AN46</f>
        <v>0.72412175085463892</v>
      </c>
      <c r="G39" s="293">
        <f>Scenario!AO46</f>
        <v>1.3703018540288463</v>
      </c>
      <c r="H39" s="295">
        <f>Scenario!AP46</f>
        <v>3.4416521080659925</v>
      </c>
      <c r="I39" s="201">
        <f>IF(D39+'Non-travel METs'!D40&gt;2.5, D39+'Non-travel METs'!D40, 0.1)</f>
        <v>0.1</v>
      </c>
      <c r="J39" s="201">
        <f>IF(E39+'Non-travel METs'!E40&gt;2.5, E39+'Non-travel METs'!E40, 0.1)</f>
        <v>0.1</v>
      </c>
      <c r="K39" s="201">
        <f>IF(F39+'Non-travel METs'!F40&gt;2.5, F39+'Non-travel METs'!F40, 0.1)</f>
        <v>0.1</v>
      </c>
      <c r="L39" s="201">
        <f>IF(G39+'Non-travel METs'!G40&gt;2.5, G39+'Non-travel METs'!G40, 0.1)</f>
        <v>0.1</v>
      </c>
      <c r="M39" s="202">
        <f>IF(H39+'Non-travel METs'!H40&gt;2.5, H39+'Non-travel METs'!H40, 0.1)</f>
        <v>3.524985441399326</v>
      </c>
      <c r="N39" s="241">
        <f>'Phy activity RRs'!$F$7</f>
        <v>0.97288384048792509</v>
      </c>
      <c r="O39" s="266">
        <f t="shared" si="27"/>
        <v>0.99134439051762713</v>
      </c>
      <c r="P39" s="267">
        <f t="shared" si="28"/>
        <v>0.99134439051762713</v>
      </c>
      <c r="Q39" s="267">
        <f t="shared" si="29"/>
        <v>0.99134439051762713</v>
      </c>
      <c r="R39" s="267">
        <f t="shared" si="30"/>
        <v>0.99134439051762713</v>
      </c>
      <c r="S39" s="268">
        <f t="shared" si="31"/>
        <v>0.94969592523579405</v>
      </c>
      <c r="T39" s="301">
        <f t="shared" si="32"/>
        <v>1</v>
      </c>
      <c r="U39" s="302">
        <f t="shared" si="33"/>
        <v>1</v>
      </c>
      <c r="V39" s="302">
        <f t="shared" si="34"/>
        <v>1</v>
      </c>
      <c r="W39" s="302">
        <f t="shared" si="35"/>
        <v>1</v>
      </c>
      <c r="X39" s="303">
        <f t="shared" si="36"/>
        <v>0.99772369167030828</v>
      </c>
      <c r="Y39" s="301">
        <f t="shared" si="37"/>
        <v>1</v>
      </c>
      <c r="Z39" s="302">
        <f t="shared" si="38"/>
        <v>1</v>
      </c>
      <c r="AA39" s="302">
        <f t="shared" si="39"/>
        <v>1</v>
      </c>
      <c r="AB39" s="302">
        <f t="shared" si="40"/>
        <v>1</v>
      </c>
      <c r="AC39" s="303">
        <f t="shared" si="41"/>
        <v>0.95798789433802467</v>
      </c>
      <c r="AD39" s="333">
        <f t="shared" si="42"/>
        <v>4.5526166593834461E-4</v>
      </c>
      <c r="AE39" s="307">
        <f t="shared" si="43"/>
        <v>0.99954473833406166</v>
      </c>
      <c r="AF39" s="266">
        <f>AE39*GBDUS!K39/(Y39+Z39+AA39+AB39+AC39)</f>
        <v>3.0240435020289143</v>
      </c>
      <c r="AG39" s="267">
        <f t="shared" si="44"/>
        <v>3.0240435020289143</v>
      </c>
      <c r="AH39" s="267">
        <f t="shared" si="45"/>
        <v>3.0240435020289143</v>
      </c>
      <c r="AI39" s="267">
        <f t="shared" si="46"/>
        <v>3.0240435020289143</v>
      </c>
      <c r="AJ39" s="268">
        <f t="shared" si="47"/>
        <v>2.8969970668952656</v>
      </c>
      <c r="AK39" s="277">
        <f>AE39*GBDUS!L39/(Y39+Z39+AA39+AB39+AC39)</f>
        <v>16.558472710080178</v>
      </c>
      <c r="AL39" s="278">
        <f t="shared" si="48"/>
        <v>16.558472710080178</v>
      </c>
      <c r="AM39" s="278">
        <f t="shared" si="49"/>
        <v>16.558472710080178</v>
      </c>
      <c r="AN39" s="278">
        <f t="shared" si="50"/>
        <v>16.558472710080178</v>
      </c>
      <c r="AO39" s="279">
        <f t="shared" si="51"/>
        <v>15.862816404983354</v>
      </c>
      <c r="AP39" s="277">
        <f>AE39*GBDUS!M39/(Y39+Z39+AA39+AB39+AC39)</f>
        <v>2.4804002800263905</v>
      </c>
      <c r="AQ39" s="278">
        <f t="shared" si="52"/>
        <v>2.4804002800263905</v>
      </c>
      <c r="AR39" s="278">
        <f t="shared" si="53"/>
        <v>2.4804002800263905</v>
      </c>
      <c r="AS39" s="278">
        <f t="shared" si="54"/>
        <v>2.4804002800263905</v>
      </c>
      <c r="AT39" s="279">
        <f t="shared" si="55"/>
        <v>2.3761934413779287</v>
      </c>
      <c r="AU39" s="260">
        <f t="shared" si="56"/>
        <v>-6.8289249890778336E-3</v>
      </c>
      <c r="AV39" s="238">
        <f t="shared" si="57"/>
        <v>-3.7392507083637838E-2</v>
      </c>
      <c r="AW39" s="237">
        <f t="shared" si="58"/>
        <v>-5.6012644804290801E-3</v>
      </c>
      <c r="AX39" s="237">
        <f t="shared" si="59"/>
        <v>-4.2993771564066918E-2</v>
      </c>
    </row>
    <row r="40" spans="2:50" x14ac:dyDescent="0.2">
      <c r="N40" s="261"/>
      <c r="AD40" s="261"/>
      <c r="AT40" s="309" t="s">
        <v>41</v>
      </c>
      <c r="AU40" s="235">
        <f>SUM(AU24:AU39)</f>
        <v>-5.7365994796430342E-2</v>
      </c>
      <c r="AV40" s="234">
        <f>SUM(AV24:AV39)</f>
        <v>-1.100221763440743</v>
      </c>
      <c r="AW40" s="235">
        <f>SUM(AW24:AW39)</f>
        <v>-6.9157136344420944E-2</v>
      </c>
      <c r="AX40" s="235">
        <f>SUM(AX24:AX39)</f>
        <v>-1.169378899785164</v>
      </c>
    </row>
    <row r="41" spans="2:50" x14ac:dyDescent="0.2">
      <c r="AD41" s="332"/>
      <c r="AT41" s="309" t="s">
        <v>50</v>
      </c>
      <c r="AU41" s="330">
        <f>AU40/GBDUS!K40</f>
        <v>-5.1681076393180489E-4</v>
      </c>
      <c r="AV41" s="330">
        <f>AV40/GBDUS!L40</f>
        <v>-5.9003119059585299E-4</v>
      </c>
      <c r="AW41" s="330">
        <f>AW40/GBDUS!M40</f>
        <v>-5.4367829462051898E-4</v>
      </c>
      <c r="AX41" s="330">
        <f>AX40/GBDUS!N40</f>
        <v>-5.8707108423423947E-4</v>
      </c>
    </row>
    <row r="42" spans="2:50" x14ac:dyDescent="0.2">
      <c r="O42" s="187"/>
      <c r="P42" s="187"/>
      <c r="Q42" s="187"/>
      <c r="R42" s="187"/>
      <c r="S42" s="187"/>
      <c r="U42" s="335"/>
      <c r="AD42" s="332"/>
    </row>
    <row r="43" spans="2:50" x14ac:dyDescent="0.2">
      <c r="AD43" s="332"/>
    </row>
    <row r="44" spans="2:50" x14ac:dyDescent="0.2">
      <c r="O44" s="187"/>
      <c r="P44" s="187"/>
      <c r="Q44" s="187"/>
      <c r="R44" s="187"/>
      <c r="S44" s="187"/>
      <c r="U44" s="187"/>
      <c r="V44" s="334"/>
      <c r="W44" s="334"/>
      <c r="X44" s="334"/>
      <c r="Y44" s="334"/>
      <c r="AD44" s="332"/>
    </row>
    <row r="45" spans="2:50" x14ac:dyDescent="0.2">
      <c r="U45" s="335"/>
      <c r="AD45" s="332"/>
    </row>
    <row r="46" spans="2:50" x14ac:dyDescent="0.2">
      <c r="AD46" s="332"/>
    </row>
    <row r="47" spans="2:50" x14ac:dyDescent="0.2">
      <c r="AD47" s="332"/>
    </row>
    <row r="48" spans="2:50" x14ac:dyDescent="0.2">
      <c r="AD48" s="332"/>
    </row>
  </sheetData>
  <mergeCells count="12">
    <mergeCell ref="AK4:AO4"/>
    <mergeCell ref="AP4:AT4"/>
    <mergeCell ref="AU4:AX4"/>
    <mergeCell ref="D4:H4"/>
    <mergeCell ref="I4:M4"/>
    <mergeCell ref="O4:S4"/>
    <mergeCell ref="N4:N5"/>
    <mergeCell ref="AD4:AD5"/>
    <mergeCell ref="AE4:AE5"/>
    <mergeCell ref="AF4:AJ4"/>
    <mergeCell ref="Y4:AC4"/>
    <mergeCell ref="T4:X4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00B050"/>
  </sheetPr>
  <dimension ref="B2:BJ48"/>
  <sheetViews>
    <sheetView showGridLines="0" zoomScaleNormal="100" workbookViewId="0"/>
  </sheetViews>
  <sheetFormatPr defaultRowHeight="12.75" x14ac:dyDescent="0.2"/>
  <cols>
    <col min="1" max="1" width="5" style="4" customWidth="1"/>
    <col min="2" max="2" width="8.7109375" style="4" customWidth="1"/>
    <col min="3" max="3" width="6.140625" style="4" bestFit="1" customWidth="1"/>
    <col min="4" max="6" width="3.5703125" style="4" bestFit="1" customWidth="1"/>
    <col min="7" max="7" width="4.5703125" style="4" customWidth="1"/>
    <col min="8" max="13" width="4.5703125" style="4" bestFit="1" customWidth="1"/>
    <col min="14" max="14" width="6.28515625" style="4" customWidth="1"/>
    <col min="15" max="20" width="4.5703125" style="4" bestFit="1" customWidth="1"/>
    <col min="21" max="21" width="5.7109375" style="4" customWidth="1"/>
    <col min="22" max="24" width="7.5703125" style="4" bestFit="1" customWidth="1"/>
    <col min="25" max="25" width="6.42578125" style="4" customWidth="1"/>
    <col min="26" max="26" width="5.5703125" style="4" customWidth="1"/>
    <col min="27" max="27" width="5.28515625" style="4" customWidth="1"/>
    <col min="28" max="28" width="5.140625" style="4" customWidth="1"/>
    <col min="29" max="29" width="5.5703125" style="4" customWidth="1"/>
    <col min="30" max="30" width="7.28515625" style="4" customWidth="1"/>
    <col min="31" max="31" width="7.42578125" style="4" customWidth="1"/>
    <col min="32" max="36" width="4.5703125" style="4" bestFit="1" customWidth="1"/>
    <col min="37" max="46" width="5.5703125" style="4" bestFit="1" customWidth="1"/>
    <col min="47" max="47" width="8.85546875" style="4" bestFit="1" customWidth="1"/>
    <col min="48" max="48" width="6.140625" style="4" bestFit="1" customWidth="1"/>
    <col min="49" max="49" width="6.5703125" style="4" bestFit="1" customWidth="1"/>
    <col min="50" max="50" width="7.42578125" style="4" bestFit="1" customWidth="1"/>
    <col min="51" max="16384" width="9.140625" style="4"/>
  </cols>
  <sheetData>
    <row r="2" spans="2:62" x14ac:dyDescent="0.2">
      <c r="B2" s="56" t="s">
        <v>178</v>
      </c>
    </row>
    <row r="3" spans="2:62" ht="12.75" customHeight="1" x14ac:dyDescent="0.2">
      <c r="T3" s="710"/>
      <c r="U3" s="711"/>
      <c r="V3" s="711"/>
      <c r="W3" s="711"/>
      <c r="X3" s="711"/>
      <c r="Z3" s="712"/>
      <c r="AA3" s="712"/>
      <c r="AB3" s="712"/>
      <c r="AC3" s="712"/>
    </row>
    <row r="4" spans="2:62" ht="12.75" customHeight="1" x14ac:dyDescent="0.2">
      <c r="B4" s="189" t="s">
        <v>65</v>
      </c>
      <c r="C4" s="197"/>
      <c r="D4" s="673" t="s">
        <v>141</v>
      </c>
      <c r="E4" s="674"/>
      <c r="F4" s="674"/>
      <c r="G4" s="674"/>
      <c r="H4" s="675"/>
      <c r="I4" s="673" t="s">
        <v>142</v>
      </c>
      <c r="J4" s="674"/>
      <c r="K4" s="674"/>
      <c r="L4" s="674"/>
      <c r="M4" s="675"/>
      <c r="N4" s="676" t="s">
        <v>136</v>
      </c>
      <c r="O4" s="672" t="s">
        <v>163</v>
      </c>
      <c r="P4" s="671"/>
      <c r="Q4" s="671"/>
      <c r="R4" s="671"/>
      <c r="S4" s="678"/>
      <c r="T4" s="709" t="s">
        <v>132</v>
      </c>
      <c r="U4" s="671"/>
      <c r="V4" s="671"/>
      <c r="W4" s="671"/>
      <c r="X4" s="671"/>
      <c r="Y4" s="707" t="s">
        <v>166</v>
      </c>
      <c r="Z4" s="672"/>
      <c r="AA4" s="672"/>
      <c r="AB4" s="672"/>
      <c r="AC4" s="713"/>
      <c r="AD4" s="676" t="s">
        <v>2</v>
      </c>
      <c r="AE4" s="679" t="s">
        <v>165</v>
      </c>
      <c r="AF4" s="672" t="s">
        <v>164</v>
      </c>
      <c r="AG4" s="671"/>
      <c r="AH4" s="671"/>
      <c r="AI4" s="671"/>
      <c r="AJ4" s="678"/>
      <c r="AK4" s="671" t="s">
        <v>133</v>
      </c>
      <c r="AL4" s="671"/>
      <c r="AM4" s="671"/>
      <c r="AN4" s="671"/>
      <c r="AO4" s="678"/>
      <c r="AP4" s="681" t="s">
        <v>134</v>
      </c>
      <c r="AQ4" s="681"/>
      <c r="AR4" s="681"/>
      <c r="AS4" s="681"/>
      <c r="AT4" s="682"/>
      <c r="AU4" s="670" t="s">
        <v>135</v>
      </c>
      <c r="AV4" s="670"/>
      <c r="AW4" s="670"/>
      <c r="AX4" s="670"/>
      <c r="AY4" s="186"/>
      <c r="AZ4" s="186"/>
      <c r="BA4" s="186"/>
      <c r="BB4" s="186"/>
      <c r="BC4" s="186"/>
      <c r="BD4" s="186"/>
      <c r="BE4" s="186"/>
      <c r="BF4" s="186"/>
      <c r="BG4" s="186"/>
      <c r="BH4" s="186"/>
      <c r="BI4" s="186"/>
      <c r="BJ4" s="186"/>
    </row>
    <row r="5" spans="2:62" x14ac:dyDescent="0.2">
      <c r="B5" s="192" t="s">
        <v>1</v>
      </c>
      <c r="C5" s="198" t="s">
        <v>0</v>
      </c>
      <c r="D5" s="193">
        <v>1</v>
      </c>
      <c r="E5" s="193">
        <v>2</v>
      </c>
      <c r="F5" s="193">
        <v>3</v>
      </c>
      <c r="G5" s="193">
        <v>4</v>
      </c>
      <c r="H5" s="194">
        <v>5</v>
      </c>
      <c r="I5" s="193">
        <v>1</v>
      </c>
      <c r="J5" s="193">
        <v>2</v>
      </c>
      <c r="K5" s="193">
        <v>3</v>
      </c>
      <c r="L5" s="193">
        <v>4</v>
      </c>
      <c r="M5" s="194">
        <v>5</v>
      </c>
      <c r="N5" s="677"/>
      <c r="O5" s="236">
        <v>1</v>
      </c>
      <c r="P5" s="236">
        <v>2</v>
      </c>
      <c r="Q5" s="236">
        <v>3</v>
      </c>
      <c r="R5" s="236">
        <v>4</v>
      </c>
      <c r="S5" s="243">
        <v>5</v>
      </c>
      <c r="T5" s="254">
        <v>1</v>
      </c>
      <c r="U5" s="255">
        <v>2</v>
      </c>
      <c r="V5" s="255">
        <v>3</v>
      </c>
      <c r="W5" s="255">
        <v>4</v>
      </c>
      <c r="X5" s="256">
        <v>5</v>
      </c>
      <c r="Y5" s="255">
        <v>1</v>
      </c>
      <c r="Z5" s="255">
        <v>2</v>
      </c>
      <c r="AA5" s="255">
        <v>3</v>
      </c>
      <c r="AB5" s="255">
        <v>4</v>
      </c>
      <c r="AC5" s="256">
        <v>5</v>
      </c>
      <c r="AD5" s="676"/>
      <c r="AE5" s="680"/>
      <c r="AF5" s="254">
        <v>1</v>
      </c>
      <c r="AG5" s="255">
        <v>2</v>
      </c>
      <c r="AH5" s="255">
        <v>3</v>
      </c>
      <c r="AI5" s="255">
        <v>4</v>
      </c>
      <c r="AJ5" s="256">
        <v>5</v>
      </c>
      <c r="AK5" s="270">
        <v>1</v>
      </c>
      <c r="AL5" s="193">
        <v>2</v>
      </c>
      <c r="AM5" s="193">
        <v>3</v>
      </c>
      <c r="AN5" s="193">
        <v>4</v>
      </c>
      <c r="AO5" s="194">
        <v>5</v>
      </c>
      <c r="AP5" s="255">
        <v>1</v>
      </c>
      <c r="AQ5" s="255">
        <v>2</v>
      </c>
      <c r="AR5" s="255">
        <v>3</v>
      </c>
      <c r="AS5" s="255">
        <v>4</v>
      </c>
      <c r="AT5" s="256">
        <v>5</v>
      </c>
      <c r="AU5" s="271" t="s">
        <v>137</v>
      </c>
      <c r="AV5" s="255" t="s">
        <v>138</v>
      </c>
      <c r="AW5" s="255" t="s">
        <v>139</v>
      </c>
      <c r="AX5" s="255" t="s">
        <v>140</v>
      </c>
      <c r="AY5" s="186"/>
      <c r="AZ5" s="186"/>
      <c r="BA5" s="186"/>
      <c r="BB5" s="186"/>
      <c r="BC5" s="186"/>
      <c r="BD5" s="186"/>
      <c r="BE5" s="186"/>
      <c r="BF5" s="186"/>
      <c r="BG5" s="186"/>
      <c r="BH5" s="186"/>
      <c r="BI5" s="186"/>
      <c r="BJ5" s="186"/>
    </row>
    <row r="6" spans="2:62" x14ac:dyDescent="0.2">
      <c r="B6" s="190">
        <v>1</v>
      </c>
      <c r="C6" s="197" t="s">
        <v>6</v>
      </c>
      <c r="D6" s="191">
        <f>Baseline!AL31</f>
        <v>0.32584257613541145</v>
      </c>
      <c r="E6" s="191">
        <f>Baseline!AM31</f>
        <v>0.82008604845897226</v>
      </c>
      <c r="F6" s="191">
        <f>Baseline!AN31</f>
        <v>1.5541324044470577</v>
      </c>
      <c r="G6" s="191">
        <f>Baseline!AO31</f>
        <v>2.9452123165502546</v>
      </c>
      <c r="H6" s="195">
        <f>Baseline!AP31</f>
        <v>7.4125596452093143</v>
      </c>
      <c r="I6" s="191">
        <f>IF(D6+'Non-travel METs'!D6&gt;2.5, D6+'Non-travel METs'!D6, 0.1)</f>
        <v>0.1</v>
      </c>
      <c r="J6" s="191">
        <f>IF(E6+'Non-travel METs'!E6&gt;2.5, E6+'Non-travel METs'!E6, 0.1)</f>
        <v>0.1</v>
      </c>
      <c r="K6" s="191">
        <f>IF(F6+'Non-travel METs'!F6&gt;2.5, F6+'Non-travel METs'!F6, 0.1)</f>
        <v>0.1</v>
      </c>
      <c r="L6" s="191">
        <f>IF(G6+'Non-travel METs'!G6&gt;2.5, G6+'Non-travel METs'!G6, 0.1)</f>
        <v>2.9452123165502546</v>
      </c>
      <c r="M6" s="196">
        <f>IF(H6+'Non-travel METs'!H6&gt;2.5, H6+'Non-travel METs'!H6, 0.1)</f>
        <v>7.4125596452093143</v>
      </c>
      <c r="N6" s="241">
        <f>'Phy activity RRs'!$F$12</f>
        <v>0.9244331578735252</v>
      </c>
      <c r="O6" s="234">
        <f>$N6^(I6^0.5)</f>
        <v>0.97545870827357695</v>
      </c>
      <c r="P6" s="234">
        <f t="shared" ref="P6:S21" si="0">$N6^(J6^0.5)</f>
        <v>0.97545870827357695</v>
      </c>
      <c r="Q6" s="234">
        <f t="shared" si="0"/>
        <v>0.97545870827357695</v>
      </c>
      <c r="R6" s="234">
        <f t="shared" si="0"/>
        <v>0.87384992174065279</v>
      </c>
      <c r="S6" s="244">
        <f t="shared" si="0"/>
        <v>0.80740720413251887</v>
      </c>
      <c r="T6" s="248"/>
      <c r="U6" s="248"/>
      <c r="V6" s="248"/>
      <c r="W6" s="248"/>
      <c r="X6" s="249"/>
      <c r="Y6" s="235">
        <f>O6/$O6</f>
        <v>1</v>
      </c>
      <c r="Z6" s="235">
        <f t="shared" ref="Z6:AC21" si="1">P6/$O6</f>
        <v>1</v>
      </c>
      <c r="AA6" s="235">
        <f t="shared" si="1"/>
        <v>1</v>
      </c>
      <c r="AB6" s="235">
        <f t="shared" si="1"/>
        <v>0.89583486653908984</v>
      </c>
      <c r="AC6" s="259">
        <f t="shared" si="1"/>
        <v>0.82772053525619216</v>
      </c>
      <c r="AD6" s="262"/>
      <c r="AE6" s="263"/>
      <c r="AF6" s="187">
        <f>GBDUS!K75/(Y6+Z6+AA6+AB6+AC6)</f>
        <v>0</v>
      </c>
      <c r="AG6" s="187">
        <f>$AF6*Z6</f>
        <v>0</v>
      </c>
      <c r="AH6" s="187">
        <f t="shared" ref="AH6:AJ21" si="2">$AF6*AA6</f>
        <v>0</v>
      </c>
      <c r="AI6" s="187">
        <f t="shared" si="2"/>
        <v>0</v>
      </c>
      <c r="AJ6" s="265">
        <f t="shared" si="2"/>
        <v>0</v>
      </c>
      <c r="AK6" s="274">
        <f>GBDUS!L75/(Y6+Z6+AA6+AB6+AC6)</f>
        <v>0.97498429827145261</v>
      </c>
      <c r="AL6" s="274">
        <f>$AK6*Z6</f>
        <v>0.97498429827145261</v>
      </c>
      <c r="AM6" s="274">
        <f t="shared" ref="AM6:AO21" si="3">$AK6*AA6</f>
        <v>0.97498429827145261</v>
      </c>
      <c r="AN6" s="274">
        <f t="shared" si="3"/>
        <v>0.87342492871971489</v>
      </c>
      <c r="AO6" s="276">
        <f t="shared" si="3"/>
        <v>0.80701452523162964</v>
      </c>
      <c r="AP6" s="274">
        <f>GBDUS!M75/(Y6+Z6+AA6+AB6+AC6)</f>
        <v>2.3048517946226572</v>
      </c>
      <c r="AQ6" s="274">
        <f>$AP6*Z6</f>
        <v>2.3048517946226572</v>
      </c>
      <c r="AR6" s="274">
        <f t="shared" ref="AR6:AT21" si="4">$AP6*AA6</f>
        <v>2.3048517946226572</v>
      </c>
      <c r="AS6" s="274">
        <f t="shared" si="4"/>
        <v>2.0647665998281699</v>
      </c>
      <c r="AT6" s="275">
        <f t="shared" si="4"/>
        <v>1.9077731611312609</v>
      </c>
      <c r="AU6" s="272"/>
      <c r="AV6" s="272"/>
      <c r="AW6" s="272"/>
      <c r="AX6" s="272"/>
    </row>
    <row r="7" spans="2:62" x14ac:dyDescent="0.2">
      <c r="B7" s="190">
        <v>1</v>
      </c>
      <c r="C7" s="197" t="s">
        <v>7</v>
      </c>
      <c r="D7" s="191">
        <f>Baseline!AL32</f>
        <v>0.6753691820387282</v>
      </c>
      <c r="E7" s="191">
        <f>Baseline!AM32</f>
        <v>1.6997804593802961</v>
      </c>
      <c r="F7" s="191">
        <f>Baseline!AN32</f>
        <v>3.221227695962912</v>
      </c>
      <c r="G7" s="191">
        <f>Baseline!AO32</f>
        <v>6.1044988557060549</v>
      </c>
      <c r="H7" s="196">
        <f>Baseline!AP32</f>
        <v>15.363904876316242</v>
      </c>
      <c r="I7" s="191">
        <f>IF(D7+'Non-travel METs'!D7&gt;2.5, D7+'Non-travel METs'!D7, 0.1)</f>
        <v>0.1</v>
      </c>
      <c r="J7" s="191">
        <f>IF(E7+'Non-travel METs'!E7&gt;2.5, E7+'Non-travel METs'!E7, 0.1)</f>
        <v>0.1</v>
      </c>
      <c r="K7" s="191">
        <f>IF(F7+'Non-travel METs'!F7&gt;2.5, F7+'Non-travel METs'!F7, 0.1)</f>
        <v>3.221227695962912</v>
      </c>
      <c r="L7" s="191">
        <f>IF(G7+'Non-travel METs'!G7&gt;2.5, G7+'Non-travel METs'!G7, 0.1)</f>
        <v>6.1044988557060549</v>
      </c>
      <c r="M7" s="196">
        <f>IF(H7+'Non-travel METs'!H7&gt;2.5, H7+'Non-travel METs'!H7, 0.1)</f>
        <v>15.363904876316242</v>
      </c>
      <c r="N7" s="241">
        <f>'Phy activity RRs'!$F$12</f>
        <v>0.9244331578735252</v>
      </c>
      <c r="O7" s="234">
        <f t="shared" ref="O7:O13" si="5">$N7^(I7^0.5)</f>
        <v>0.97545870827357695</v>
      </c>
      <c r="P7" s="234">
        <f t="shared" si="0"/>
        <v>0.97545870827357695</v>
      </c>
      <c r="Q7" s="234">
        <f t="shared" si="0"/>
        <v>0.8684686136557298</v>
      </c>
      <c r="R7" s="234">
        <f t="shared" si="0"/>
        <v>0.82354562492518257</v>
      </c>
      <c r="S7" s="244">
        <f t="shared" si="0"/>
        <v>0.73492475724243278</v>
      </c>
      <c r="T7" s="248"/>
      <c r="U7" s="248"/>
      <c r="V7" s="248"/>
      <c r="W7" s="248"/>
      <c r="X7" s="249"/>
      <c r="Y7" s="235">
        <f t="shared" ref="Y7:Y21" si="6">O7/$O7</f>
        <v>1</v>
      </c>
      <c r="Z7" s="235">
        <f t="shared" si="1"/>
        <v>1</v>
      </c>
      <c r="AA7" s="235">
        <f t="shared" si="1"/>
        <v>0.89031817163516391</v>
      </c>
      <c r="AB7" s="235">
        <f t="shared" si="1"/>
        <v>0.84426497804580691</v>
      </c>
      <c r="AC7" s="246">
        <f t="shared" si="1"/>
        <v>0.7534145228383321</v>
      </c>
      <c r="AD7" s="263"/>
      <c r="AE7" s="263"/>
      <c r="AF7" s="187">
        <f>GBDUS!K76/(Y7+Z7+AA7+AB7+AC7)</f>
        <v>0</v>
      </c>
      <c r="AG7" s="187">
        <f t="shared" ref="AG7:AG21" si="7">$AF7*Z7</f>
        <v>0</v>
      </c>
      <c r="AH7" s="187">
        <f t="shared" si="2"/>
        <v>0</v>
      </c>
      <c r="AI7" s="187">
        <f t="shared" si="2"/>
        <v>0</v>
      </c>
      <c r="AJ7" s="265">
        <f t="shared" si="2"/>
        <v>0</v>
      </c>
      <c r="AK7" s="274">
        <f>GBDUS!L76/(Y7+Z7+AA7+AB7+AC7)</f>
        <v>0.82442228696071906</v>
      </c>
      <c r="AL7" s="274">
        <f t="shared" ref="AL7:AL21" si="8">$AK7*Z7</f>
        <v>0.82442228696071906</v>
      </c>
      <c r="AM7" s="274">
        <f t="shared" si="3"/>
        <v>0.73399814318214784</v>
      </c>
      <c r="AN7" s="274">
        <f t="shared" si="3"/>
        <v>0.69603086400136538</v>
      </c>
      <c r="AO7" s="276">
        <f t="shared" si="3"/>
        <v>0.6211317239477967</v>
      </c>
      <c r="AP7" s="274">
        <f>GBDUS!M76/(Y7+Z7+AA7+AB7+AC7)</f>
        <v>5.3044756887723024</v>
      </c>
      <c r="AQ7" s="274">
        <f t="shared" ref="AQ7:AQ21" si="9">$AP7*Z7</f>
        <v>5.3044756887723024</v>
      </c>
      <c r="AR7" s="274">
        <f t="shared" si="4"/>
        <v>4.7226710967109327</v>
      </c>
      <c r="AS7" s="274">
        <f t="shared" si="4"/>
        <v>4.4783830509258644</v>
      </c>
      <c r="AT7" s="276">
        <f t="shared" si="4"/>
        <v>3.996469019963917</v>
      </c>
      <c r="AU7" s="272"/>
      <c r="AV7" s="272"/>
      <c r="AW7" s="272"/>
      <c r="AX7" s="272"/>
    </row>
    <row r="8" spans="2:62" x14ac:dyDescent="0.2">
      <c r="B8" s="190">
        <v>1</v>
      </c>
      <c r="C8" s="197" t="s">
        <v>8</v>
      </c>
      <c r="D8" s="191">
        <f>Baseline!AL33</f>
        <v>0.52336012682040156</v>
      </c>
      <c r="E8" s="191">
        <f>Baseline!AM33</f>
        <v>1.3172015253978522</v>
      </c>
      <c r="F8" s="191">
        <f>Baseline!AN33</f>
        <v>2.4962082669917658</v>
      </c>
      <c r="G8" s="191">
        <f>Baseline!AO33</f>
        <v>4.7305257335744315</v>
      </c>
      <c r="H8" s="196">
        <f>Baseline!AP33</f>
        <v>11.90586632966081</v>
      </c>
      <c r="I8" s="191">
        <f>IF(D8+'Non-travel METs'!D8&gt;2.5, D8+'Non-travel METs'!D8, 0.1)</f>
        <v>65.400860126820405</v>
      </c>
      <c r="J8" s="191">
        <f>IF(E8+'Non-travel METs'!E8&gt;2.5, E8+'Non-travel METs'!E8, 0.1)</f>
        <v>66.194701525397846</v>
      </c>
      <c r="K8" s="191">
        <f>IF(F8+'Non-travel METs'!F8&gt;2.5, F8+'Non-travel METs'!F8, 0.1)</f>
        <v>67.37370826699177</v>
      </c>
      <c r="L8" s="191">
        <f>IF(G8+'Non-travel METs'!G8&gt;2.5, G8+'Non-travel METs'!G8, 0.1)</f>
        <v>69.608025733574436</v>
      </c>
      <c r="M8" s="196">
        <f>IF(H8+'Non-travel METs'!H8&gt;2.5, H8+'Non-travel METs'!H8, 0.1)</f>
        <v>76.783366329660808</v>
      </c>
      <c r="N8" s="241">
        <f>'Phy activity RRs'!$F$12</f>
        <v>0.9244331578735252</v>
      </c>
      <c r="O8" s="234">
        <f t="shared" si="5"/>
        <v>0.52970315752473551</v>
      </c>
      <c r="P8" s="234">
        <f t="shared" si="0"/>
        <v>0.52767042691558375</v>
      </c>
      <c r="Q8" s="234">
        <f t="shared" si="0"/>
        <v>0.52468801261236364</v>
      </c>
      <c r="R8" s="234">
        <f t="shared" si="0"/>
        <v>0.51915203042878744</v>
      </c>
      <c r="S8" s="244">
        <f t="shared" si="0"/>
        <v>0.50231989494512563</v>
      </c>
      <c r="T8" s="248"/>
      <c r="U8" s="248"/>
      <c r="V8" s="248"/>
      <c r="W8" s="248"/>
      <c r="X8" s="249"/>
      <c r="Y8" s="235">
        <f t="shared" si="6"/>
        <v>1</v>
      </c>
      <c r="Z8" s="235">
        <f t="shared" si="1"/>
        <v>0.99616250992602995</v>
      </c>
      <c r="AA8" s="235">
        <f t="shared" si="1"/>
        <v>0.99053215968013619</v>
      </c>
      <c r="AB8" s="235">
        <f t="shared" si="1"/>
        <v>0.98008105682198932</v>
      </c>
      <c r="AC8" s="246">
        <f t="shared" si="1"/>
        <v>0.94830451321534526</v>
      </c>
      <c r="AD8" s="263"/>
      <c r="AE8" s="263"/>
      <c r="AF8" s="187">
        <f>GBDUS!K77/(Y8+Z8+AA8+AB8+AC8)</f>
        <v>0</v>
      </c>
      <c r="AG8" s="187">
        <f t="shared" si="7"/>
        <v>0</v>
      </c>
      <c r="AH8" s="187">
        <f t="shared" si="2"/>
        <v>0</v>
      </c>
      <c r="AI8" s="187">
        <f t="shared" si="2"/>
        <v>0</v>
      </c>
      <c r="AJ8" s="265">
        <f t="shared" si="2"/>
        <v>0</v>
      </c>
      <c r="AK8" s="274">
        <f>GBDUS!L77/(Y8+Z8+AA8+AB8+AC8)</f>
        <v>10.289950955551969</v>
      </c>
      <c r="AL8" s="274">
        <f t="shared" si="8"/>
        <v>10.2504633708984</v>
      </c>
      <c r="AM8" s="274">
        <f t="shared" si="3"/>
        <v>10.192527343005573</v>
      </c>
      <c r="AN8" s="274">
        <f t="shared" si="3"/>
        <v>10.084986007163813</v>
      </c>
      <c r="AO8" s="276">
        <f t="shared" si="3"/>
        <v>9.7580069319144869</v>
      </c>
      <c r="AP8" s="274">
        <f>GBDUS!M77/(Y8+Z8+AA8+AB8+AC8)</f>
        <v>13.685837403407824</v>
      </c>
      <c r="AQ8" s="274">
        <f t="shared" si="9"/>
        <v>13.633318138218279</v>
      </c>
      <c r="AR8" s="274">
        <f t="shared" si="4"/>
        <v>13.556262080228739</v>
      </c>
      <c r="AS8" s="274">
        <f t="shared" si="4"/>
        <v>13.413229985825851</v>
      </c>
      <c r="AT8" s="276">
        <f t="shared" si="4"/>
        <v>12.978341376783021</v>
      </c>
      <c r="AU8" s="272"/>
      <c r="AV8" s="272"/>
      <c r="AW8" s="272"/>
      <c r="AX8" s="272"/>
    </row>
    <row r="9" spans="2:62" x14ac:dyDescent="0.2">
      <c r="B9" s="190">
        <v>1</v>
      </c>
      <c r="C9" s="197" t="s">
        <v>9</v>
      </c>
      <c r="D9" s="191">
        <f>Baseline!AL34</f>
        <v>0.45100860513125557</v>
      </c>
      <c r="E9" s="191">
        <f>Baseline!AM34</f>
        <v>1.1351060048376795</v>
      </c>
      <c r="F9" s="191">
        <f>Baseline!AN34</f>
        <v>2.151121858389879</v>
      </c>
      <c r="G9" s="191">
        <f>Baseline!AO34</f>
        <v>4.0765578103909643</v>
      </c>
      <c r="H9" s="196">
        <f>Baseline!AP34</f>
        <v>10.259948916708694</v>
      </c>
      <c r="I9" s="191">
        <f>IF(D9+'Non-travel METs'!D9&gt;2.5, D9+'Non-travel METs'!D9, 0.1)</f>
        <v>68.144758605131244</v>
      </c>
      <c r="J9" s="191">
        <f>IF(E9+'Non-travel METs'!E9&gt;2.5, E9+'Non-travel METs'!E9, 0.1)</f>
        <v>68.828856004837675</v>
      </c>
      <c r="K9" s="191">
        <f>IF(F9+'Non-travel METs'!F9&gt;2.5, F9+'Non-travel METs'!F9, 0.1)</f>
        <v>69.84487185838988</v>
      </c>
      <c r="L9" s="191">
        <f>IF(G9+'Non-travel METs'!G9&gt;2.5, G9+'Non-travel METs'!G9, 0.1)</f>
        <v>71.77030781039096</v>
      </c>
      <c r="M9" s="196">
        <f>IF(H9+'Non-travel METs'!H9&gt;2.5, H9+'Non-travel METs'!H9, 0.1)</f>
        <v>77.953698916708689</v>
      </c>
      <c r="N9" s="241">
        <f>'Phy activity RRs'!$F$12</f>
        <v>0.9244331578735252</v>
      </c>
      <c r="O9" s="234">
        <f t="shared" si="5"/>
        <v>0.52276069038535133</v>
      </c>
      <c r="P9" s="234">
        <f t="shared" si="0"/>
        <v>0.52106570664474072</v>
      </c>
      <c r="Q9" s="234">
        <f t="shared" si="0"/>
        <v>0.51857383843436211</v>
      </c>
      <c r="R9" s="234">
        <f t="shared" si="0"/>
        <v>0.51393284490464219</v>
      </c>
      <c r="S9" s="244">
        <f t="shared" si="0"/>
        <v>0.49970094139198723</v>
      </c>
      <c r="T9" s="248"/>
      <c r="U9" s="248"/>
      <c r="V9" s="248"/>
      <c r="W9" s="248"/>
      <c r="X9" s="249"/>
      <c r="Y9" s="235">
        <f t="shared" si="6"/>
        <v>1</v>
      </c>
      <c r="Z9" s="235">
        <f t="shared" si="1"/>
        <v>0.99675762969216153</v>
      </c>
      <c r="AA9" s="235">
        <f t="shared" si="1"/>
        <v>0.99199088219907483</v>
      </c>
      <c r="AB9" s="235">
        <f t="shared" si="1"/>
        <v>0.98311302735061867</v>
      </c>
      <c r="AC9" s="246">
        <f t="shared" si="1"/>
        <v>0.95588851759996396</v>
      </c>
      <c r="AD9" s="263"/>
      <c r="AE9" s="263"/>
      <c r="AF9" s="187">
        <f>GBDUS!K78/(Y9+Z9+AA9+AB9+AC9)</f>
        <v>0.60879711133780423</v>
      </c>
      <c r="AG9" s="187">
        <f t="shared" si="7"/>
        <v>0.60682316566050465</v>
      </c>
      <c r="AH9" s="187">
        <f t="shared" si="2"/>
        <v>0.60392118355623681</v>
      </c>
      <c r="AI9" s="187">
        <f t="shared" si="2"/>
        <v>0.59851637116962042</v>
      </c>
      <c r="AJ9" s="265">
        <f t="shared" si="2"/>
        <v>0.58194216827583389</v>
      </c>
      <c r="AK9" s="274">
        <f>GBDUS!L78/(Y9+Z9+AA9+AB9+AC9)</f>
        <v>28.757344102357191</v>
      </c>
      <c r="AL9" s="274">
        <f t="shared" si="8"/>
        <v>28.664102143707414</v>
      </c>
      <c r="AM9" s="274">
        <f t="shared" si="3"/>
        <v>28.527023145799671</v>
      </c>
      <c r="AN9" s="274">
        <f t="shared" si="3"/>
        <v>28.271719619031838</v>
      </c>
      <c r="AO9" s="276">
        <f t="shared" si="3"/>
        <v>27.488815024114281</v>
      </c>
      <c r="AP9" s="274">
        <f>GBDUS!M78/(Y9+Z9+AA9+AB9+AC9)</f>
        <v>34.249100447903139</v>
      </c>
      <c r="AQ9" s="274">
        <f t="shared" si="9"/>
        <v>34.138052181540679</v>
      </c>
      <c r="AR9" s="274">
        <f t="shared" si="4"/>
        <v>33.974795367840166</v>
      </c>
      <c r="AS9" s="274">
        <f t="shared" si="4"/>
        <v>33.670736825373481</v>
      </c>
      <c r="AT9" s="276">
        <f t="shared" si="4"/>
        <v>32.738321856278397</v>
      </c>
      <c r="AU9" s="272"/>
      <c r="AV9" s="272"/>
      <c r="AW9" s="272"/>
      <c r="AX9" s="272"/>
    </row>
    <row r="10" spans="2:62" x14ac:dyDescent="0.2">
      <c r="B10" s="190">
        <v>1</v>
      </c>
      <c r="C10" s="197" t="s">
        <v>10</v>
      </c>
      <c r="D10" s="191">
        <f>Baseline!AL35</f>
        <v>0.38443114877047524</v>
      </c>
      <c r="E10" s="191">
        <f>Baseline!AM35</f>
        <v>0.96754274852254363</v>
      </c>
      <c r="F10" s="191">
        <f>Baseline!AN35</f>
        <v>1.8335753193122197</v>
      </c>
      <c r="G10" s="191">
        <f>Baseline!AO35</f>
        <v>3.4747802685976854</v>
      </c>
      <c r="H10" s="196">
        <f>Baseline!AP35</f>
        <v>8.7453851290239513</v>
      </c>
      <c r="I10" s="191">
        <f>IF(D10+'Non-travel METs'!D10&gt;2.5, D10+'Non-travel METs'!D10, 0.1)</f>
        <v>58.159431148770473</v>
      </c>
      <c r="J10" s="191">
        <f>IF(E10+'Non-travel METs'!E10&gt;2.5, E10+'Non-travel METs'!E10, 0.1)</f>
        <v>58.742542748522546</v>
      </c>
      <c r="K10" s="191">
        <f>IF(F10+'Non-travel METs'!F10&gt;2.5, F10+'Non-travel METs'!F10, 0.1)</f>
        <v>59.608575319312216</v>
      </c>
      <c r="L10" s="191">
        <f>IF(G10+'Non-travel METs'!G10&gt;2.5, G10+'Non-travel METs'!G10, 0.1)</f>
        <v>61.249780268597682</v>
      </c>
      <c r="M10" s="196">
        <f>IF(H10+'Non-travel METs'!H10&gt;2.5, H10+'Non-travel METs'!H10, 0.1)</f>
        <v>66.52038512902395</v>
      </c>
      <c r="N10" s="241">
        <f>'Phy activity RRs'!$F$12</f>
        <v>0.9244331578735252</v>
      </c>
      <c r="O10" s="234">
        <f t="shared" si="5"/>
        <v>0.54923565086774007</v>
      </c>
      <c r="P10" s="234">
        <f t="shared" si="0"/>
        <v>0.54759234986322125</v>
      </c>
      <c r="Q10" s="234">
        <f t="shared" si="0"/>
        <v>0.54517569274859334</v>
      </c>
      <c r="R10" s="234">
        <f t="shared" si="0"/>
        <v>0.54067232049876723</v>
      </c>
      <c r="S10" s="244">
        <f t="shared" si="0"/>
        <v>0.52684224718685957</v>
      </c>
      <c r="T10" s="248"/>
      <c r="U10" s="248"/>
      <c r="V10" s="248"/>
      <c r="W10" s="248"/>
      <c r="X10" s="249"/>
      <c r="Y10" s="235">
        <f t="shared" si="6"/>
        <v>1</v>
      </c>
      <c r="Z10" s="235">
        <f t="shared" si="1"/>
        <v>0.99700802196302707</v>
      </c>
      <c r="AA10" s="235">
        <f t="shared" si="1"/>
        <v>0.99260798509213233</v>
      </c>
      <c r="AB10" s="235">
        <f t="shared" si="1"/>
        <v>0.98440864070742029</v>
      </c>
      <c r="AC10" s="246">
        <f t="shared" si="1"/>
        <v>0.95922805876584838</v>
      </c>
      <c r="AD10" s="263"/>
      <c r="AE10" s="263"/>
      <c r="AF10" s="187">
        <f>GBDUS!K79/(Y10+Z10+AA10+AB10+AC10)</f>
        <v>2.6351782025673303</v>
      </c>
      <c r="AG10" s="187">
        <f t="shared" si="7"/>
        <v>2.6272938072617391</v>
      </c>
      <c r="AH10" s="187">
        <f t="shared" si="2"/>
        <v>2.6156989260090646</v>
      </c>
      <c r="AI10" s="187">
        <f t="shared" si="2"/>
        <v>2.5940921924111287</v>
      </c>
      <c r="AJ10" s="265">
        <f t="shared" si="2"/>
        <v>2.5277368717507378</v>
      </c>
      <c r="AK10" s="274">
        <f>GBDUS!L79/(Y10+Z10+AA10+AB10+AC10)</f>
        <v>88.034072252212653</v>
      </c>
      <c r="AL10" s="274">
        <f t="shared" si="8"/>
        <v>87.770676241528747</v>
      </c>
      <c r="AM10" s="274">
        <f t="shared" si="3"/>
        <v>87.383323077724</v>
      </c>
      <c r="AN10" s="274">
        <f t="shared" si="3"/>
        <v>86.661501401739486</v>
      </c>
      <c r="AO10" s="276">
        <f t="shared" si="3"/>
        <v>84.444752231742385</v>
      </c>
      <c r="AP10" s="274">
        <f>GBDUS!M79/(Y10+Z10+AA10+AB10+AC10)</f>
        <v>75.136836565739316</v>
      </c>
      <c r="AQ10" s="274">
        <f t="shared" si="9"/>
        <v>74.912028800966993</v>
      </c>
      <c r="AR10" s="274">
        <f t="shared" si="4"/>
        <v>74.581423949715358</v>
      </c>
      <c r="AS10" s="274">
        <f t="shared" si="4"/>
        <v>73.965351150735032</v>
      </c>
      <c r="AT10" s="276">
        <f t="shared" si="4"/>
        <v>72.073361880760942</v>
      </c>
      <c r="AU10" s="272"/>
      <c r="AV10" s="272"/>
      <c r="AW10" s="272"/>
      <c r="AX10" s="272"/>
    </row>
    <row r="11" spans="2:62" x14ac:dyDescent="0.2">
      <c r="B11" s="190">
        <v>1</v>
      </c>
      <c r="C11" s="197" t="s">
        <v>11</v>
      </c>
      <c r="D11" s="191">
        <f>Baseline!AL36</f>
        <v>0.31197165587745512</v>
      </c>
      <c r="E11" s="191">
        <f>Baseline!AM36</f>
        <v>0.78517548422960748</v>
      </c>
      <c r="F11" s="191">
        <f>Baseline!AN36</f>
        <v>1.4879739333593738</v>
      </c>
      <c r="G11" s="191">
        <f>Baseline!AO36</f>
        <v>2.8198364197900889</v>
      </c>
      <c r="H11" s="196">
        <f>Baseline!AP36</f>
        <v>7.0970114901293062</v>
      </c>
      <c r="I11" s="191">
        <f>IF(D11+'Non-travel METs'!D11&gt;2.5, D11+'Non-travel METs'!D11, 0.1)</f>
        <v>23.395304989210754</v>
      </c>
      <c r="J11" s="191">
        <f>IF(E11+'Non-travel METs'!E11&gt;2.5, E11+'Non-travel METs'!E11, 0.1)</f>
        <v>23.868508817562908</v>
      </c>
      <c r="K11" s="191">
        <f>IF(F11+'Non-travel METs'!F11&gt;2.5, F11+'Non-travel METs'!F11, 0.1)</f>
        <v>24.571307266692674</v>
      </c>
      <c r="L11" s="191">
        <f>IF(G11+'Non-travel METs'!G11&gt;2.5, G11+'Non-travel METs'!G11, 0.1)</f>
        <v>25.90316975312339</v>
      </c>
      <c r="M11" s="196">
        <f>IF(H11+'Non-travel METs'!H11&gt;2.5, H11+'Non-travel METs'!H11, 0.1)</f>
        <v>30.180344823462605</v>
      </c>
      <c r="N11" s="241">
        <f>'Phy activity RRs'!$F$12</f>
        <v>0.9244331578735252</v>
      </c>
      <c r="O11" s="234">
        <f t="shared" si="5"/>
        <v>0.68382397384723104</v>
      </c>
      <c r="P11" s="234">
        <f t="shared" si="0"/>
        <v>0.68121379505924595</v>
      </c>
      <c r="Q11" s="234">
        <f t="shared" si="0"/>
        <v>0.67740249216372717</v>
      </c>
      <c r="R11" s="234">
        <f t="shared" si="0"/>
        <v>0.67038285135035403</v>
      </c>
      <c r="S11" s="244">
        <f t="shared" si="0"/>
        <v>0.64942879428446187</v>
      </c>
      <c r="T11" s="248"/>
      <c r="U11" s="248"/>
      <c r="V11" s="248"/>
      <c r="W11" s="248"/>
      <c r="X11" s="249"/>
      <c r="Y11" s="235">
        <f t="shared" si="6"/>
        <v>1</v>
      </c>
      <c r="Z11" s="235">
        <f t="shared" si="1"/>
        <v>0.99618296683384755</v>
      </c>
      <c r="AA11" s="235">
        <f t="shared" si="1"/>
        <v>0.99060945224342423</v>
      </c>
      <c r="AB11" s="235">
        <f t="shared" si="1"/>
        <v>0.98034417772565574</v>
      </c>
      <c r="AC11" s="246">
        <f t="shared" si="1"/>
        <v>0.94970170558768219</v>
      </c>
      <c r="AD11" s="263"/>
      <c r="AE11" s="263"/>
      <c r="AF11" s="187">
        <f>GBDUS!K80/(Y11+Z11+AA11+AB11+AC11)</f>
        <v>2.8473582288018457</v>
      </c>
      <c r="AG11" s="187">
        <f t="shared" si="7"/>
        <v>2.8364897680065919</v>
      </c>
      <c r="AH11" s="187">
        <f t="shared" si="2"/>
        <v>2.8206199753742029</v>
      </c>
      <c r="AI11" s="187">
        <f t="shared" si="2"/>
        <v>2.7913910615051249</v>
      </c>
      <c r="AJ11" s="265">
        <f t="shared" si="2"/>
        <v>2.7041409663122349</v>
      </c>
      <c r="AK11" s="274">
        <f>GBDUS!L80/(Y11+Z11+AA11+AB11+AC11)</f>
        <v>65.987104730987809</v>
      </c>
      <c r="AL11" s="274">
        <f t="shared" si="8"/>
        <v>65.735229763691251</v>
      </c>
      <c r="AM11" s="274">
        <f t="shared" si="3"/>
        <v>65.367449672693297</v>
      </c>
      <c r="AN11" s="274">
        <f t="shared" si="3"/>
        <v>64.690073927996977</v>
      </c>
      <c r="AO11" s="276">
        <f t="shared" si="3"/>
        <v>62.668065909812135</v>
      </c>
      <c r="AP11" s="274">
        <f>GBDUS!M80/(Y11+Z11+AA11+AB11+AC11)</f>
        <v>42.08234726813803</v>
      </c>
      <c r="AQ11" s="274">
        <f t="shared" si="9"/>
        <v>41.921717552906003</v>
      </c>
      <c r="AR11" s="274">
        <f t="shared" si="4"/>
        <v>41.687170976407771</v>
      </c>
      <c r="AS11" s="274">
        <f t="shared" si="4"/>
        <v>41.255184129348272</v>
      </c>
      <c r="AT11" s="276">
        <f t="shared" si="4"/>
        <v>39.965676975683827</v>
      </c>
      <c r="AU11" s="272"/>
      <c r="AV11" s="272"/>
      <c r="AW11" s="272"/>
      <c r="AX11" s="272"/>
    </row>
    <row r="12" spans="2:62" x14ac:dyDescent="0.2">
      <c r="B12" s="190">
        <v>1</v>
      </c>
      <c r="C12" s="197" t="s">
        <v>12</v>
      </c>
      <c r="D12" s="191">
        <f>Baseline!AL37</f>
        <v>0.18042378449691091</v>
      </c>
      <c r="E12" s="191">
        <f>Baseline!AM37</f>
        <v>0.45409360013958189</v>
      </c>
      <c r="F12" s="191">
        <f>Baseline!AN37</f>
        <v>0.86054576828257767</v>
      </c>
      <c r="G12" s="191">
        <f>Baseline!AO37</f>
        <v>1.6308069945963135</v>
      </c>
      <c r="H12" s="196">
        <f>Baseline!AP37</f>
        <v>4.1044423348836867</v>
      </c>
      <c r="I12" s="191">
        <f>IF(D12+'Non-travel METs'!D12&gt;2.5, D12+'Non-travel METs'!D12, 0.1)</f>
        <v>0.1</v>
      </c>
      <c r="J12" s="191">
        <f>IF(E12+'Non-travel METs'!E12&gt;2.5, E12+'Non-travel METs'!E12, 0.1)</f>
        <v>0.1</v>
      </c>
      <c r="K12" s="191">
        <f>IF(F12+'Non-travel METs'!F12&gt;2.5, F12+'Non-travel METs'!F12, 0.1)</f>
        <v>2.7355457682825777</v>
      </c>
      <c r="L12" s="191">
        <f>IF(G12+'Non-travel METs'!G12&gt;2.5, G12+'Non-travel METs'!G12, 0.1)</f>
        <v>3.5058069945963135</v>
      </c>
      <c r="M12" s="196">
        <f>IF(H12+'Non-travel METs'!H12&gt;2.5, H12+'Non-travel METs'!H12, 0.1)</f>
        <v>5.9794423348836867</v>
      </c>
      <c r="N12" s="241">
        <f>'Phy activity RRs'!$F$12</f>
        <v>0.9244331578735252</v>
      </c>
      <c r="O12" s="234">
        <f t="shared" si="5"/>
        <v>0.97545870827357695</v>
      </c>
      <c r="P12" s="234">
        <f t="shared" si="0"/>
        <v>0.97545870827357695</v>
      </c>
      <c r="Q12" s="234">
        <f t="shared" si="0"/>
        <v>0.87813210821879562</v>
      </c>
      <c r="R12" s="234">
        <f t="shared" si="0"/>
        <v>0.86318919350535062</v>
      </c>
      <c r="S12" s="244">
        <f t="shared" si="0"/>
        <v>0.82519339432651673</v>
      </c>
      <c r="T12" s="248"/>
      <c r="U12" s="248"/>
      <c r="V12" s="248"/>
      <c r="W12" s="248"/>
      <c r="X12" s="249"/>
      <c r="Y12" s="235">
        <f t="shared" si="6"/>
        <v>1</v>
      </c>
      <c r="Z12" s="235">
        <f t="shared" si="1"/>
        <v>1</v>
      </c>
      <c r="AA12" s="235">
        <f t="shared" si="1"/>
        <v>0.90022478734437095</v>
      </c>
      <c r="AB12" s="235">
        <f t="shared" si="1"/>
        <v>0.88490592803571622</v>
      </c>
      <c r="AC12" s="246">
        <f t="shared" si="1"/>
        <v>0.84595420321480508</v>
      </c>
      <c r="AD12" s="263"/>
      <c r="AE12" s="263"/>
      <c r="AF12" s="187">
        <f>GBDUS!K81/(Y12+Z12+AA12+AB12+AC12)</f>
        <v>5.3983030843634792</v>
      </c>
      <c r="AG12" s="187">
        <f t="shared" si="7"/>
        <v>5.3983030843634792</v>
      </c>
      <c r="AH12" s="187">
        <f t="shared" si="2"/>
        <v>4.8596862461415746</v>
      </c>
      <c r="AI12" s="187">
        <f t="shared" si="2"/>
        <v>4.7769904006867341</v>
      </c>
      <c r="AJ12" s="265">
        <f t="shared" si="2"/>
        <v>4.5667171844447321</v>
      </c>
      <c r="AK12" s="274">
        <f>GBDUS!L81/(Y12+Z12+AA12+AB12+AC12)</f>
        <v>79.595215424418967</v>
      </c>
      <c r="AL12" s="274">
        <f t="shared" si="8"/>
        <v>79.595215424418967</v>
      </c>
      <c r="AM12" s="274">
        <f t="shared" si="3"/>
        <v>71.653585879076957</v>
      </c>
      <c r="AN12" s="274">
        <f t="shared" si="3"/>
        <v>70.434277972348227</v>
      </c>
      <c r="AO12" s="276">
        <f t="shared" si="3"/>
        <v>67.333907044075104</v>
      </c>
      <c r="AP12" s="274">
        <f>GBDUS!M81/(Y12+Z12+AA12+AB12+AC12)</f>
        <v>46.333487810372553</v>
      </c>
      <c r="AQ12" s="274">
        <f t="shared" si="9"/>
        <v>46.333487810372553</v>
      </c>
      <c r="AR12" s="274">
        <f t="shared" si="4"/>
        <v>41.710554211015634</v>
      </c>
      <c r="AS12" s="274">
        <f t="shared" si="4"/>
        <v>41.000778029969268</v>
      </c>
      <c r="AT12" s="276">
        <f t="shared" si="4"/>
        <v>39.196008762786597</v>
      </c>
      <c r="AU12" s="272"/>
      <c r="AV12" s="272"/>
      <c r="AW12" s="272"/>
      <c r="AX12" s="272"/>
    </row>
    <row r="13" spans="2:62" x14ac:dyDescent="0.2">
      <c r="B13" s="199">
        <v>1</v>
      </c>
      <c r="C13" s="200" t="s">
        <v>13</v>
      </c>
      <c r="D13" s="201">
        <f>Baseline!AL38</f>
        <v>0.16596673213865387</v>
      </c>
      <c r="E13" s="201">
        <f>Baseline!AM38</f>
        <v>0.41770784883150103</v>
      </c>
      <c r="F13" s="201">
        <f>Baseline!AN38</f>
        <v>0.79159169294584864</v>
      </c>
      <c r="G13" s="201">
        <f>Baseline!AO38</f>
        <v>1.5001331914010683</v>
      </c>
      <c r="H13" s="202">
        <f>Baseline!AP38</f>
        <v>3.7755603202295913</v>
      </c>
      <c r="I13" s="203">
        <f>IF(D13+'Non-travel METs'!D13&gt;2.5, D13+'Non-travel METs'!D13, 0.1)</f>
        <v>0.1</v>
      </c>
      <c r="J13" s="201">
        <f>IF(E13+'Non-travel METs'!E13&gt;2.5, E13+'Non-travel METs'!E13, 0.1)</f>
        <v>0.1</v>
      </c>
      <c r="K13" s="201">
        <f>IF(F13+'Non-travel METs'!F13&gt;2.5, F13+'Non-travel METs'!F13, 0.1)</f>
        <v>0.1</v>
      </c>
      <c r="L13" s="201">
        <f>IF(G13+'Non-travel METs'!G13&gt;2.5, G13+'Non-travel METs'!G13, 0.1)</f>
        <v>0.1</v>
      </c>
      <c r="M13" s="202">
        <f>IF(H13+'Non-travel METs'!H13&gt;2.5, H13+'Non-travel METs'!H13, 0.1)</f>
        <v>4.1088936535629239</v>
      </c>
      <c r="N13" s="241">
        <f>'Phy activity RRs'!$F$12</f>
        <v>0.9244331578735252</v>
      </c>
      <c r="O13" s="238">
        <f t="shared" si="5"/>
        <v>0.97545870827357695</v>
      </c>
      <c r="P13" s="238">
        <f t="shared" si="0"/>
        <v>0.97545870827357695</v>
      </c>
      <c r="Q13" s="238">
        <f t="shared" si="0"/>
        <v>0.97545870827357695</v>
      </c>
      <c r="R13" s="238">
        <f t="shared" si="0"/>
        <v>0.97545870827357695</v>
      </c>
      <c r="S13" s="245">
        <f t="shared" si="0"/>
        <v>0.85276286880504915</v>
      </c>
      <c r="T13" s="248"/>
      <c r="U13" s="248"/>
      <c r="V13" s="248"/>
      <c r="W13" s="248"/>
      <c r="X13" s="249"/>
      <c r="Y13" s="260">
        <f t="shared" si="6"/>
        <v>1</v>
      </c>
      <c r="Z13" s="237">
        <f t="shared" si="1"/>
        <v>1</v>
      </c>
      <c r="AA13" s="237">
        <f t="shared" si="1"/>
        <v>1</v>
      </c>
      <c r="AB13" s="237">
        <f t="shared" si="1"/>
        <v>1</v>
      </c>
      <c r="AC13" s="247">
        <f t="shared" si="1"/>
        <v>0.87421729036005846</v>
      </c>
      <c r="AD13" s="263"/>
      <c r="AE13" s="263"/>
      <c r="AF13" s="187">
        <f>GBDUS!K82/(Y13+Z13+AA13+AB13+AC13)</f>
        <v>9.6425738124055016</v>
      </c>
      <c r="AG13" s="267">
        <f t="shared" si="7"/>
        <v>9.6425738124055016</v>
      </c>
      <c r="AH13" s="267">
        <f t="shared" si="2"/>
        <v>9.6425738124055016</v>
      </c>
      <c r="AI13" s="267">
        <f t="shared" si="2"/>
        <v>9.6425738124055016</v>
      </c>
      <c r="AJ13" s="268">
        <f t="shared" si="2"/>
        <v>8.4297047503779972</v>
      </c>
      <c r="AK13" s="274">
        <f>GBDUS!L82/(Y13+Z13+AA13+AB13+AC13)</f>
        <v>61.376631688947853</v>
      </c>
      <c r="AL13" s="278">
        <f t="shared" si="8"/>
        <v>61.376631688947853</v>
      </c>
      <c r="AM13" s="278">
        <f t="shared" si="3"/>
        <v>61.376631688947853</v>
      </c>
      <c r="AN13" s="278">
        <f t="shared" si="3"/>
        <v>61.376631688947853</v>
      </c>
      <c r="AO13" s="279">
        <f t="shared" si="3"/>
        <v>53.656512646539291</v>
      </c>
      <c r="AP13" s="277">
        <f>GBDUS!M82/(Y13+Z13+AA13+AB13+AC13)</f>
        <v>36.789570425851572</v>
      </c>
      <c r="AQ13" s="278">
        <f t="shared" si="9"/>
        <v>36.789570425851572</v>
      </c>
      <c r="AR13" s="278">
        <f t="shared" si="4"/>
        <v>36.789570425851572</v>
      </c>
      <c r="AS13" s="278">
        <f t="shared" si="4"/>
        <v>36.789570425851572</v>
      </c>
      <c r="AT13" s="279">
        <f t="shared" si="4"/>
        <v>32.162078571198506</v>
      </c>
      <c r="AU13" s="272"/>
      <c r="AV13" s="272"/>
      <c r="AW13" s="272"/>
      <c r="AX13" s="272"/>
    </row>
    <row r="14" spans="2:62" x14ac:dyDescent="0.2">
      <c r="B14" s="190">
        <v>2</v>
      </c>
      <c r="C14" s="197" t="s">
        <v>6</v>
      </c>
      <c r="D14" s="191">
        <f>Baseline!AL39</f>
        <v>0.58571636315218234</v>
      </c>
      <c r="E14" s="191">
        <f>Baseline!AM39</f>
        <v>1.4741407445036221</v>
      </c>
      <c r="F14" s="191">
        <f>Baseline!AN39</f>
        <v>2.7936213572390822</v>
      </c>
      <c r="G14" s="191">
        <f>Baseline!AO39</f>
        <v>5.2941486874445172</v>
      </c>
      <c r="H14" s="196">
        <f>Baseline!AP39</f>
        <v>13.324402011959144</v>
      </c>
      <c r="I14" s="191">
        <f>IF(D14+'Non-travel METs'!D14&gt;2.5, D14+'Non-travel METs'!D14, 0.1)</f>
        <v>0.1</v>
      </c>
      <c r="J14" s="191">
        <f>IF(E14+'Non-travel METs'!E14&gt;2.5, E14+'Non-travel METs'!E14, 0.1)</f>
        <v>0.1</v>
      </c>
      <c r="K14" s="191">
        <f>IF(F14+'Non-travel METs'!F14&gt;2.5, F14+'Non-travel METs'!F14, 0.1)</f>
        <v>2.7936213572390822</v>
      </c>
      <c r="L14" s="191">
        <f>IF(G14+'Non-travel METs'!G14&gt;2.5, G14+'Non-travel METs'!G14, 0.1)</f>
        <v>5.2941486874445172</v>
      </c>
      <c r="M14" s="196">
        <f>IF(H14+'Non-travel METs'!H14&gt;2.5, H14+'Non-travel METs'!H14, 0.1)</f>
        <v>13.324402011959144</v>
      </c>
      <c r="N14" s="336">
        <f>'Phy activity RRs'!$F$12</f>
        <v>0.9244331578735252</v>
      </c>
      <c r="O14" s="235">
        <f>$N14^(I14^0.5)</f>
        <v>0.97545870827357695</v>
      </c>
      <c r="P14" s="235">
        <f t="shared" si="0"/>
        <v>0.97545870827357695</v>
      </c>
      <c r="Q14" s="235">
        <f t="shared" si="0"/>
        <v>0.87692790865627424</v>
      </c>
      <c r="R14" s="235">
        <f t="shared" si="0"/>
        <v>0.83460871038259532</v>
      </c>
      <c r="S14" s="246">
        <f t="shared" si="0"/>
        <v>0.75064870056691857</v>
      </c>
      <c r="T14" s="248"/>
      <c r="U14" s="248"/>
      <c r="V14" s="248"/>
      <c r="W14" s="248"/>
      <c r="X14" s="249"/>
      <c r="Y14" s="235">
        <f t="shared" si="6"/>
        <v>1</v>
      </c>
      <c r="Z14" s="235">
        <f t="shared" si="1"/>
        <v>1</v>
      </c>
      <c r="AA14" s="235">
        <f t="shared" si="1"/>
        <v>0.8989902916632031</v>
      </c>
      <c r="AB14" s="235">
        <f t="shared" si="1"/>
        <v>0.85560639656365767</v>
      </c>
      <c r="AC14" s="246">
        <f t="shared" si="1"/>
        <v>0.76953406043753503</v>
      </c>
      <c r="AD14" s="263"/>
      <c r="AE14" s="263"/>
      <c r="AF14" s="187">
        <f>GBDUS!K83/(Y14+Z14+AA14+AB14+AC14)</f>
        <v>0</v>
      </c>
      <c r="AG14" s="187">
        <f t="shared" si="7"/>
        <v>0</v>
      </c>
      <c r="AH14" s="187">
        <f t="shared" si="2"/>
        <v>0</v>
      </c>
      <c r="AI14" s="187">
        <f t="shared" si="2"/>
        <v>0</v>
      </c>
      <c r="AJ14" s="265">
        <f t="shared" si="2"/>
        <v>0</v>
      </c>
      <c r="AK14" s="274">
        <f>GBDUS!L83/(Y14+Z14+AA14+AB14+AC14)</f>
        <v>0.91819647921825676</v>
      </c>
      <c r="AL14" s="274">
        <f t="shared" si="8"/>
        <v>0.91819647921825676</v>
      </c>
      <c r="AM14" s="274">
        <f t="shared" si="3"/>
        <v>0.82544972065654687</v>
      </c>
      <c r="AN14" s="274">
        <f t="shared" si="3"/>
        <v>0.78561478092137005</v>
      </c>
      <c r="AO14" s="276">
        <f t="shared" si="3"/>
        <v>0.70658346493227386</v>
      </c>
      <c r="AP14" s="274">
        <f>GBDUS!M83/(Y14+Z14+AA14+AB14+AC14)</f>
        <v>2.0319653059287281</v>
      </c>
      <c r="AQ14" s="274">
        <f t="shared" si="9"/>
        <v>2.0319653059287281</v>
      </c>
      <c r="AR14" s="274">
        <f t="shared" si="4"/>
        <v>1.826717083026377</v>
      </c>
      <c r="AS14" s="274">
        <f t="shared" si="4"/>
        <v>1.7385625133480493</v>
      </c>
      <c r="AT14" s="276">
        <f t="shared" si="4"/>
        <v>1.5636665125395321</v>
      </c>
      <c r="AU14" s="272"/>
      <c r="AV14" s="272"/>
      <c r="AW14" s="272"/>
      <c r="AX14" s="272"/>
    </row>
    <row r="15" spans="2:62" x14ac:dyDescent="0.2">
      <c r="B15" s="190">
        <v>2</v>
      </c>
      <c r="C15" s="197" t="s">
        <v>7</v>
      </c>
      <c r="D15" s="191">
        <f>Baseline!AL40</f>
        <v>0.43674060992104319</v>
      </c>
      <c r="E15" s="191">
        <f>Baseline!AM40</f>
        <v>1.099196075723591</v>
      </c>
      <c r="F15" s="191">
        <f>Baseline!AN40</f>
        <v>2.0830695063440512</v>
      </c>
      <c r="G15" s="191">
        <f>Baseline!AO40</f>
        <v>3.9475928490774548</v>
      </c>
      <c r="H15" s="196">
        <f>Baseline!AP40</f>
        <v>9.9353677438993167</v>
      </c>
      <c r="I15" s="191">
        <f>IF(D15+'Non-travel METs'!D15&gt;2.5, D15+'Non-travel METs'!D15, 0.1)</f>
        <v>0.1</v>
      </c>
      <c r="J15" s="191">
        <f>IF(E15+'Non-travel METs'!E15&gt;2.5, E15+'Non-travel METs'!E15, 0.1)</f>
        <v>0.1</v>
      </c>
      <c r="K15" s="191">
        <f>IF(F15+'Non-travel METs'!F15&gt;2.5, F15+'Non-travel METs'!F15, 0.1)</f>
        <v>0.1</v>
      </c>
      <c r="L15" s="191">
        <f>IF(G15+'Non-travel METs'!G15&gt;2.5, G15+'Non-travel METs'!G15, 0.1)</f>
        <v>3.9475928490774548</v>
      </c>
      <c r="M15" s="196">
        <f>IF(H15+'Non-travel METs'!H15&gt;2.5, H15+'Non-travel METs'!H15, 0.1)</f>
        <v>9.9353677438993167</v>
      </c>
      <c r="N15" s="241">
        <f>'Phy activity RRs'!$F$12</f>
        <v>0.9244331578735252</v>
      </c>
      <c r="O15" s="235">
        <f t="shared" ref="O15:O21" si="10">$N15^(I15^0.5)</f>
        <v>0.97545870827357695</v>
      </c>
      <c r="P15" s="235">
        <f t="shared" si="0"/>
        <v>0.97545870827357695</v>
      </c>
      <c r="Q15" s="235">
        <f t="shared" si="0"/>
        <v>0.97545870827357695</v>
      </c>
      <c r="R15" s="235">
        <f t="shared" si="0"/>
        <v>0.85545977833204689</v>
      </c>
      <c r="S15" s="246">
        <f t="shared" si="0"/>
        <v>0.7806173398642775</v>
      </c>
      <c r="T15" s="248"/>
      <c r="U15" s="248"/>
      <c r="V15" s="248"/>
      <c r="W15" s="248"/>
      <c r="X15" s="249"/>
      <c r="Y15" s="235">
        <f t="shared" si="6"/>
        <v>1</v>
      </c>
      <c r="Z15" s="235">
        <f t="shared" si="1"/>
        <v>1</v>
      </c>
      <c r="AA15" s="235">
        <f t="shared" si="1"/>
        <v>1</v>
      </c>
      <c r="AB15" s="235">
        <f t="shared" si="1"/>
        <v>0.87698205067653645</v>
      </c>
      <c r="AC15" s="246">
        <f t="shared" si="1"/>
        <v>0.80025667231559094</v>
      </c>
      <c r="AD15" s="263"/>
      <c r="AE15" s="263"/>
      <c r="AF15" s="187">
        <f>GBDUS!K84/(Y15+Z15+AA15+AB15+AC15)</f>
        <v>0</v>
      </c>
      <c r="AG15" s="187">
        <f t="shared" si="7"/>
        <v>0</v>
      </c>
      <c r="AH15" s="187">
        <f t="shared" si="2"/>
        <v>0</v>
      </c>
      <c r="AI15" s="187">
        <f t="shared" si="2"/>
        <v>0</v>
      </c>
      <c r="AJ15" s="265">
        <f t="shared" si="2"/>
        <v>0</v>
      </c>
      <c r="AK15" s="274">
        <f>GBDUS!L84/(Y15+Z15+AA15+AB15+AC15)</f>
        <v>0.82917544541866295</v>
      </c>
      <c r="AL15" s="274">
        <f t="shared" si="8"/>
        <v>0.82917544541866295</v>
      </c>
      <c r="AM15" s="274">
        <f t="shared" si="3"/>
        <v>0.82917544541866295</v>
      </c>
      <c r="AN15" s="274">
        <f t="shared" si="3"/>
        <v>0.72717198249388959</v>
      </c>
      <c r="AO15" s="276">
        <f t="shared" si="3"/>
        <v>0.66355318271653707</v>
      </c>
      <c r="AP15" s="274">
        <f>GBDUS!M84/(Y15+Z15+AA15+AB15+AC15)</f>
        <v>4.6226087783458087</v>
      </c>
      <c r="AQ15" s="274">
        <f t="shared" si="9"/>
        <v>4.6226087783458087</v>
      </c>
      <c r="AR15" s="274">
        <f t="shared" si="4"/>
        <v>4.6226087783458087</v>
      </c>
      <c r="AS15" s="274">
        <f t="shared" si="4"/>
        <v>4.0539449259090663</v>
      </c>
      <c r="AT15" s="276">
        <f t="shared" si="4"/>
        <v>3.6992735183758558</v>
      </c>
      <c r="AU15" s="272"/>
      <c r="AV15" s="272"/>
      <c r="AW15" s="272"/>
      <c r="AX15" s="272"/>
    </row>
    <row r="16" spans="2:62" x14ac:dyDescent="0.2">
      <c r="B16" s="190">
        <v>2</v>
      </c>
      <c r="C16" s="197" t="s">
        <v>8</v>
      </c>
      <c r="D16" s="191">
        <f>Baseline!AL41</f>
        <v>0.42061144034593556</v>
      </c>
      <c r="E16" s="191">
        <f>Baseline!AM41</f>
        <v>1.0586019118219474</v>
      </c>
      <c r="F16" s="191">
        <f>Baseline!AN41</f>
        <v>2.0061401332989548</v>
      </c>
      <c r="G16" s="191">
        <f>Baseline!AO41</f>
        <v>3.8018051823712069</v>
      </c>
      <c r="H16" s="196">
        <f>Baseline!AP41</f>
        <v>9.568446904636458</v>
      </c>
      <c r="I16" s="191">
        <f>IF(D16+'Non-travel METs'!D16&gt;2.5, D16+'Non-travel METs'!D16, 0.1)</f>
        <v>37.920611440345937</v>
      </c>
      <c r="J16" s="191">
        <f>IF(E16+'Non-travel METs'!E16&gt;2.5, E16+'Non-travel METs'!E16, 0.1)</f>
        <v>38.558601911821945</v>
      </c>
      <c r="K16" s="191">
        <f>IF(F16+'Non-travel METs'!F16&gt;2.5, F16+'Non-travel METs'!F16, 0.1)</f>
        <v>39.506140133298956</v>
      </c>
      <c r="L16" s="191">
        <f>IF(G16+'Non-travel METs'!G16&gt;2.5, G16+'Non-travel METs'!G16, 0.1)</f>
        <v>41.301805182371204</v>
      </c>
      <c r="M16" s="196">
        <f>IF(H16+'Non-travel METs'!H16&gt;2.5, H16+'Non-travel METs'!H16, 0.1)</f>
        <v>47.06844690463646</v>
      </c>
      <c r="N16" s="241">
        <f>'Phy activity RRs'!$F$12</f>
        <v>0.9244331578735252</v>
      </c>
      <c r="O16" s="235">
        <f t="shared" si="10"/>
        <v>0.6163996666395356</v>
      </c>
      <c r="P16" s="235">
        <f t="shared" si="0"/>
        <v>0.61390624578200237</v>
      </c>
      <c r="Q16" s="235">
        <f t="shared" si="0"/>
        <v>0.61025910207875389</v>
      </c>
      <c r="R16" s="235">
        <f t="shared" si="0"/>
        <v>0.60352316154118224</v>
      </c>
      <c r="S16" s="246">
        <f t="shared" si="0"/>
        <v>0.5832893224914818</v>
      </c>
      <c r="T16" s="248"/>
      <c r="U16" s="248"/>
      <c r="V16" s="248"/>
      <c r="W16" s="248"/>
      <c r="X16" s="249"/>
      <c r="Y16" s="235">
        <f t="shared" si="6"/>
        <v>1</v>
      </c>
      <c r="Z16" s="235">
        <f t="shared" si="1"/>
        <v>0.99595486339062</v>
      </c>
      <c r="AA16" s="235">
        <f t="shared" si="1"/>
        <v>0.99003801446834228</v>
      </c>
      <c r="AB16" s="235">
        <f t="shared" si="1"/>
        <v>0.97911013617422438</v>
      </c>
      <c r="AC16" s="246">
        <f t="shared" si="1"/>
        <v>0.94628429257828195</v>
      </c>
      <c r="AD16" s="263"/>
      <c r="AE16" s="263"/>
      <c r="AF16" s="187">
        <f>GBDUS!K85/(Y16+Z16+AA16+AB16+AC16)</f>
        <v>0</v>
      </c>
      <c r="AG16" s="187">
        <f t="shared" si="7"/>
        <v>0</v>
      </c>
      <c r="AH16" s="187">
        <f t="shared" si="2"/>
        <v>0</v>
      </c>
      <c r="AI16" s="187">
        <f t="shared" si="2"/>
        <v>0</v>
      </c>
      <c r="AJ16" s="265">
        <f t="shared" si="2"/>
        <v>0</v>
      </c>
      <c r="AK16" s="274">
        <f>GBDUS!L85/(Y16+Z16+AA16+AB16+AC16)</f>
        <v>7.9662631984756</v>
      </c>
      <c r="AL16" s="274">
        <f t="shared" si="8"/>
        <v>7.9340385755714902</v>
      </c>
      <c r="AM16" s="274">
        <f t="shared" si="3"/>
        <v>7.8869033997510085</v>
      </c>
      <c r="AN16" s="274">
        <f t="shared" si="3"/>
        <v>7.7998490450591573</v>
      </c>
      <c r="AO16" s="276">
        <f t="shared" si="3"/>
        <v>7.5383497352618845</v>
      </c>
      <c r="AP16" s="274">
        <f>GBDUS!M85/(Y16+Z16+AA16+AB16+AC16)</f>
        <v>12.654448441905451</v>
      </c>
      <c r="AQ16" s="274">
        <f t="shared" si="9"/>
        <v>12.603259469241587</v>
      </c>
      <c r="AR16" s="274">
        <f t="shared" si="4"/>
        <v>12.52838500961608</v>
      </c>
      <c r="AS16" s="274">
        <f t="shared" si="4"/>
        <v>12.390098737163749</v>
      </c>
      <c r="AT16" s="276">
        <f t="shared" si="4"/>
        <v>11.974705791816842</v>
      </c>
      <c r="AU16" s="272"/>
      <c r="AV16" s="272"/>
      <c r="AW16" s="272"/>
      <c r="AX16" s="272"/>
    </row>
    <row r="17" spans="2:50" x14ac:dyDescent="0.2">
      <c r="B17" s="190">
        <v>2</v>
      </c>
      <c r="C17" s="197" t="s">
        <v>9</v>
      </c>
      <c r="D17" s="191">
        <f>Baseline!AL42</f>
        <v>0.35430197088303461</v>
      </c>
      <c r="E17" s="191">
        <f>Baseline!AM42</f>
        <v>0.89171312941604497</v>
      </c>
      <c r="F17" s="191">
        <f>Baseline!AN42</f>
        <v>1.6898717793096323</v>
      </c>
      <c r="G17" s="191">
        <f>Baseline!AO42</f>
        <v>3.2024499093976431</v>
      </c>
      <c r="H17" s="196">
        <f>Baseline!AP42</f>
        <v>8.0599795236528315</v>
      </c>
      <c r="I17" s="191">
        <f>IF(D17+'Non-travel METs'!D17&gt;2.5, D17+'Non-travel METs'!D17, 0.1)</f>
        <v>37.917635304216333</v>
      </c>
      <c r="J17" s="191">
        <f>IF(E17+'Non-travel METs'!E17&gt;2.5, E17+'Non-travel METs'!E17, 0.1)</f>
        <v>38.455046462749344</v>
      </c>
      <c r="K17" s="191">
        <f>IF(F17+'Non-travel METs'!F17&gt;2.5, F17+'Non-travel METs'!F17, 0.1)</f>
        <v>39.253205112642931</v>
      </c>
      <c r="L17" s="191">
        <f>IF(G17+'Non-travel METs'!G17&gt;2.5, G17+'Non-travel METs'!G17, 0.1)</f>
        <v>40.76578324273094</v>
      </c>
      <c r="M17" s="196">
        <f>IF(H17+'Non-travel METs'!H17&gt;2.5, H17+'Non-travel METs'!H17, 0.1)</f>
        <v>45.623312856986132</v>
      </c>
      <c r="N17" s="241">
        <f>'Phy activity RRs'!$F$12</f>
        <v>0.9244331578735252</v>
      </c>
      <c r="O17" s="235">
        <f t="shared" si="10"/>
        <v>0.6164113708459239</v>
      </c>
      <c r="P17" s="235">
        <f t="shared" si="0"/>
        <v>0.61430887050177363</v>
      </c>
      <c r="Q17" s="235">
        <f t="shared" si="0"/>
        <v>0.61122622894623035</v>
      </c>
      <c r="R17" s="235">
        <f t="shared" si="0"/>
        <v>0.60551050924791117</v>
      </c>
      <c r="S17" s="246">
        <f t="shared" si="0"/>
        <v>0.58817431462546166</v>
      </c>
      <c r="T17" s="248"/>
      <c r="U17" s="248"/>
      <c r="V17" s="248"/>
      <c r="W17" s="248"/>
      <c r="X17" s="249"/>
      <c r="Y17" s="235">
        <f t="shared" si="6"/>
        <v>1</v>
      </c>
      <c r="Z17" s="235">
        <f t="shared" si="1"/>
        <v>0.99658912790452758</v>
      </c>
      <c r="AA17" s="235">
        <f t="shared" si="1"/>
        <v>0.99158817934753896</v>
      </c>
      <c r="AB17" s="235">
        <f t="shared" si="1"/>
        <v>0.98231560591905842</v>
      </c>
      <c r="AC17" s="246">
        <f t="shared" si="1"/>
        <v>0.95419121457524136</v>
      </c>
      <c r="AD17" s="263"/>
      <c r="AE17" s="263"/>
      <c r="AF17" s="187">
        <f>GBDUS!K86/(Y17+Z17+AA17+AB17+AC17)</f>
        <v>1.0152935437684811</v>
      </c>
      <c r="AG17" s="187">
        <f t="shared" si="7"/>
        <v>1.0118305073513278</v>
      </c>
      <c r="AH17" s="187">
        <f t="shared" si="2"/>
        <v>1.0067530765686992</v>
      </c>
      <c r="AI17" s="187">
        <f t="shared" si="2"/>
        <v>0.99733869263264363</v>
      </c>
      <c r="AJ17" s="265">
        <f t="shared" si="2"/>
        <v>0.968784179678848</v>
      </c>
      <c r="AK17" s="274">
        <f>GBDUS!L86/(Y17+Z17+AA17+AB17+AC17)</f>
        <v>48.056533376764371</v>
      </c>
      <c r="AL17" s="274">
        <f t="shared" si="8"/>
        <v>47.892618688064424</v>
      </c>
      <c r="AM17" s="274">
        <f t="shared" si="3"/>
        <v>47.652290436820017</v>
      </c>
      <c r="AN17" s="274">
        <f t="shared" si="3"/>
        <v>47.206682702365747</v>
      </c>
      <c r="AO17" s="276">
        <f t="shared" si="3"/>
        <v>45.855121951050421</v>
      </c>
      <c r="AP17" s="274">
        <f>GBDUS!M86/(Y17+Z17+AA17+AB17+AC17)</f>
        <v>75.193019680647708</v>
      </c>
      <c r="AQ17" s="274">
        <f t="shared" si="9"/>
        <v>74.936545908044678</v>
      </c>
      <c r="AR17" s="274">
        <f t="shared" si="4"/>
        <v>74.560509484777128</v>
      </c>
      <c r="AS17" s="274">
        <f t="shared" si="4"/>
        <v>73.863276688479132</v>
      </c>
      <c r="AT17" s="276">
        <f t="shared" si="4"/>
        <v>71.748518776657264</v>
      </c>
      <c r="AU17" s="272"/>
      <c r="AV17" s="272"/>
      <c r="AW17" s="272"/>
      <c r="AX17" s="272"/>
    </row>
    <row r="18" spans="2:50" x14ac:dyDescent="0.2">
      <c r="B18" s="190">
        <v>2</v>
      </c>
      <c r="C18" s="197" t="s">
        <v>10</v>
      </c>
      <c r="D18" s="191">
        <f>Baseline!AL43</f>
        <v>0.26733773499708668</v>
      </c>
      <c r="E18" s="191">
        <f>Baseline!AM43</f>
        <v>0.67284008522760486</v>
      </c>
      <c r="F18" s="191">
        <f>Baseline!AN43</f>
        <v>1.2750888536978389</v>
      </c>
      <c r="G18" s="191">
        <f>Baseline!AO43</f>
        <v>2.4164011932708851</v>
      </c>
      <c r="H18" s="196">
        <f>Baseline!AP43</f>
        <v>6.0816389607033488</v>
      </c>
      <c r="I18" s="191">
        <f>IF(D18+'Non-travel METs'!D18&gt;2.5, D18+'Non-travel METs'!D18, 0.1)</f>
        <v>38.020671068330387</v>
      </c>
      <c r="J18" s="191">
        <f>IF(E18+'Non-travel METs'!E18&gt;2.5, E18+'Non-travel METs'!E18, 0.1)</f>
        <v>38.426173418560907</v>
      </c>
      <c r="K18" s="191">
        <f>IF(F18+'Non-travel METs'!F18&gt;2.5, F18+'Non-travel METs'!F18, 0.1)</f>
        <v>39.02842218703114</v>
      </c>
      <c r="L18" s="191">
        <f>IF(G18+'Non-travel METs'!G18&gt;2.5, G18+'Non-travel METs'!G18, 0.1)</f>
        <v>40.169734526604188</v>
      </c>
      <c r="M18" s="196">
        <f>IF(H18+'Non-travel METs'!H18&gt;2.5, H18+'Non-travel METs'!H18, 0.1)</f>
        <v>43.834972294036653</v>
      </c>
      <c r="N18" s="241">
        <f>'Phy activity RRs'!$F$12</f>
        <v>0.9244331578735252</v>
      </c>
      <c r="O18" s="235">
        <f t="shared" si="10"/>
        <v>0.61600655971779383</v>
      </c>
      <c r="P18" s="235">
        <f t="shared" si="0"/>
        <v>0.61442127294957993</v>
      </c>
      <c r="Q18" s="235">
        <f t="shared" si="0"/>
        <v>0.61208962325816929</v>
      </c>
      <c r="R18" s="235">
        <f t="shared" si="0"/>
        <v>0.60774358372859139</v>
      </c>
      <c r="S18" s="246">
        <f t="shared" si="0"/>
        <v>0.59438611939750075</v>
      </c>
      <c r="T18" s="248"/>
      <c r="U18" s="248"/>
      <c r="V18" s="248"/>
      <c r="W18" s="248"/>
      <c r="X18" s="249"/>
      <c r="Y18" s="235">
        <f t="shared" si="6"/>
        <v>1</v>
      </c>
      <c r="Z18" s="235">
        <f t="shared" si="1"/>
        <v>0.99742650992395254</v>
      </c>
      <c r="AA18" s="235">
        <f t="shared" si="1"/>
        <v>0.99364140462819261</v>
      </c>
      <c r="AB18" s="235">
        <f t="shared" si="1"/>
        <v>0.9865862207814996</v>
      </c>
      <c r="AC18" s="246">
        <f t="shared" si="1"/>
        <v>0.96490225634902671</v>
      </c>
      <c r="AD18" s="263"/>
      <c r="AE18" s="263"/>
      <c r="AF18" s="187">
        <f>GBDUS!K87/(Y18+Z18+AA18+AB18+AC18)</f>
        <v>5.2604356813718445</v>
      </c>
      <c r="AG18" s="187">
        <f t="shared" si="7"/>
        <v>5.2468980023501484</v>
      </c>
      <c r="AH18" s="187">
        <f t="shared" si="2"/>
        <v>5.2269866993945833</v>
      </c>
      <c r="AI18" s="187">
        <f t="shared" si="2"/>
        <v>5.1898733585488008</v>
      </c>
      <c r="AJ18" s="265">
        <f t="shared" si="2"/>
        <v>5.0758062583346222</v>
      </c>
      <c r="AK18" s="274">
        <f>GBDUS!L87/(Y18+Z18+AA18+AB18+AC18)</f>
        <v>174.65022702922491</v>
      </c>
      <c r="AL18" s="274">
        <f t="shared" si="8"/>
        <v>174.20076640318575</v>
      </c>
      <c r="AM18" s="274">
        <f t="shared" si="3"/>
        <v>173.53969690395178</v>
      </c>
      <c r="AN18" s="274">
        <f t="shared" si="3"/>
        <v>172.30750744339392</v>
      </c>
      <c r="AO18" s="276">
        <f t="shared" si="3"/>
        <v>168.52039813236888</v>
      </c>
      <c r="AP18" s="274">
        <f>GBDUS!M87/(Y18+Z18+AA18+AB18+AC18)</f>
        <v>200.05951936232992</v>
      </c>
      <c r="AQ18" s="274">
        <f t="shared" si="9"/>
        <v>199.54466817463214</v>
      </c>
      <c r="AR18" s="274">
        <f t="shared" si="4"/>
        <v>198.7874218284266</v>
      </c>
      <c r="AS18" s="274">
        <f t="shared" si="4"/>
        <v>197.37596513904433</v>
      </c>
      <c r="AT18" s="276">
        <f t="shared" si="4"/>
        <v>193.03788163681395</v>
      </c>
      <c r="AU18" s="272"/>
      <c r="AV18" s="272"/>
      <c r="AW18" s="272"/>
      <c r="AX18" s="272"/>
    </row>
    <row r="19" spans="2:50" x14ac:dyDescent="0.2">
      <c r="B19" s="190">
        <v>2</v>
      </c>
      <c r="C19" s="197" t="s">
        <v>11</v>
      </c>
      <c r="D19" s="191">
        <f>Baseline!AL44</f>
        <v>0.17691769036532026</v>
      </c>
      <c r="E19" s="191">
        <f>Baseline!AM44</f>
        <v>0.44526940375615254</v>
      </c>
      <c r="F19" s="191">
        <f>Baseline!AN44</f>
        <v>0.84382317000345575</v>
      </c>
      <c r="G19" s="191">
        <f>Baseline!AO44</f>
        <v>1.5991162568731561</v>
      </c>
      <c r="H19" s="196">
        <f>Baseline!AP44</f>
        <v>4.0246825558505925</v>
      </c>
      <c r="I19" s="191">
        <f>IF(D19+'Non-travel METs'!D19&gt;2.5, D19+'Non-travel METs'!D19, 0.1)</f>
        <v>9.17691769036532</v>
      </c>
      <c r="J19" s="191">
        <f>IF(E19+'Non-travel METs'!E19&gt;2.5, E19+'Non-travel METs'!E19, 0.1)</f>
        <v>9.4452694037561518</v>
      </c>
      <c r="K19" s="191">
        <f>IF(F19+'Non-travel METs'!F19&gt;2.5, F19+'Non-travel METs'!F19, 0.1)</f>
        <v>9.8438231700034553</v>
      </c>
      <c r="L19" s="191">
        <f>IF(G19+'Non-travel METs'!G19&gt;2.5, G19+'Non-travel METs'!G19, 0.1)</f>
        <v>10.599116256873156</v>
      </c>
      <c r="M19" s="196">
        <f>IF(H19+'Non-travel METs'!H19&gt;2.5, H19+'Non-travel METs'!H19, 0.1)</f>
        <v>13.024682555850593</v>
      </c>
      <c r="N19" s="241">
        <f>'Phy activity RRs'!$F$12</f>
        <v>0.9244331578735252</v>
      </c>
      <c r="O19" s="235">
        <f t="shared" si="10"/>
        <v>0.78817968365790503</v>
      </c>
      <c r="P19" s="235">
        <f t="shared" si="0"/>
        <v>0.78546110262716262</v>
      </c>
      <c r="Q19" s="235">
        <f t="shared" si="0"/>
        <v>0.78151061011835199</v>
      </c>
      <c r="R19" s="235">
        <f t="shared" si="0"/>
        <v>0.77428947519220093</v>
      </c>
      <c r="S19" s="246">
        <f t="shared" si="0"/>
        <v>0.75308790045627449</v>
      </c>
      <c r="T19" s="248"/>
      <c r="U19" s="248"/>
      <c r="V19" s="248"/>
      <c r="W19" s="248"/>
      <c r="X19" s="249"/>
      <c r="Y19" s="235">
        <f t="shared" si="6"/>
        <v>1</v>
      </c>
      <c r="Z19" s="235">
        <f t="shared" si="1"/>
        <v>0.99655081057389661</v>
      </c>
      <c r="AA19" s="235">
        <f t="shared" si="1"/>
        <v>0.99153863810774445</v>
      </c>
      <c r="AB19" s="235">
        <f t="shared" si="1"/>
        <v>0.98237685041405753</v>
      </c>
      <c r="AC19" s="246">
        <f t="shared" si="1"/>
        <v>0.95547743245706207</v>
      </c>
      <c r="AD19" s="263"/>
      <c r="AE19" s="263"/>
      <c r="AF19" s="187">
        <f>GBDUS!K88/(Y19+Z19+AA19+AB19+AC19)</f>
        <v>5.8871967648031971</v>
      </c>
      <c r="AG19" s="187">
        <f t="shared" si="7"/>
        <v>5.8668907079726482</v>
      </c>
      <c r="AH19" s="187">
        <f t="shared" si="2"/>
        <v>5.8373830624452809</v>
      </c>
      <c r="AI19" s="187">
        <f t="shared" si="2"/>
        <v>5.7834458155751935</v>
      </c>
      <c r="AJ19" s="265">
        <f t="shared" si="2"/>
        <v>5.6250836492036811</v>
      </c>
      <c r="AK19" s="274">
        <f>GBDUS!L88/(Y19+Z19+AA19+AB19+AC19)</f>
        <v>135.62861193667678</v>
      </c>
      <c r="AL19" s="274">
        <f t="shared" si="8"/>
        <v>135.1608031625077</v>
      </c>
      <c r="AM19" s="274">
        <f t="shared" si="3"/>
        <v>134.48100916813627</v>
      </c>
      <c r="AN19" s="274">
        <f t="shared" si="3"/>
        <v>133.23840862038298</v>
      </c>
      <c r="AO19" s="276">
        <f t="shared" si="3"/>
        <v>129.59007790097118</v>
      </c>
      <c r="AP19" s="274">
        <f>GBDUS!M88/(Y19+Z19+AA19+AB19+AC19)</f>
        <v>109.61878715279903</v>
      </c>
      <c r="AQ19" s="274">
        <f t="shared" si="9"/>
        <v>109.24069119124931</v>
      </c>
      <c r="AR19" s="274">
        <f t="shared" si="4"/>
        <v>108.69126292450906</v>
      </c>
      <c r="AS19" s="274">
        <f t="shared" si="4"/>
        <v>107.68695886937566</v>
      </c>
      <c r="AT19" s="276">
        <f t="shared" si="4"/>
        <v>104.7382772978136</v>
      </c>
      <c r="AU19" s="272"/>
      <c r="AV19" s="272"/>
      <c r="AW19" s="272"/>
      <c r="AX19" s="272"/>
    </row>
    <row r="20" spans="2:50" x14ac:dyDescent="0.2">
      <c r="B20" s="190">
        <v>2</v>
      </c>
      <c r="C20" s="197" t="s">
        <v>12</v>
      </c>
      <c r="D20" s="191">
        <f>Baseline!AL45</f>
        <v>0.11157070141951282</v>
      </c>
      <c r="E20" s="191">
        <f>Baseline!AM45</f>
        <v>0.28080300842238665</v>
      </c>
      <c r="F20" s="191">
        <f>Baseline!AN45</f>
        <v>0.5321454443414837</v>
      </c>
      <c r="G20" s="191">
        <f>Baseline!AO45</f>
        <v>1.0084606127418505</v>
      </c>
      <c r="H20" s="196">
        <f>Baseline!AP45</f>
        <v>2.5381105463218789</v>
      </c>
      <c r="I20" s="191">
        <f>IF(D20+'Non-travel METs'!D20&gt;2.5, D20+'Non-travel METs'!D20, 0.1)</f>
        <v>0.1</v>
      </c>
      <c r="J20" s="191">
        <f>IF(E20+'Non-travel METs'!E20&gt;2.5, E20+'Non-travel METs'!E20, 0.1)</f>
        <v>0.1</v>
      </c>
      <c r="K20" s="191">
        <f>IF(F20+'Non-travel METs'!F20&gt;2.5, F20+'Non-travel METs'!F20, 0.1)</f>
        <v>0.1</v>
      </c>
      <c r="L20" s="191">
        <f>IF(G20+'Non-travel METs'!G20&gt;2.5, G20+'Non-travel METs'!G20, 0.1)</f>
        <v>0.1</v>
      </c>
      <c r="M20" s="196">
        <f>IF(H20+'Non-travel METs'!H20&gt;2.5, H20+'Non-travel METs'!H20, 0.1)</f>
        <v>3.0381105463218789</v>
      </c>
      <c r="N20" s="241">
        <f>'Phy activity RRs'!$F$12</f>
        <v>0.9244331578735252</v>
      </c>
      <c r="O20" s="235">
        <f t="shared" si="10"/>
        <v>0.97545870827357695</v>
      </c>
      <c r="P20" s="235">
        <f t="shared" si="0"/>
        <v>0.97545870827357695</v>
      </c>
      <c r="Q20" s="235">
        <f t="shared" si="0"/>
        <v>0.97545870827357695</v>
      </c>
      <c r="R20" s="235">
        <f t="shared" si="0"/>
        <v>0.97545870827357695</v>
      </c>
      <c r="S20" s="246">
        <f t="shared" si="0"/>
        <v>0.87200789968482162</v>
      </c>
      <c r="T20" s="248"/>
      <c r="U20" s="248"/>
      <c r="V20" s="248"/>
      <c r="W20" s="248"/>
      <c r="X20" s="249"/>
      <c r="Y20" s="235">
        <f t="shared" si="6"/>
        <v>1</v>
      </c>
      <c r="Z20" s="235">
        <f t="shared" si="1"/>
        <v>1</v>
      </c>
      <c r="AA20" s="235">
        <f t="shared" si="1"/>
        <v>1</v>
      </c>
      <c r="AB20" s="235">
        <f t="shared" si="1"/>
        <v>1</v>
      </c>
      <c r="AC20" s="246">
        <f t="shared" si="1"/>
        <v>0.89394650156760758</v>
      </c>
      <c r="AD20" s="263"/>
      <c r="AE20" s="263"/>
      <c r="AF20" s="187">
        <f>GBDUS!K89/(Y20+Z20+AA20+AB20+AC20)</f>
        <v>6.5386901940488924</v>
      </c>
      <c r="AG20" s="187">
        <f t="shared" si="7"/>
        <v>6.5386901940488924</v>
      </c>
      <c r="AH20" s="187">
        <f t="shared" si="2"/>
        <v>6.5386901940488924</v>
      </c>
      <c r="AI20" s="187">
        <f t="shared" si="2"/>
        <v>6.5386901940488924</v>
      </c>
      <c r="AJ20" s="265">
        <f t="shared" si="2"/>
        <v>5.8452392238044286</v>
      </c>
      <c r="AK20" s="274">
        <f>GBDUS!L89/(Y20+Z20+AA20+AB20+AC20)</f>
        <v>95.314189434643112</v>
      </c>
      <c r="AL20" s="274">
        <f t="shared" si="8"/>
        <v>95.314189434643112</v>
      </c>
      <c r="AM20" s="274">
        <f t="shared" si="3"/>
        <v>95.314189434643112</v>
      </c>
      <c r="AN20" s="274">
        <f t="shared" si="3"/>
        <v>95.314189434643112</v>
      </c>
      <c r="AO20" s="276">
        <f t="shared" si="3"/>
        <v>85.205786194851427</v>
      </c>
      <c r="AP20" s="274">
        <f>GBDUS!M89/(Y20+Z20+AA20+AB20+AC20)</f>
        <v>67.621186621416172</v>
      </c>
      <c r="AQ20" s="274">
        <f t="shared" si="9"/>
        <v>67.621186621416172</v>
      </c>
      <c r="AR20" s="274">
        <f t="shared" si="4"/>
        <v>67.621186621416172</v>
      </c>
      <c r="AS20" s="274">
        <f t="shared" si="4"/>
        <v>67.621186621416172</v>
      </c>
      <c r="AT20" s="276">
        <f t="shared" si="4"/>
        <v>60.449723212065294</v>
      </c>
      <c r="AU20" s="272"/>
      <c r="AV20" s="272"/>
      <c r="AW20" s="272"/>
      <c r="AX20" s="272"/>
    </row>
    <row r="21" spans="2:50" x14ac:dyDescent="0.2">
      <c r="B21" s="199">
        <v>2</v>
      </c>
      <c r="C21" s="200" t="s">
        <v>13</v>
      </c>
      <c r="D21" s="201">
        <f>Baseline!AL46</f>
        <v>0.1379075408816644</v>
      </c>
      <c r="E21" s="201">
        <f>Baseline!AM46</f>
        <v>0.3470880067168956</v>
      </c>
      <c r="F21" s="201">
        <f>Baseline!AN46</f>
        <v>0.65776112085712712</v>
      </c>
      <c r="G21" s="201">
        <f>Baseline!AO46</f>
        <v>1.2465129412095104</v>
      </c>
      <c r="H21" s="202">
        <f>Baseline!AP46</f>
        <v>3.1372446303170025</v>
      </c>
      <c r="I21" s="203">
        <f>IF(D21+'Non-travel METs'!D21&gt;2.5, D21+'Non-travel METs'!D21, 0.1)</f>
        <v>0.1</v>
      </c>
      <c r="J21" s="201">
        <f>IF(E21+'Non-travel METs'!E21&gt;2.5, E21+'Non-travel METs'!E21, 0.1)</f>
        <v>0.1</v>
      </c>
      <c r="K21" s="201">
        <f>IF(F21+'Non-travel METs'!F21&gt;2.5, F21+'Non-travel METs'!F21, 0.1)</f>
        <v>0.1</v>
      </c>
      <c r="L21" s="201">
        <f>IF(G21+'Non-travel METs'!G21&gt;2.5, G21+'Non-travel METs'!G21, 0.1)</f>
        <v>0.1</v>
      </c>
      <c r="M21" s="202">
        <f>IF(H21+'Non-travel METs'!H21&gt;2.5, H21+'Non-travel METs'!H21, 0.1)</f>
        <v>3.220577963650336</v>
      </c>
      <c r="N21" s="337">
        <f>'Phy activity RRs'!$F$12</f>
        <v>0.9244331578735252</v>
      </c>
      <c r="O21" s="237">
        <f t="shared" si="10"/>
        <v>0.97545870827357695</v>
      </c>
      <c r="P21" s="237">
        <f t="shared" si="0"/>
        <v>0.97545870827357695</v>
      </c>
      <c r="Q21" s="237">
        <f t="shared" si="0"/>
        <v>0.97545870827357695</v>
      </c>
      <c r="R21" s="237">
        <f t="shared" si="0"/>
        <v>0.97545870827357695</v>
      </c>
      <c r="S21" s="247">
        <f t="shared" si="0"/>
        <v>0.86848096615042869</v>
      </c>
      <c r="T21" s="250"/>
      <c r="U21" s="251"/>
      <c r="V21" s="251"/>
      <c r="W21" s="251"/>
      <c r="X21" s="252"/>
      <c r="Y21" s="260">
        <f t="shared" si="6"/>
        <v>1</v>
      </c>
      <c r="Z21" s="237">
        <f t="shared" si="1"/>
        <v>1</v>
      </c>
      <c r="AA21" s="237">
        <f t="shared" si="1"/>
        <v>1</v>
      </c>
      <c r="AB21" s="237">
        <f t="shared" si="1"/>
        <v>1</v>
      </c>
      <c r="AC21" s="247">
        <f t="shared" si="1"/>
        <v>0.89033083490280829</v>
      </c>
      <c r="AD21" s="263"/>
      <c r="AE21" s="264"/>
      <c r="AF21" s="266">
        <f>GBDUS!K90/(Y21+Z21+AA21+AB21+AC21)</f>
        <v>5.7255840034708978</v>
      </c>
      <c r="AG21" s="267">
        <f t="shared" si="7"/>
        <v>5.7255840034708978</v>
      </c>
      <c r="AH21" s="267">
        <f t="shared" si="2"/>
        <v>5.7255840034708978</v>
      </c>
      <c r="AI21" s="267">
        <f t="shared" si="2"/>
        <v>5.7255840034708978</v>
      </c>
      <c r="AJ21" s="268">
        <f t="shared" si="2"/>
        <v>5.0976639861164079</v>
      </c>
      <c r="AK21" s="277">
        <f>GBDUS!L90/(Y21+Z21+AA21+AB21+AC21)</f>
        <v>31.350943326395537</v>
      </c>
      <c r="AL21" s="278">
        <f t="shared" si="8"/>
        <v>31.350943326395537</v>
      </c>
      <c r="AM21" s="278">
        <f t="shared" si="3"/>
        <v>31.350943326395537</v>
      </c>
      <c r="AN21" s="278">
        <f t="shared" si="3"/>
        <v>31.350943326395537</v>
      </c>
      <c r="AO21" s="279">
        <f t="shared" si="3"/>
        <v>27.912711546780365</v>
      </c>
      <c r="AP21" s="277">
        <f>GBDUS!M90/(Y21+Z21+AA21+AB21+AC21)</f>
        <v>22.816719021934496</v>
      </c>
      <c r="AQ21" s="278">
        <f t="shared" si="9"/>
        <v>22.816719021934496</v>
      </c>
      <c r="AR21" s="278">
        <f t="shared" si="4"/>
        <v>22.816719021934496</v>
      </c>
      <c r="AS21" s="278">
        <f t="shared" si="4"/>
        <v>22.816719021934496</v>
      </c>
      <c r="AT21" s="279">
        <f t="shared" si="4"/>
        <v>20.314428496541726</v>
      </c>
      <c r="AU21" s="273"/>
      <c r="AV21" s="273"/>
      <c r="AW21" s="273"/>
      <c r="AX21" s="273"/>
    </row>
    <row r="22" spans="2:50" x14ac:dyDescent="0.2">
      <c r="B22" s="185"/>
      <c r="C22" s="185"/>
      <c r="AD22" s="261"/>
      <c r="AK22" s="188"/>
      <c r="AL22" s="188"/>
      <c r="AM22" s="188"/>
      <c r="AN22" s="188"/>
      <c r="AO22" s="188"/>
    </row>
    <row r="23" spans="2:50" x14ac:dyDescent="0.2">
      <c r="B23" s="310" t="s">
        <v>37</v>
      </c>
      <c r="C23" s="292"/>
      <c r="D23" s="253"/>
      <c r="E23" s="253"/>
      <c r="F23" s="253"/>
      <c r="G23" s="253"/>
      <c r="H23" s="253"/>
      <c r="I23" s="253"/>
      <c r="J23" s="253"/>
      <c r="K23" s="253"/>
      <c r="L23" s="253"/>
      <c r="M23" s="253"/>
      <c r="N23" s="253"/>
      <c r="O23" s="253"/>
      <c r="P23" s="253"/>
      <c r="Q23" s="253"/>
      <c r="R23" s="253"/>
      <c r="S23" s="253"/>
      <c r="T23" s="253"/>
      <c r="U23" s="253"/>
      <c r="V23" s="253"/>
      <c r="W23" s="253"/>
      <c r="X23" s="253"/>
      <c r="Y23" s="253"/>
      <c r="Z23" s="253"/>
      <c r="AA23" s="253"/>
      <c r="AB23" s="253"/>
      <c r="AC23" s="253"/>
      <c r="AD23" s="253"/>
      <c r="AE23" s="253"/>
      <c r="AF23" s="253"/>
      <c r="AG23" s="253"/>
      <c r="AH23" s="253"/>
      <c r="AI23" s="253"/>
      <c r="AJ23" s="253"/>
      <c r="AK23" s="293"/>
      <c r="AL23" s="293"/>
      <c r="AM23" s="293"/>
      <c r="AN23" s="293"/>
      <c r="AO23" s="293"/>
      <c r="AP23" s="253"/>
      <c r="AQ23" s="253"/>
      <c r="AR23" s="253"/>
      <c r="AS23" s="253"/>
      <c r="AT23" s="253"/>
      <c r="AU23" s="253"/>
      <c r="AV23" s="253"/>
      <c r="AW23" s="253"/>
      <c r="AX23" s="253"/>
    </row>
    <row r="24" spans="2:50" x14ac:dyDescent="0.2">
      <c r="B24" s="185">
        <v>1</v>
      </c>
      <c r="C24" s="297" t="s">
        <v>6</v>
      </c>
      <c r="D24" s="188">
        <f>Scenario!AL31</f>
        <v>0.35885603949224421</v>
      </c>
      <c r="E24" s="188">
        <f>Scenario!AM31</f>
        <v>0.9013033450837723</v>
      </c>
      <c r="F24" s="188">
        <f>Scenario!AN31</f>
        <v>1.7055939051037041</v>
      </c>
      <c r="G24" s="188">
        <f>Scenario!AO31</f>
        <v>3.2276043187840591</v>
      </c>
      <c r="H24" s="294">
        <f>Scenario!AP31</f>
        <v>8.1064556506921353</v>
      </c>
      <c r="I24" s="191">
        <f>IF(D24+'Non-travel METs'!D25&gt;2.5, D24+'Non-travel METs'!D25, 0.1)</f>
        <v>0.1</v>
      </c>
      <c r="J24" s="191">
        <f>IF(E24+'Non-travel METs'!E25&gt;2.5, E24+'Non-travel METs'!E25, 0.1)</f>
        <v>0.1</v>
      </c>
      <c r="K24" s="191">
        <f>IF(F24+'Non-travel METs'!F25&gt;2.5, F24+'Non-travel METs'!F25, 0.1)</f>
        <v>0.1</v>
      </c>
      <c r="L24" s="191">
        <f>IF(G24+'Non-travel METs'!G25&gt;2.5, G24+'Non-travel METs'!G25, 0.1)</f>
        <v>3.2276043187840591</v>
      </c>
      <c r="M24" s="196">
        <f>IF(H24+'Non-travel METs'!H25&gt;2.5, H24+'Non-travel METs'!H25, 0.1)</f>
        <v>8.1064556506921353</v>
      </c>
      <c r="N24" s="241">
        <f>'Phy activity RRs'!$F$12</f>
        <v>0.9244331578735252</v>
      </c>
      <c r="O24" s="188">
        <f>$N24^(I24^0.5)</f>
        <v>0.97545870827357695</v>
      </c>
      <c r="P24" s="188">
        <f t="shared" ref="P24:S39" si="11">$N24^(J24^0.5)</f>
        <v>0.97545870827357695</v>
      </c>
      <c r="Q24" s="188">
        <f t="shared" si="11"/>
        <v>0.97545870827357695</v>
      </c>
      <c r="R24" s="188">
        <f t="shared" si="11"/>
        <v>0.86834745878288278</v>
      </c>
      <c r="S24" s="294">
        <f t="shared" si="11"/>
        <v>0.79954206471668088</v>
      </c>
      <c r="T24" s="269">
        <f>O24/O6</f>
        <v>1</v>
      </c>
      <c r="U24" s="269">
        <f t="shared" ref="U24:X39" si="12">P24/P6</f>
        <v>1</v>
      </c>
      <c r="V24" s="269">
        <f t="shared" si="12"/>
        <v>1</v>
      </c>
      <c r="W24" s="269">
        <f t="shared" si="12"/>
        <v>0.99370319454076339</v>
      </c>
      <c r="X24" s="300">
        <f t="shared" si="12"/>
        <v>0.99025876983066019</v>
      </c>
      <c r="Y24" s="269">
        <f>O24/$O24</f>
        <v>1</v>
      </c>
      <c r="Z24" s="269">
        <f t="shared" ref="Z24:AC39" si="13">P24/$O24</f>
        <v>1</v>
      </c>
      <c r="AA24" s="269">
        <f t="shared" si="13"/>
        <v>1</v>
      </c>
      <c r="AB24" s="269">
        <f t="shared" si="13"/>
        <v>0.89019396866089207</v>
      </c>
      <c r="AC24" s="300">
        <f t="shared" si="13"/>
        <v>0.8196575190063724</v>
      </c>
      <c r="AD24" s="305">
        <f>(5-SUM(T24:X24))/5</f>
        <v>3.2076071257153061E-3</v>
      </c>
      <c r="AE24" s="306">
        <f>1-AD24</f>
        <v>0.99679239287428467</v>
      </c>
      <c r="AF24" s="187">
        <f>AE24*GBDUS!K75/(Y24+Z24+AA24+AB24+AC24)</f>
        <v>0</v>
      </c>
      <c r="AG24" s="187">
        <f>$AF24*Z24</f>
        <v>0</v>
      </c>
      <c r="AH24" s="187">
        <f t="shared" ref="AH24:AJ39" si="14">$AF24*AA24</f>
        <v>0</v>
      </c>
      <c r="AI24" s="187">
        <f t="shared" si="14"/>
        <v>0</v>
      </c>
      <c r="AJ24" s="265">
        <f t="shared" si="14"/>
        <v>0</v>
      </c>
      <c r="AK24" s="274">
        <f>AE24*GBDUS!L75/(Y24+Z24+AA24+AB24+AC24)</f>
        <v>0.97468467349164101</v>
      </c>
      <c r="AL24" s="274">
        <f>$AK24*Z24</f>
        <v>0.97468467349164101</v>
      </c>
      <c r="AM24" s="274">
        <f t="shared" ref="AM24:AO39" si="15">$AK24*AA24</f>
        <v>0.97468467349164101</v>
      </c>
      <c r="AN24" s="274">
        <f t="shared" si="15"/>
        <v>0.86765841768846974</v>
      </c>
      <c r="AO24" s="276">
        <f t="shared" si="15"/>
        <v>0.79890762128769466</v>
      </c>
      <c r="AP24" s="274">
        <f>AE24*GBDUS!M75/(Y24+Z24+AA24+AB24+AC24)</f>
        <v>2.3041434850501989</v>
      </c>
      <c r="AQ24" s="274">
        <f>$AP24*Z24</f>
        <v>2.3041434850501989</v>
      </c>
      <c r="AR24" s="274">
        <f t="shared" ref="AR24:AT39" si="16">$AP24*AA24</f>
        <v>2.3041434850501989</v>
      </c>
      <c r="AS24" s="274">
        <f t="shared" si="16"/>
        <v>2.0511346333209755</v>
      </c>
      <c r="AT24" s="276">
        <f t="shared" si="16"/>
        <v>1.8886085323909425</v>
      </c>
      <c r="AU24" s="338">
        <f>SUM(AF24:AJ24)-SUM(AF6:AJ6)</f>
        <v>0</v>
      </c>
      <c r="AV24" s="338">
        <f>SUM(AK24:AO24)-SUM(AK6:AO6)</f>
        <v>-1.4772289314615605E-2</v>
      </c>
      <c r="AW24" s="338">
        <f>SUM(AP24:AT24)-SUM(AP6:AT6)</f>
        <v>-3.4921523964886347E-2</v>
      </c>
      <c r="AX24" s="338">
        <f>AV24+AW24</f>
        <v>-4.9693813279501953E-2</v>
      </c>
    </row>
    <row r="25" spans="2:50" x14ac:dyDescent="0.2">
      <c r="B25" s="185">
        <v>1</v>
      </c>
      <c r="C25" s="297" t="s">
        <v>7</v>
      </c>
      <c r="D25" s="188">
        <f>Scenario!AL32</f>
        <v>0.72455011766948996</v>
      </c>
      <c r="E25" s="188">
        <f>Scenario!AM32</f>
        <v>1.8197811179668499</v>
      </c>
      <c r="F25" s="188">
        <f>Scenario!AN32</f>
        <v>3.4436880772239649</v>
      </c>
      <c r="G25" s="331">
        <f>Scenario!AO32</f>
        <v>6.5167109693191785</v>
      </c>
      <c r="H25" s="294">
        <f>Scenario!AP32</f>
        <v>16.36738064629516</v>
      </c>
      <c r="I25" s="191">
        <f>IF(D25+'Non-travel METs'!D26&gt;2.5, D25+'Non-travel METs'!D26, 0.1)</f>
        <v>0.1</v>
      </c>
      <c r="J25" s="191">
        <f>IF(E25+'Non-travel METs'!E26&gt;2.5, E25+'Non-travel METs'!E26, 0.1)</f>
        <v>0.1</v>
      </c>
      <c r="K25" s="191">
        <f>IF(F25+'Non-travel METs'!F26&gt;2.5, F25+'Non-travel METs'!F26, 0.1)</f>
        <v>3.4436880772239649</v>
      </c>
      <c r="L25" s="191">
        <f>IF(G25+'Non-travel METs'!G26&gt;2.5, G25+'Non-travel METs'!G26, 0.1)</f>
        <v>6.5167109693191785</v>
      </c>
      <c r="M25" s="196">
        <f>IF(H25+'Non-travel METs'!H26&gt;2.5, H25+'Non-travel METs'!H26, 0.1)</f>
        <v>16.36738064629516</v>
      </c>
      <c r="N25" s="241">
        <f>'Phy activity RRs'!$F$12</f>
        <v>0.9244331578735252</v>
      </c>
      <c r="O25" s="188">
        <f t="shared" ref="O25:O39" si="17">$N25^(I25^0.5)</f>
        <v>0.97545870827357695</v>
      </c>
      <c r="P25" s="188">
        <f t="shared" si="11"/>
        <v>0.97545870827357695</v>
      </c>
      <c r="Q25" s="188">
        <f t="shared" si="11"/>
        <v>0.86432005317524874</v>
      </c>
      <c r="R25" s="188">
        <f t="shared" si="11"/>
        <v>0.81825285106917056</v>
      </c>
      <c r="S25" s="294">
        <f t="shared" si="11"/>
        <v>0.72768574489253779</v>
      </c>
      <c r="T25" s="269">
        <f t="shared" ref="T25:T39" si="18">O25/O7</f>
        <v>1</v>
      </c>
      <c r="U25" s="269">
        <f t="shared" si="12"/>
        <v>1</v>
      </c>
      <c r="V25" s="269">
        <f t="shared" si="12"/>
        <v>0.99522313136565965</v>
      </c>
      <c r="W25" s="269">
        <f t="shared" si="12"/>
        <v>0.99357318684499984</v>
      </c>
      <c r="X25" s="300">
        <f t="shared" si="12"/>
        <v>0.99014999524977632</v>
      </c>
      <c r="Y25" s="269">
        <f t="shared" ref="Y25:Y39" si="19">O25/$O25</f>
        <v>1</v>
      </c>
      <c r="Z25" s="269">
        <f t="shared" si="13"/>
        <v>1</v>
      </c>
      <c r="AA25" s="269">
        <f t="shared" si="13"/>
        <v>0.88606523868649678</v>
      </c>
      <c r="AB25" s="269">
        <f t="shared" si="13"/>
        <v>0.83883904477859617</v>
      </c>
      <c r="AC25" s="300">
        <f t="shared" si="13"/>
        <v>0.74599338620948696</v>
      </c>
      <c r="AD25" s="305">
        <f t="shared" ref="AD25:AD39" si="20">(5-SUM(T25:X25))/5</f>
        <v>4.210737307912815E-3</v>
      </c>
      <c r="AE25" s="306">
        <f t="shared" ref="AE25:AE39" si="21">1-AD25</f>
        <v>0.99578926269208723</v>
      </c>
      <c r="AF25" s="187">
        <f>AE25*GBDUS!K76/(Y25+Z25+AA25+AB25+AC25)</f>
        <v>0</v>
      </c>
      <c r="AG25" s="187">
        <f t="shared" ref="AG25:AG39" si="22">$AF25*Z25</f>
        <v>0</v>
      </c>
      <c r="AH25" s="187">
        <f t="shared" si="14"/>
        <v>0</v>
      </c>
      <c r="AI25" s="187">
        <f t="shared" si="14"/>
        <v>0</v>
      </c>
      <c r="AJ25" s="265">
        <f t="shared" si="14"/>
        <v>0</v>
      </c>
      <c r="AK25" s="274">
        <f>AE25*GBDUS!L76/(Y25+Z25+AA25+AB25+AC25)</f>
        <v>0.824090781514904</v>
      </c>
      <c r="AL25" s="274">
        <f t="shared" ref="AL25:AL39" si="23">$AK25*Z25</f>
        <v>0.824090781514904</v>
      </c>
      <c r="AM25" s="274">
        <f t="shared" si="15"/>
        <v>0.73019819502234506</v>
      </c>
      <c r="AN25" s="274">
        <f t="shared" si="15"/>
        <v>0.69127952397680892</v>
      </c>
      <c r="AO25" s="276">
        <f t="shared" si="15"/>
        <v>0.61476627264632577</v>
      </c>
      <c r="AP25" s="274">
        <f>AE25*GBDUS!M76/(Y25+Z25+AA25+AB25+AC25)</f>
        <v>5.3023427253555759</v>
      </c>
      <c r="AQ25" s="274">
        <f t="shared" ref="AQ25:AQ39" si="24">$AP25*Z25</f>
        <v>5.3023427253555759</v>
      </c>
      <c r="AR25" s="274">
        <f t="shared" si="16"/>
        <v>4.698221572539798</v>
      </c>
      <c r="AS25" s="274">
        <f t="shared" si="16"/>
        <v>4.4478121068260092</v>
      </c>
      <c r="AT25" s="276">
        <f t="shared" si="16"/>
        <v>3.9555126045312456</v>
      </c>
      <c r="AU25" s="338">
        <f t="shared" ref="AU25:AU39" si="25">SUM(AF25:AJ25)-SUM(AF7:AJ7)</f>
        <v>0</v>
      </c>
      <c r="AV25" s="338">
        <f t="shared" ref="AV25:AV39" si="26">SUM(AK25:AO25)-SUM(AK7:AO7)</f>
        <v>-1.55797503774604E-2</v>
      </c>
      <c r="AW25" s="338">
        <f t="shared" ref="AW25:AW39" si="27">SUM(AP25:AT25)-SUM(AP7:AT7)</f>
        <v>-0.10024281053711448</v>
      </c>
      <c r="AX25" s="338">
        <f t="shared" ref="AX25:AX39" si="28">AV25+AW25</f>
        <v>-0.11582256091457488</v>
      </c>
    </row>
    <row r="26" spans="2:50" x14ac:dyDescent="0.2">
      <c r="B26" s="185">
        <v>1</v>
      </c>
      <c r="C26" s="297" t="s">
        <v>8</v>
      </c>
      <c r="D26" s="188">
        <f>Scenario!AL33</f>
        <v>0.55835336477175823</v>
      </c>
      <c r="E26" s="188">
        <f>Scenario!AM33</f>
        <v>1.4023611142775319</v>
      </c>
      <c r="F26" s="188">
        <f>Scenario!AN33</f>
        <v>2.6537775348474759</v>
      </c>
      <c r="G26" s="188">
        <f>Scenario!AO33</f>
        <v>5.0219127817796902</v>
      </c>
      <c r="H26" s="294">
        <f>Scenario!AP33</f>
        <v>12.613043367867888</v>
      </c>
      <c r="I26" s="191">
        <f>IF(D26+'Non-travel METs'!D27&gt;2.5, D26+'Non-travel METs'!D27, 0.1)</f>
        <v>65.435853364771759</v>
      </c>
      <c r="J26" s="191">
        <f>IF(E26+'Non-travel METs'!E27&gt;2.5, E26+'Non-travel METs'!E27, 0.1)</f>
        <v>66.279861114277523</v>
      </c>
      <c r="K26" s="191">
        <f>IF(F26+'Non-travel METs'!F27&gt;2.5, F26+'Non-travel METs'!F27, 0.1)</f>
        <v>67.531277534847476</v>
      </c>
      <c r="L26" s="191">
        <f>IF(G26+'Non-travel METs'!G27&gt;2.5, G26+'Non-travel METs'!G27, 0.1)</f>
        <v>69.899412781779688</v>
      </c>
      <c r="M26" s="196">
        <f>IF(H26+'Non-travel METs'!H27&gt;2.5, H26+'Non-travel METs'!H27, 0.1)</f>
        <v>77.490543367867886</v>
      </c>
      <c r="N26" s="241">
        <f>'Phy activity RRs'!$F$12</f>
        <v>0.9244331578735252</v>
      </c>
      <c r="O26" s="188">
        <f t="shared" si="17"/>
        <v>0.5296131286594965</v>
      </c>
      <c r="P26" s="188">
        <f t="shared" si="11"/>
        <v>0.52745355284750606</v>
      </c>
      <c r="Q26" s="188">
        <f t="shared" si="11"/>
        <v>0.52429268070062696</v>
      </c>
      <c r="R26" s="188">
        <f t="shared" si="11"/>
        <v>0.51844092245049367</v>
      </c>
      <c r="S26" s="294">
        <f t="shared" si="11"/>
        <v>0.50073338245658916</v>
      </c>
      <c r="T26" s="269">
        <f t="shared" si="18"/>
        <v>0.99983003902476297</v>
      </c>
      <c r="U26" s="269">
        <f t="shared" si="12"/>
        <v>0.99958899711445759</v>
      </c>
      <c r="V26" s="269">
        <f t="shared" si="12"/>
        <v>0.99924653908182814</v>
      </c>
      <c r="W26" s="269">
        <f t="shared" si="12"/>
        <v>0.99863025099274594</v>
      </c>
      <c r="X26" s="300">
        <f t="shared" si="12"/>
        <v>0.99684162919983532</v>
      </c>
      <c r="Y26" s="269">
        <f t="shared" si="19"/>
        <v>1</v>
      </c>
      <c r="Z26" s="269">
        <f t="shared" si="13"/>
        <v>0.99592235219422043</v>
      </c>
      <c r="AA26" s="269">
        <f t="shared" si="13"/>
        <v>0.98995408597151635</v>
      </c>
      <c r="AB26" s="269">
        <f t="shared" si="13"/>
        <v>0.97890496741030419</v>
      </c>
      <c r="AC26" s="300">
        <f t="shared" si="13"/>
        <v>0.9454701089529165</v>
      </c>
      <c r="AD26" s="305">
        <f t="shared" si="20"/>
        <v>1.172508917274051E-3</v>
      </c>
      <c r="AE26" s="306">
        <f t="shared" si="21"/>
        <v>0.99882749108272595</v>
      </c>
      <c r="AF26" s="187">
        <f>AE26*GBDUS!K77/(Y26+Z26+AA26+AB26+AC26)</f>
        <v>0</v>
      </c>
      <c r="AG26" s="187">
        <f t="shared" si="22"/>
        <v>0</v>
      </c>
      <c r="AH26" s="187">
        <f t="shared" si="14"/>
        <v>0</v>
      </c>
      <c r="AI26" s="187">
        <f t="shared" si="14"/>
        <v>0</v>
      </c>
      <c r="AJ26" s="265">
        <f t="shared" si="14"/>
        <v>0</v>
      </c>
      <c r="AK26" s="274">
        <f>AE26*GBDUS!L77/(Y26+Z26+AA26+AB26+AC26)</f>
        <v>10.28799313532768</v>
      </c>
      <c r="AL26" s="274">
        <f t="shared" si="23"/>
        <v>10.246042322693535</v>
      </c>
      <c r="AM26" s="274">
        <f t="shared" si="15"/>
        <v>10.184640840764548</v>
      </c>
      <c r="AN26" s="274">
        <f t="shared" si="15"/>
        <v>10.070967584855376</v>
      </c>
      <c r="AO26" s="276">
        <f t="shared" si="15"/>
        <v>9.7269899905651194</v>
      </c>
      <c r="AP26" s="274">
        <f>AE26*GBDUS!M77/(Y26+Z26+AA26+AB26+AC26)</f>
        <v>13.683233463955588</v>
      </c>
      <c r="AQ26" s="274">
        <f t="shared" si="24"/>
        <v>13.627438057045319</v>
      </c>
      <c r="AR26" s="274">
        <f t="shared" si="16"/>
        <v>13.545772876945019</v>
      </c>
      <c r="AS26" s="274">
        <f t="shared" si="16"/>
        <v>13.394585208101029</v>
      </c>
      <c r="AT26" s="276">
        <f t="shared" si="16"/>
        <v>12.937088233994283</v>
      </c>
      <c r="AU26" s="338">
        <f t="shared" si="25"/>
        <v>0</v>
      </c>
      <c r="AV26" s="338">
        <f t="shared" si="26"/>
        <v>-5.9300734327976556E-2</v>
      </c>
      <c r="AW26" s="338">
        <f t="shared" si="27"/>
        <v>-7.8871144422492989E-2</v>
      </c>
      <c r="AX26" s="338">
        <f t="shared" si="28"/>
        <v>-0.13817187875046955</v>
      </c>
    </row>
    <row r="27" spans="2:50" x14ac:dyDescent="0.2">
      <c r="B27" s="185">
        <v>1</v>
      </c>
      <c r="C27" s="297" t="s">
        <v>9</v>
      </c>
      <c r="D27" s="188">
        <f>Scenario!AL34</f>
        <v>0.48139446095649707</v>
      </c>
      <c r="E27" s="188">
        <f>Scenario!AM34</f>
        <v>1.2090710207324453</v>
      </c>
      <c r="F27" s="188">
        <f>Scenario!AN34</f>
        <v>2.2880023413283812</v>
      </c>
      <c r="G27" s="188">
        <f>Scenario!AO34</f>
        <v>4.3297330133285801</v>
      </c>
      <c r="H27" s="294">
        <f>Scenario!AP34</f>
        <v>10.874563665569944</v>
      </c>
      <c r="I27" s="191">
        <f>IF(D27+'Non-travel METs'!D28&gt;2.5, D27+'Non-travel METs'!D28, 0.1)</f>
        <v>68.175144460956489</v>
      </c>
      <c r="J27" s="191">
        <f>IF(E27+'Non-travel METs'!E28&gt;2.5, E27+'Non-travel METs'!E28, 0.1)</f>
        <v>68.902821020732446</v>
      </c>
      <c r="K27" s="191">
        <f>IF(F27+'Non-travel METs'!F28&gt;2.5, F27+'Non-travel METs'!F28, 0.1)</f>
        <v>69.981752341328374</v>
      </c>
      <c r="L27" s="191">
        <f>IF(G27+'Non-travel METs'!G28&gt;2.5, G27+'Non-travel METs'!G28, 0.1)</f>
        <v>72.023483013328573</v>
      </c>
      <c r="M27" s="196">
        <f>IF(H27+'Non-travel METs'!H28&gt;2.5, H27+'Non-travel METs'!H28, 0.1)</f>
        <v>78.568313665569946</v>
      </c>
      <c r="N27" s="241">
        <f>'Phy activity RRs'!$F$12</f>
        <v>0.9244331578735252</v>
      </c>
      <c r="O27" s="188">
        <f t="shared" si="17"/>
        <v>0.5226851063336474</v>
      </c>
      <c r="P27" s="188">
        <f t="shared" si="11"/>
        <v>0.52088327813451407</v>
      </c>
      <c r="Q27" s="188">
        <f t="shared" si="11"/>
        <v>0.51824042399851211</v>
      </c>
      <c r="R27" s="188">
        <f t="shared" si="11"/>
        <v>0.51333032729455585</v>
      </c>
      <c r="S27" s="294">
        <f t="shared" si="11"/>
        <v>0.4983388680116953</v>
      </c>
      <c r="T27" s="269">
        <f t="shared" si="18"/>
        <v>0.99985541366614961</v>
      </c>
      <c r="U27" s="269">
        <f t="shared" si="12"/>
        <v>0.99964989346276245</v>
      </c>
      <c r="V27" s="269">
        <f t="shared" si="12"/>
        <v>0.99935705503992134</v>
      </c>
      <c r="W27" s="269">
        <f t="shared" si="12"/>
        <v>0.99882763357886162</v>
      </c>
      <c r="X27" s="300">
        <f t="shared" si="12"/>
        <v>0.99727422290520873</v>
      </c>
      <c r="Y27" s="269">
        <f t="shared" si="19"/>
        <v>1</v>
      </c>
      <c r="Z27" s="269">
        <f t="shared" si="13"/>
        <v>0.99655274623803192</v>
      </c>
      <c r="AA27" s="269">
        <f t="shared" si="13"/>
        <v>0.99149644349671195</v>
      </c>
      <c r="AB27" s="269">
        <f t="shared" si="13"/>
        <v>0.98210245724292733</v>
      </c>
      <c r="AC27" s="300">
        <f t="shared" si="13"/>
        <v>0.95342083019597068</v>
      </c>
      <c r="AD27" s="305">
        <f t="shared" si="20"/>
        <v>1.0071562694191627E-3</v>
      </c>
      <c r="AE27" s="306">
        <f t="shared" si="21"/>
        <v>0.99899284373058084</v>
      </c>
      <c r="AF27" s="187">
        <f>AE27*GBDUS!K78/(Y27+Z27+AA27+AB27+AC27)</f>
        <v>0.60869999275650888</v>
      </c>
      <c r="AG27" s="187">
        <f t="shared" si="22"/>
        <v>0.60660164941656902</v>
      </c>
      <c r="AH27" s="187">
        <f t="shared" si="14"/>
        <v>0.60352387797455287</v>
      </c>
      <c r="AI27" s="187">
        <f t="shared" si="14"/>
        <v>0.59780575860991947</v>
      </c>
      <c r="AJ27" s="265">
        <f t="shared" si="14"/>
        <v>0.58034725243419205</v>
      </c>
      <c r="AK27" s="274">
        <f>AE27*GBDUS!L78/(Y27+Z27+AA27+AB27+AC27)</f>
        <v>28.75275657654764</v>
      </c>
      <c r="AL27" s="274">
        <f t="shared" si="23"/>
        <v>28.653638528272182</v>
      </c>
      <c r="AM27" s="274">
        <f t="shared" si="15"/>
        <v>28.508255886373679</v>
      </c>
      <c r="AN27" s="274">
        <f t="shared" si="15"/>
        <v>28.238152886335175</v>
      </c>
      <c r="AO27" s="276">
        <f t="shared" si="15"/>
        <v>27.413477045634707</v>
      </c>
      <c r="AP27" s="274">
        <f>AE27*GBDUS!M78/(Y27+Z27+AA27+AB27+AC27)</f>
        <v>34.243636847658998</v>
      </c>
      <c r="AQ27" s="274">
        <f t="shared" si="24"/>
        <v>34.125590341712439</v>
      </c>
      <c r="AR27" s="274">
        <f t="shared" si="16"/>
        <v>33.952444146846851</v>
      </c>
      <c r="AS27" s="274">
        <f t="shared" si="16"/>
        <v>33.630759893020354</v>
      </c>
      <c r="AT27" s="276">
        <f t="shared" si="16"/>
        <v>32.648596672224372</v>
      </c>
      <c r="AU27" s="338">
        <f t="shared" si="25"/>
        <v>-3.0214688082579322E-3</v>
      </c>
      <c r="AV27" s="338">
        <f t="shared" si="26"/>
        <v>-0.1427231118470047</v>
      </c>
      <c r="AW27" s="338">
        <f t="shared" si="27"/>
        <v>-0.16997877747286338</v>
      </c>
      <c r="AX27" s="338">
        <f t="shared" si="28"/>
        <v>-0.31270188931986809</v>
      </c>
    </row>
    <row r="28" spans="2:50" x14ac:dyDescent="0.2">
      <c r="B28" s="185">
        <v>1</v>
      </c>
      <c r="C28" s="297" t="s">
        <v>10</v>
      </c>
      <c r="D28" s="188">
        <f>Scenario!AL35</f>
        <v>0.40591226731191066</v>
      </c>
      <c r="E28" s="188">
        <f>Scenario!AM35</f>
        <v>1.0194898345766048</v>
      </c>
      <c r="F28" s="188">
        <f>Scenario!AN35</f>
        <v>1.9292457502278801</v>
      </c>
      <c r="G28" s="188">
        <f>Scenario!AO35</f>
        <v>3.6508349946599323</v>
      </c>
      <c r="H28" s="294">
        <f>Scenario!AP35</f>
        <v>9.1694424251344167</v>
      </c>
      <c r="I28" s="191">
        <f>IF(D28+'Non-travel METs'!D29&gt;2.5, D28+'Non-travel METs'!D29, 0.1)</f>
        <v>58.180912267311911</v>
      </c>
      <c r="J28" s="191">
        <f>IF(E28+'Non-travel METs'!E29&gt;2.5, E28+'Non-travel METs'!E29, 0.1)</f>
        <v>58.794489834576602</v>
      </c>
      <c r="K28" s="191">
        <f>IF(F28+'Non-travel METs'!F29&gt;2.5, F28+'Non-travel METs'!F29, 0.1)</f>
        <v>59.704245750227876</v>
      </c>
      <c r="L28" s="191">
        <f>IF(G28+'Non-travel METs'!G29&gt;2.5, G28+'Non-travel METs'!G29, 0.1)</f>
        <v>61.42583499465993</v>
      </c>
      <c r="M28" s="196">
        <f>IF(H28+'Non-travel METs'!H29&gt;2.5, H28+'Non-travel METs'!H29, 0.1)</f>
        <v>66.944442425134412</v>
      </c>
      <c r="N28" s="241">
        <f>'Phy activity RRs'!$F$12</f>
        <v>0.9244331578735252</v>
      </c>
      <c r="O28" s="188">
        <f t="shared" si="17"/>
        <v>0.54917488031061212</v>
      </c>
      <c r="P28" s="188">
        <f t="shared" si="11"/>
        <v>0.54744658924280609</v>
      </c>
      <c r="Q28" s="188">
        <f t="shared" si="11"/>
        <v>0.54491045714034014</v>
      </c>
      <c r="R28" s="188">
        <f t="shared" si="11"/>
        <v>0.54019503542040892</v>
      </c>
      <c r="S28" s="294">
        <f t="shared" si="11"/>
        <v>0.52576888500746832</v>
      </c>
      <c r="T28" s="269">
        <f t="shared" si="18"/>
        <v>0.99988935431079184</v>
      </c>
      <c r="U28" s="269">
        <f t="shared" si="12"/>
        <v>0.99973381545514362</v>
      </c>
      <c r="V28" s="269">
        <f t="shared" si="12"/>
        <v>0.99951348599766809</v>
      </c>
      <c r="W28" s="269">
        <f t="shared" si="12"/>
        <v>0.99911723781620998</v>
      </c>
      <c r="X28" s="300">
        <f t="shared" si="12"/>
        <v>0.99796264975877957</v>
      </c>
      <c r="Y28" s="269">
        <f t="shared" si="19"/>
        <v>1</v>
      </c>
      <c r="Z28" s="269">
        <f t="shared" si="13"/>
        <v>0.9968529313161073</v>
      </c>
      <c r="AA28" s="269">
        <f t="shared" si="13"/>
        <v>0.99223485391782662</v>
      </c>
      <c r="AB28" s="269">
        <f t="shared" si="13"/>
        <v>0.98364847844984415</v>
      </c>
      <c r="AC28" s="300">
        <f t="shared" si="13"/>
        <v>0.95737970518625071</v>
      </c>
      <c r="AD28" s="305">
        <f t="shared" si="20"/>
        <v>7.5669133228135617E-4</v>
      </c>
      <c r="AE28" s="306">
        <f t="shared" si="21"/>
        <v>0.9992433086677186</v>
      </c>
      <c r="AF28" s="187">
        <f>AE28*GBDUS!K79/(Y28+Z28+AA28+AB28+AC28)</f>
        <v>2.6348595235291508</v>
      </c>
      <c r="AG28" s="187">
        <f t="shared" si="22"/>
        <v>2.6265674396361955</v>
      </c>
      <c r="AH28" s="187">
        <f t="shared" si="14"/>
        <v>2.6143994544229412</v>
      </c>
      <c r="AI28" s="187">
        <f t="shared" si="14"/>
        <v>2.5917755612485305</v>
      </c>
      <c r="AJ28" s="265">
        <f t="shared" si="14"/>
        <v>2.5225610338435231</v>
      </c>
      <c r="AK28" s="274">
        <f>AE28*GBDUS!L79/(Y28+Z28+AA28+AB28+AC28)</f>
        <v>88.023426060070875</v>
      </c>
      <c r="AL28" s="274">
        <f t="shared" si="23"/>
        <v>87.746410292468283</v>
      </c>
      <c r="AM28" s="274">
        <f t="shared" si="15"/>
        <v>87.33991129806104</v>
      </c>
      <c r="AN28" s="274">
        <f t="shared" si="15"/>
        <v>86.58410911193107</v>
      </c>
      <c r="AO28" s="276">
        <f t="shared" si="15"/>
        <v>84.271841690874396</v>
      </c>
      <c r="AP28" s="274">
        <f>AE28*GBDUS!M79/(Y28+Z28+AA28+AB28+AC28)</f>
        <v>75.12775007026616</v>
      </c>
      <c r="AQ28" s="274">
        <f t="shared" si="24"/>
        <v>74.891317880728707</v>
      </c>
      <c r="AR28" s="274">
        <f t="shared" si="16"/>
        <v>74.544372116145539</v>
      </c>
      <c r="AS28" s="274">
        <f t="shared" si="16"/>
        <v>73.899297045977477</v>
      </c>
      <c r="AT28" s="276">
        <f t="shared" si="16"/>
        <v>71.925783213577745</v>
      </c>
      <c r="AU28" s="338">
        <f t="shared" si="25"/>
        <v>-9.8369873196606505E-3</v>
      </c>
      <c r="AV28" s="338">
        <f t="shared" si="26"/>
        <v>-0.3286267515416057</v>
      </c>
      <c r="AW28" s="338">
        <f t="shared" si="27"/>
        <v>-0.28048202122204202</v>
      </c>
      <c r="AX28" s="338">
        <f t="shared" si="28"/>
        <v>-0.60910877276364772</v>
      </c>
    </row>
    <row r="29" spans="2:50" x14ac:dyDescent="0.2">
      <c r="B29" s="185">
        <v>1</v>
      </c>
      <c r="C29" s="297" t="s">
        <v>11</v>
      </c>
      <c r="D29" s="188">
        <f>Scenario!AL36</f>
        <v>0.33207313165469332</v>
      </c>
      <c r="E29" s="188">
        <f>Scenario!AM36</f>
        <v>0.83403535522574834</v>
      </c>
      <c r="F29" s="188">
        <f>Scenario!AN36</f>
        <v>1.5782983900740115</v>
      </c>
      <c r="G29" s="188">
        <f>Scenario!AO36</f>
        <v>2.9867148826514303</v>
      </c>
      <c r="H29" s="294">
        <f>Scenario!AP36</f>
        <v>7.5014373963278462</v>
      </c>
      <c r="I29" s="191">
        <f>IF(D29+'Non-travel METs'!D30&gt;2.5, D29+'Non-travel METs'!D30, 0.1)</f>
        <v>23.415406464987992</v>
      </c>
      <c r="J29" s="191">
        <f>IF(E29+'Non-travel METs'!E30&gt;2.5, E29+'Non-travel METs'!E30, 0.1)</f>
        <v>23.917368688559048</v>
      </c>
      <c r="K29" s="191">
        <f>IF(F29+'Non-travel METs'!F30&gt;2.5, F29+'Non-travel METs'!F30, 0.1)</f>
        <v>24.661631723407311</v>
      </c>
      <c r="L29" s="191">
        <f>IF(G29+'Non-travel METs'!G30&gt;2.5, G29+'Non-travel METs'!G30, 0.1)</f>
        <v>26.07004821598473</v>
      </c>
      <c r="M29" s="196">
        <f>IF(H29+'Non-travel METs'!H30&gt;2.5, H29+'Non-travel METs'!H30, 0.1)</f>
        <v>30.584770729661145</v>
      </c>
      <c r="N29" s="241">
        <f>'Phy activity RRs'!$F$12</f>
        <v>0.9244331578735252</v>
      </c>
      <c r="O29" s="188">
        <f t="shared" si="17"/>
        <v>0.68371235667615549</v>
      </c>
      <c r="P29" s="188">
        <f t="shared" si="11"/>
        <v>0.68094632969252356</v>
      </c>
      <c r="Q29" s="188">
        <f t="shared" si="11"/>
        <v>0.67691816820624107</v>
      </c>
      <c r="R29" s="188">
        <f t="shared" si="11"/>
        <v>0.66952121998292324</v>
      </c>
      <c r="S29" s="294">
        <f t="shared" si="11"/>
        <v>0.64755946091785466</v>
      </c>
      <c r="T29" s="269">
        <f t="shared" si="18"/>
        <v>0.99983677499569434</v>
      </c>
      <c r="U29" s="269">
        <f t="shared" si="12"/>
        <v>0.99960736942107997</v>
      </c>
      <c r="V29" s="269">
        <f t="shared" si="12"/>
        <v>0.99928502778910788</v>
      </c>
      <c r="W29" s="269">
        <f t="shared" si="12"/>
        <v>0.99871471746973361</v>
      </c>
      <c r="X29" s="300">
        <f t="shared" si="12"/>
        <v>0.99712157301453375</v>
      </c>
      <c r="Y29" s="269">
        <f t="shared" si="19"/>
        <v>1</v>
      </c>
      <c r="Z29" s="269">
        <f t="shared" si="13"/>
        <v>0.99595439960003229</v>
      </c>
      <c r="AA29" s="269">
        <f t="shared" si="13"/>
        <v>0.99006279701752919</v>
      </c>
      <c r="AB29" s="269">
        <f t="shared" si="13"/>
        <v>0.97924399558577235</v>
      </c>
      <c r="AC29" s="300">
        <f t="shared" si="13"/>
        <v>0.94712265266923523</v>
      </c>
      <c r="AD29" s="305">
        <f t="shared" si="20"/>
        <v>1.0869074619700215E-3</v>
      </c>
      <c r="AE29" s="306">
        <f t="shared" si="21"/>
        <v>0.99891309253802996</v>
      </c>
      <c r="AF29" s="187">
        <f>AE29*GBDUS!K80/(Y29+Z29+AA29+AB29+AC29)</f>
        <v>2.8468425386036165</v>
      </c>
      <c r="AG29" s="187">
        <f t="shared" si="22"/>
        <v>2.8353253512907965</v>
      </c>
      <c r="AH29" s="187">
        <f t="shared" si="14"/>
        <v>2.81855288643838</v>
      </c>
      <c r="AI29" s="187">
        <f t="shared" si="14"/>
        <v>2.7877534623057487</v>
      </c>
      <c r="AJ29" s="265">
        <f t="shared" si="14"/>
        <v>2.696309056893877</v>
      </c>
      <c r="AK29" s="274">
        <f>AE29*GBDUS!L80/(Y29+Z29+AA29+AB29+AC29)</f>
        <v>65.975153687113135</v>
      </c>
      <c r="AL29" s="274">
        <f t="shared" si="23"/>
        <v>65.708244578968618</v>
      </c>
      <c r="AM29" s="274">
        <f t="shared" si="15"/>
        <v>65.319545193124583</v>
      </c>
      <c r="AN29" s="274">
        <f t="shared" si="15"/>
        <v>64.605773105954071</v>
      </c>
      <c r="AO29" s="276">
        <f t="shared" si="15"/>
        <v>62.486562570399066</v>
      </c>
      <c r="AP29" s="274">
        <f>AE29*GBDUS!M80/(Y29+Z29+AA29+AB29+AC29)</f>
        <v>42.074725658118915</v>
      </c>
      <c r="AQ29" s="274">
        <f t="shared" si="24"/>
        <v>41.904508131167894</v>
      </c>
      <c r="AR29" s="274">
        <f t="shared" si="16"/>
        <v>41.656620568822412</v>
      </c>
      <c r="AS29" s="274">
        <f t="shared" si="16"/>
        <v>41.201422466631584</v>
      </c>
      <c r="AT29" s="276">
        <f t="shared" si="16"/>
        <v>39.849925775647918</v>
      </c>
      <c r="AU29" s="338">
        <f t="shared" si="25"/>
        <v>-1.5216704467579945E-2</v>
      </c>
      <c r="AV29" s="338">
        <f t="shared" si="26"/>
        <v>-0.35264486962194042</v>
      </c>
      <c r="AW29" s="338">
        <f t="shared" si="27"/>
        <v>-0.22489430209517991</v>
      </c>
      <c r="AX29" s="338">
        <f t="shared" si="28"/>
        <v>-0.57753917171712033</v>
      </c>
    </row>
    <row r="30" spans="2:50" x14ac:dyDescent="0.2">
      <c r="B30" s="185">
        <v>1</v>
      </c>
      <c r="C30" s="297" t="s">
        <v>12</v>
      </c>
      <c r="D30" s="188">
        <f>Scenario!AL37</f>
        <v>0.19177331888346999</v>
      </c>
      <c r="E30" s="188">
        <f>Scenario!AM37</f>
        <v>0.48165814361673631</v>
      </c>
      <c r="F30" s="188">
        <f>Scenario!AN37</f>
        <v>0.91147247880225446</v>
      </c>
      <c r="G30" s="188">
        <f>Scenario!AO37</f>
        <v>1.7248376065556441</v>
      </c>
      <c r="H30" s="294">
        <f>Scenario!AP37</f>
        <v>4.3321046141916462</v>
      </c>
      <c r="I30" s="191">
        <f>IF(D30+'Non-travel METs'!D31&gt;2.5, D30+'Non-travel METs'!D31, 0.1)</f>
        <v>0.1</v>
      </c>
      <c r="J30" s="191">
        <f>IF(E30+'Non-travel METs'!E31&gt;2.5, E30+'Non-travel METs'!E31, 0.1)</f>
        <v>0.1</v>
      </c>
      <c r="K30" s="191">
        <f>IF(F30+'Non-travel METs'!F31&gt;2.5, F30+'Non-travel METs'!F31, 0.1)</f>
        <v>2.7864724788022546</v>
      </c>
      <c r="L30" s="191">
        <f>IF(G30+'Non-travel METs'!G31&gt;2.5, G30+'Non-travel METs'!G31, 0.1)</f>
        <v>3.5998376065556439</v>
      </c>
      <c r="M30" s="196">
        <f>IF(H30+'Non-travel METs'!H31&gt;2.5, H30+'Non-travel METs'!H31, 0.1)</f>
        <v>6.2071046141916462</v>
      </c>
      <c r="N30" s="241">
        <f>'Phy activity RRs'!$F$12</f>
        <v>0.9244331578735252</v>
      </c>
      <c r="O30" s="188">
        <f t="shared" si="17"/>
        <v>0.97545870827357695</v>
      </c>
      <c r="P30" s="188">
        <f t="shared" si="11"/>
        <v>0.97545870827357695</v>
      </c>
      <c r="Q30" s="188">
        <f t="shared" si="11"/>
        <v>0.87707537212921249</v>
      </c>
      <c r="R30" s="188">
        <f t="shared" si="11"/>
        <v>0.86149904720374493</v>
      </c>
      <c r="S30" s="294">
        <f t="shared" si="11"/>
        <v>0.82220866034274287</v>
      </c>
      <c r="T30" s="269">
        <f t="shared" si="18"/>
        <v>1</v>
      </c>
      <c r="U30" s="269">
        <f t="shared" si="12"/>
        <v>1</v>
      </c>
      <c r="V30" s="269">
        <f t="shared" si="12"/>
        <v>0.99879660921210744</v>
      </c>
      <c r="W30" s="269">
        <f t="shared" si="12"/>
        <v>0.99804197467447187</v>
      </c>
      <c r="X30" s="300">
        <f t="shared" si="12"/>
        <v>0.99638298851603158</v>
      </c>
      <c r="Y30" s="269">
        <f t="shared" si="19"/>
        <v>1</v>
      </c>
      <c r="Z30" s="269">
        <f t="shared" si="13"/>
        <v>1</v>
      </c>
      <c r="AA30" s="269">
        <f t="shared" si="13"/>
        <v>0.89914146512824833</v>
      </c>
      <c r="AB30" s="269">
        <f t="shared" si="13"/>
        <v>0.88317325981791239</v>
      </c>
      <c r="AC30" s="300">
        <f t="shared" si="13"/>
        <v>0.84289437714686577</v>
      </c>
      <c r="AD30" s="305">
        <f t="shared" si="20"/>
        <v>1.355685519477845E-3</v>
      </c>
      <c r="AE30" s="306">
        <f t="shared" si="21"/>
        <v>0.99864431448052216</v>
      </c>
      <c r="AF30" s="187">
        <f>AE30*GBDUS!K81/(Y30+Z30+AA30+AB30+AC30)</f>
        <v>5.3978333327060275</v>
      </c>
      <c r="AG30" s="187">
        <f t="shared" si="22"/>
        <v>5.3978333327060275</v>
      </c>
      <c r="AH30" s="187">
        <f t="shared" si="14"/>
        <v>4.8534157712873931</v>
      </c>
      <c r="AI30" s="187">
        <f t="shared" si="14"/>
        <v>4.7672220603997681</v>
      </c>
      <c r="AJ30" s="265">
        <f t="shared" si="14"/>
        <v>4.5498033649138376</v>
      </c>
      <c r="AK30" s="274">
        <f>AE30*GBDUS!L81/(Y30+Z30+AA30+AB30+AC30)</f>
        <v>79.588289176709921</v>
      </c>
      <c r="AL30" s="274">
        <f t="shared" si="23"/>
        <v>79.588289176709921</v>
      </c>
      <c r="AM30" s="274">
        <f t="shared" si="15"/>
        <v>71.561130937397664</v>
      </c>
      <c r="AN30" s="274">
        <f t="shared" si="15"/>
        <v>70.290248795525571</v>
      </c>
      <c r="AO30" s="276">
        <f t="shared" si="15"/>
        <v>67.084521433787543</v>
      </c>
      <c r="AP30" s="274">
        <f>AE30*GBDUS!M81/(Y30+Z30+AA30+AB30+AC30)</f>
        <v>46.329455944737312</v>
      </c>
      <c r="AQ30" s="274">
        <f t="shared" si="24"/>
        <v>46.329455944737312</v>
      </c>
      <c r="AR30" s="274">
        <f t="shared" si="16"/>
        <v>41.656734896745739</v>
      </c>
      <c r="AS30" s="274">
        <f t="shared" si="16"/>
        <v>40.916936632304015</v>
      </c>
      <c r="AT30" s="276">
        <f t="shared" si="16"/>
        <v>39.050837912092511</v>
      </c>
      <c r="AU30" s="338">
        <f t="shared" si="25"/>
        <v>-3.3892137986946125E-2</v>
      </c>
      <c r="AV30" s="338">
        <f t="shared" si="26"/>
        <v>-0.49972222420757362</v>
      </c>
      <c r="AW30" s="338">
        <f t="shared" si="27"/>
        <v>-0.29089529389972313</v>
      </c>
      <c r="AX30" s="338">
        <f t="shared" si="28"/>
        <v>-0.79061751810729675</v>
      </c>
    </row>
    <row r="31" spans="2:50" x14ac:dyDescent="0.2">
      <c r="B31" s="292">
        <v>1</v>
      </c>
      <c r="C31" s="298" t="s">
        <v>13</v>
      </c>
      <c r="D31" s="293">
        <f>Scenario!AL38</f>
        <v>0.18242608873991903</v>
      </c>
      <c r="E31" s="293">
        <f>Scenario!AM38</f>
        <v>0.45818162694010256</v>
      </c>
      <c r="F31" s="293">
        <f>Scenario!AN38</f>
        <v>0.86704636635616106</v>
      </c>
      <c r="G31" s="293">
        <f>Scenario!AO38</f>
        <v>1.6407672355436893</v>
      </c>
      <c r="H31" s="295">
        <f>Scenario!AP38</f>
        <v>4.1209533494038997</v>
      </c>
      <c r="I31" s="203">
        <f>IF(D31+'Non-travel METs'!D32&gt;2.5, D31+'Non-travel METs'!D32, 0.1)</f>
        <v>0.1</v>
      </c>
      <c r="J31" s="201">
        <f>IF(E31+'Non-travel METs'!E32&gt;2.5, E31+'Non-travel METs'!E32, 0.1)</f>
        <v>0.1</v>
      </c>
      <c r="K31" s="201">
        <f>IF(F31+'Non-travel METs'!F32&gt;2.5, F31+'Non-travel METs'!F32, 0.1)</f>
        <v>0.1</v>
      </c>
      <c r="L31" s="201">
        <f>IF(G31+'Non-travel METs'!G32&gt;2.5, G31+'Non-travel METs'!G32, 0.1)</f>
        <v>0.1</v>
      </c>
      <c r="M31" s="202">
        <f>IF(H31+'Non-travel METs'!H32&gt;2.5, H31+'Non-travel METs'!H32, 0.1)</f>
        <v>4.4542866827372327</v>
      </c>
      <c r="N31" s="241">
        <f>'Phy activity RRs'!$F$12</f>
        <v>0.9244331578735252</v>
      </c>
      <c r="O31" s="299">
        <f t="shared" si="17"/>
        <v>0.97545870827357695</v>
      </c>
      <c r="P31" s="293">
        <f t="shared" si="11"/>
        <v>0.97545870827357695</v>
      </c>
      <c r="Q31" s="293">
        <f t="shared" si="11"/>
        <v>0.97545870827357695</v>
      </c>
      <c r="R31" s="293">
        <f t="shared" si="11"/>
        <v>0.97545870827357695</v>
      </c>
      <c r="S31" s="295">
        <f t="shared" si="11"/>
        <v>0.84718772664689712</v>
      </c>
      <c r="T31" s="301">
        <f t="shared" si="18"/>
        <v>1</v>
      </c>
      <c r="U31" s="302">
        <f t="shared" si="12"/>
        <v>1</v>
      </c>
      <c r="V31" s="302">
        <f t="shared" si="12"/>
        <v>1</v>
      </c>
      <c r="W31" s="302">
        <f t="shared" si="12"/>
        <v>1</v>
      </c>
      <c r="X31" s="303">
        <f t="shared" si="12"/>
        <v>0.99346225971826807</v>
      </c>
      <c r="Y31" s="301">
        <f t="shared" si="19"/>
        <v>1</v>
      </c>
      <c r="Z31" s="302">
        <f t="shared" si="13"/>
        <v>1</v>
      </c>
      <c r="AA31" s="302">
        <f t="shared" si="13"/>
        <v>1</v>
      </c>
      <c r="AB31" s="302">
        <f t="shared" si="13"/>
        <v>1</v>
      </c>
      <c r="AC31" s="303">
        <f t="shared" si="13"/>
        <v>0.86850188476588497</v>
      </c>
      <c r="AD31" s="304">
        <f t="shared" si="20"/>
        <v>1.3075480563463416E-3</v>
      </c>
      <c r="AE31" s="306">
        <f t="shared" si="21"/>
        <v>0.99869245194365364</v>
      </c>
      <c r="AF31" s="187">
        <f>AE31*GBDUS!K82/(Y31+Z31+AA31+AB31+AC31)</f>
        <v>9.6412708369751172</v>
      </c>
      <c r="AG31" s="267">
        <f t="shared" si="22"/>
        <v>9.6412708369751172</v>
      </c>
      <c r="AH31" s="267">
        <f t="shared" si="14"/>
        <v>9.6412708369751172</v>
      </c>
      <c r="AI31" s="267">
        <f t="shared" si="14"/>
        <v>9.6412708369751172</v>
      </c>
      <c r="AJ31" s="268">
        <f t="shared" si="14"/>
        <v>8.3734618934512497</v>
      </c>
      <c r="AK31" s="274">
        <f>AE31*GBDUS!L82/(Y31+Z31+AA31+AB31+AC31)</f>
        <v>61.368338027458066</v>
      </c>
      <c r="AL31" s="278">
        <f t="shared" si="23"/>
        <v>61.368338027458066</v>
      </c>
      <c r="AM31" s="278">
        <f t="shared" si="15"/>
        <v>61.368338027458066</v>
      </c>
      <c r="AN31" s="278">
        <f t="shared" si="15"/>
        <v>61.368338027458066</v>
      </c>
      <c r="AO31" s="279">
        <f t="shared" si="15"/>
        <v>53.298517241797263</v>
      </c>
      <c r="AP31" s="274">
        <f>AE31*GBDUS!M82/(Y31+Z31+AA31+AB31+AC31)</f>
        <v>36.784599148753593</v>
      </c>
      <c r="AQ31" s="278">
        <f t="shared" si="24"/>
        <v>36.784599148753593</v>
      </c>
      <c r="AR31" s="278">
        <f t="shared" si="16"/>
        <v>36.784599148753593</v>
      </c>
      <c r="AS31" s="278">
        <f t="shared" si="16"/>
        <v>36.784599148753593</v>
      </c>
      <c r="AT31" s="279">
        <f t="shared" si="16"/>
        <v>31.947493691050063</v>
      </c>
      <c r="AU31" s="339">
        <f t="shared" si="25"/>
        <v>-6.1454758648281427E-2</v>
      </c>
      <c r="AV31" s="340">
        <f t="shared" si="26"/>
        <v>-0.39117005070119149</v>
      </c>
      <c r="AW31" s="340">
        <f t="shared" si="27"/>
        <v>-0.2344699885403827</v>
      </c>
      <c r="AX31" s="340">
        <f t="shared" si="28"/>
        <v>-0.62564003924157419</v>
      </c>
    </row>
    <row r="32" spans="2:50" x14ac:dyDescent="0.2">
      <c r="B32" s="185">
        <v>2</v>
      </c>
      <c r="C32" s="297" t="s">
        <v>6</v>
      </c>
      <c r="D32" s="188">
        <f>Scenario!AL39</f>
        <v>0.63983865075854696</v>
      </c>
      <c r="E32" s="188">
        <f>Scenario!AM39</f>
        <v>1.6070196757968449</v>
      </c>
      <c r="F32" s="188">
        <f>Scenario!AN39</f>
        <v>3.0410660066573612</v>
      </c>
      <c r="G32" s="331">
        <f>Scenario!AO39</f>
        <v>5.7548035012460339</v>
      </c>
      <c r="H32" s="294">
        <f>Scenario!AP39</f>
        <v>14.453772753307545</v>
      </c>
      <c r="I32" s="191">
        <f>IF(D32+'Non-travel METs'!D33&gt;2.5, D32+'Non-travel METs'!D33, 0.1)</f>
        <v>0.1</v>
      </c>
      <c r="J32" s="191">
        <f>IF(E32+'Non-travel METs'!E33&gt;2.5, E32+'Non-travel METs'!E33, 0.1)</f>
        <v>0.1</v>
      </c>
      <c r="K32" s="191">
        <f>IF(F32+'Non-travel METs'!F33&gt;2.5, F32+'Non-travel METs'!F33, 0.1)</f>
        <v>3.0410660066573612</v>
      </c>
      <c r="L32" s="191">
        <f>IF(G32+'Non-travel METs'!G33&gt;2.5, G32+'Non-travel METs'!G33, 0.1)</f>
        <v>5.7548035012460339</v>
      </c>
      <c r="M32" s="196">
        <f>IF(H32+'Non-travel METs'!H33&gt;2.5, H32+'Non-travel METs'!H33, 0.1)</f>
        <v>14.453772753307545</v>
      </c>
      <c r="N32" s="336">
        <f>'Phy activity RRs'!$F$12</f>
        <v>0.9244331578735252</v>
      </c>
      <c r="O32" s="187">
        <f t="shared" si="17"/>
        <v>0.97545870827357695</v>
      </c>
      <c r="P32" s="187">
        <f t="shared" si="11"/>
        <v>0.97545870827357695</v>
      </c>
      <c r="Q32" s="187">
        <f t="shared" si="11"/>
        <v>0.87194982651521258</v>
      </c>
      <c r="R32" s="187">
        <f t="shared" si="11"/>
        <v>0.82820564527825158</v>
      </c>
      <c r="S32" s="265">
        <f t="shared" si="11"/>
        <v>0.74176293662212645</v>
      </c>
      <c r="T32" s="269">
        <f t="shared" si="18"/>
        <v>1</v>
      </c>
      <c r="U32" s="269">
        <f t="shared" si="12"/>
        <v>1</v>
      </c>
      <c r="V32" s="269">
        <f t="shared" si="12"/>
        <v>0.99432327094174755</v>
      </c>
      <c r="W32" s="269">
        <f t="shared" si="12"/>
        <v>0.99232806340900936</v>
      </c>
      <c r="X32" s="300">
        <f t="shared" si="12"/>
        <v>0.9881625533514129</v>
      </c>
      <c r="Y32" s="269">
        <f t="shared" si="19"/>
        <v>1</v>
      </c>
      <c r="Z32" s="269">
        <f t="shared" si="13"/>
        <v>1</v>
      </c>
      <c r="AA32" s="269">
        <f t="shared" si="13"/>
        <v>0.89388696735143169</v>
      </c>
      <c r="AB32" s="269">
        <f t="shared" si="13"/>
        <v>0.84904223854237526</v>
      </c>
      <c r="AC32" s="300">
        <f t="shared" si="13"/>
        <v>0.76042474205283506</v>
      </c>
      <c r="AD32" s="333">
        <f t="shared" si="20"/>
        <v>5.0372224595660597E-3</v>
      </c>
      <c r="AE32" s="308">
        <f t="shared" si="21"/>
        <v>0.99496277754043394</v>
      </c>
      <c r="AF32" s="384">
        <f>AE32*GBDUS!K83/(Y32+Z32+AA32+AB32+AC32)</f>
        <v>0</v>
      </c>
      <c r="AG32" s="187">
        <f t="shared" si="22"/>
        <v>0</v>
      </c>
      <c r="AH32" s="187">
        <f t="shared" si="14"/>
        <v>0</v>
      </c>
      <c r="AI32" s="187">
        <f t="shared" si="14"/>
        <v>0</v>
      </c>
      <c r="AJ32" s="265">
        <f t="shared" si="14"/>
        <v>0</v>
      </c>
      <c r="AK32" s="382">
        <f>AE32*GBDUS!L83/(Y32+Z32+AA32+AB32+AC32)</f>
        <v>0.91778619768187442</v>
      </c>
      <c r="AL32" s="274">
        <f t="shared" si="23"/>
        <v>0.91778619768187442</v>
      </c>
      <c r="AM32" s="274">
        <f t="shared" si="15"/>
        <v>0.82039712092285233</v>
      </c>
      <c r="AN32" s="274">
        <f t="shared" si="15"/>
        <v>0.7792392477831136</v>
      </c>
      <c r="AO32" s="276">
        <f t="shared" si="15"/>
        <v>0.69790733263189164</v>
      </c>
      <c r="AP32" s="382">
        <f>AE32*GBDUS!M83/(Y32+Z32+AA32+AB32+AC32)</f>
        <v>2.0310573544537864</v>
      </c>
      <c r="AQ32" s="274">
        <f t="shared" si="24"/>
        <v>2.0310573544537864</v>
      </c>
      <c r="AR32" s="274">
        <f t="shared" si="16"/>
        <v>1.8155356990895171</v>
      </c>
      <c r="AS32" s="274">
        <f t="shared" si="16"/>
        <v>1.7244534828333973</v>
      </c>
      <c r="AT32" s="276">
        <f t="shared" si="16"/>
        <v>1.544466264855034</v>
      </c>
      <c r="AU32" s="338">
        <f t="shared" si="25"/>
        <v>0</v>
      </c>
      <c r="AV32" s="338">
        <f t="shared" si="26"/>
        <v>-2.0924828245098226E-2</v>
      </c>
      <c r="AW32" s="338">
        <f t="shared" si="27"/>
        <v>-4.6306565085895812E-2</v>
      </c>
      <c r="AX32" s="338">
        <f t="shared" si="28"/>
        <v>-6.7231393330994038E-2</v>
      </c>
    </row>
    <row r="33" spans="2:50" x14ac:dyDescent="0.2">
      <c r="B33" s="185">
        <v>2</v>
      </c>
      <c r="C33" s="297" t="s">
        <v>7</v>
      </c>
      <c r="D33" s="188">
        <f>Scenario!AL40</f>
        <v>0.47238269054572068</v>
      </c>
      <c r="E33" s="188">
        <f>Scenario!AM40</f>
        <v>1.1864370452032824</v>
      </c>
      <c r="F33" s="188">
        <f>Scenario!AN40</f>
        <v>2.2451706233264708</v>
      </c>
      <c r="G33" s="188">
        <f>Scenario!AO40</f>
        <v>4.2486798167908608</v>
      </c>
      <c r="H33" s="294">
        <f>Scenario!AP40</f>
        <v>10.670990340532573</v>
      </c>
      <c r="I33" s="191">
        <f>IF(D33+'Non-travel METs'!D34&gt;2.5, D33+'Non-travel METs'!D34, 0.1)</f>
        <v>0.1</v>
      </c>
      <c r="J33" s="191">
        <f>IF(E33+'Non-travel METs'!E34&gt;2.5, E33+'Non-travel METs'!E34, 0.1)</f>
        <v>0.1</v>
      </c>
      <c r="K33" s="191">
        <f>IF(F33+'Non-travel METs'!F34&gt;2.5, F33+'Non-travel METs'!F34, 0.1)</f>
        <v>0.1</v>
      </c>
      <c r="L33" s="191">
        <f>IF(G33+'Non-travel METs'!G34&gt;2.5, G33+'Non-travel METs'!G34, 0.1)</f>
        <v>4.2486798167908608</v>
      </c>
      <c r="M33" s="196">
        <f>IF(H33+'Non-travel METs'!H34&gt;2.5, H33+'Non-travel METs'!H34, 0.1)</f>
        <v>10.670990340532573</v>
      </c>
      <c r="N33" s="241">
        <f>'Phy activity RRs'!$F$12</f>
        <v>0.9244331578735252</v>
      </c>
      <c r="O33" s="187">
        <f t="shared" si="17"/>
        <v>0.97545870827357695</v>
      </c>
      <c r="P33" s="187">
        <f t="shared" si="11"/>
        <v>0.97545870827357695</v>
      </c>
      <c r="Q33" s="187">
        <f t="shared" si="11"/>
        <v>0.97545870827357695</v>
      </c>
      <c r="R33" s="187">
        <f t="shared" si="11"/>
        <v>0.85047489475130256</v>
      </c>
      <c r="S33" s="265">
        <f t="shared" si="11"/>
        <v>0.77361932791441113</v>
      </c>
      <c r="T33" s="269">
        <f t="shared" si="18"/>
        <v>1</v>
      </c>
      <c r="U33" s="269">
        <f t="shared" si="12"/>
        <v>1</v>
      </c>
      <c r="V33" s="269">
        <f t="shared" si="12"/>
        <v>1</v>
      </c>
      <c r="W33" s="269">
        <f t="shared" si="12"/>
        <v>0.99417286036467578</v>
      </c>
      <c r="X33" s="300">
        <f t="shared" si="12"/>
        <v>0.9910352850334031</v>
      </c>
      <c r="Y33" s="269">
        <f t="shared" si="19"/>
        <v>1</v>
      </c>
      <c r="Z33" s="269">
        <f t="shared" si="13"/>
        <v>1</v>
      </c>
      <c r="AA33" s="269">
        <f t="shared" si="13"/>
        <v>1</v>
      </c>
      <c r="AB33" s="269">
        <f t="shared" si="13"/>
        <v>0.87187175380957138</v>
      </c>
      <c r="AC33" s="300">
        <f t="shared" si="13"/>
        <v>0.79308259934816427</v>
      </c>
      <c r="AD33" s="333">
        <f t="shared" si="20"/>
        <v>2.9583709203842901E-3</v>
      </c>
      <c r="AE33" s="306">
        <f t="shared" si="21"/>
        <v>0.99704162907961569</v>
      </c>
      <c r="AF33" s="187">
        <f>AE33*GBDUS!K84/(Y33+Z33+AA33+AB33+AC33)</f>
        <v>0</v>
      </c>
      <c r="AG33" s="187">
        <f t="shared" si="22"/>
        <v>0</v>
      </c>
      <c r="AH33" s="187">
        <f t="shared" si="14"/>
        <v>0</v>
      </c>
      <c r="AI33" s="187">
        <f t="shared" si="14"/>
        <v>0</v>
      </c>
      <c r="AJ33" s="265">
        <f t="shared" si="14"/>
        <v>0</v>
      </c>
      <c r="AK33" s="274">
        <f>AE33*GBDUS!L84/(Y33+Z33+AA33+AB33+AC33)</f>
        <v>0.82889947087801508</v>
      </c>
      <c r="AL33" s="274">
        <f t="shared" si="23"/>
        <v>0.82889947087801508</v>
      </c>
      <c r="AM33" s="274">
        <f t="shared" si="15"/>
        <v>0.82889947087801508</v>
      </c>
      <c r="AN33" s="274">
        <f t="shared" si="15"/>
        <v>0.72269403540624078</v>
      </c>
      <c r="AO33" s="276">
        <f t="shared" si="15"/>
        <v>0.65738574696225416</v>
      </c>
      <c r="AP33" s="274">
        <f>AE33*GBDUS!M84/(Y33+Z33+AA33+AB33+AC33)</f>
        <v>4.6210702350360107</v>
      </c>
      <c r="AQ33" s="274">
        <f t="shared" si="24"/>
        <v>4.6210702350360107</v>
      </c>
      <c r="AR33" s="274">
        <f t="shared" si="16"/>
        <v>4.6210702350360107</v>
      </c>
      <c r="AS33" s="274">
        <f t="shared" si="16"/>
        <v>4.0289806102980545</v>
      </c>
      <c r="AT33" s="276">
        <f t="shared" si="16"/>
        <v>3.6648903937727919</v>
      </c>
      <c r="AU33" s="338">
        <f t="shared" si="25"/>
        <v>0</v>
      </c>
      <c r="AV33" s="338">
        <f t="shared" si="26"/>
        <v>-1.1473306463875232E-2</v>
      </c>
      <c r="AW33" s="338">
        <f t="shared" si="27"/>
        <v>-6.3963070143465472E-2</v>
      </c>
      <c r="AX33" s="338">
        <f t="shared" si="28"/>
        <v>-7.5436376607340705E-2</v>
      </c>
    </row>
    <row r="34" spans="2:50" x14ac:dyDescent="0.2">
      <c r="B34" s="185">
        <v>2</v>
      </c>
      <c r="C34" s="297" t="s">
        <v>8</v>
      </c>
      <c r="D34" s="188">
        <f>Scenario!AL41</f>
        <v>0.46001598825921336</v>
      </c>
      <c r="E34" s="188">
        <f>Scenario!AM41</f>
        <v>1.1553768179482105</v>
      </c>
      <c r="F34" s="188">
        <f>Scenario!AN41</f>
        <v>2.1863933708216963</v>
      </c>
      <c r="G34" s="188">
        <f>Scenario!AO41</f>
        <v>4.1374518665367024</v>
      </c>
      <c r="H34" s="294">
        <f>Scenario!AP41</f>
        <v>10.391630060647827</v>
      </c>
      <c r="I34" s="191">
        <f>IF(D34+'Non-travel METs'!D35&gt;2.5, D34+'Non-travel METs'!D35, 0.1)</f>
        <v>37.960015988259215</v>
      </c>
      <c r="J34" s="191">
        <f>IF(E34+'Non-travel METs'!E35&gt;2.5, E34+'Non-travel METs'!E35, 0.1)</f>
        <v>38.655376817948209</v>
      </c>
      <c r="K34" s="191">
        <f>IF(F34+'Non-travel METs'!F35&gt;2.5, F34+'Non-travel METs'!F35, 0.1)</f>
        <v>39.686393370821698</v>
      </c>
      <c r="L34" s="191">
        <f>IF(G34+'Non-travel METs'!G35&gt;2.5, G34+'Non-travel METs'!G35, 0.1)</f>
        <v>41.637451866536701</v>
      </c>
      <c r="M34" s="196">
        <f>IF(H34+'Non-travel METs'!H35&gt;2.5, H34+'Non-travel METs'!H35, 0.1)</f>
        <v>47.891630060647827</v>
      </c>
      <c r="N34" s="241">
        <f>'Phy activity RRs'!$F$12</f>
        <v>0.9244331578735252</v>
      </c>
      <c r="O34" s="187">
        <f t="shared" si="17"/>
        <v>0.61624476517263382</v>
      </c>
      <c r="P34" s="187">
        <f t="shared" si="11"/>
        <v>0.61353071039514928</v>
      </c>
      <c r="Q34" s="187">
        <f t="shared" si="11"/>
        <v>0.60957270101165206</v>
      </c>
      <c r="R34" s="187">
        <f t="shared" si="11"/>
        <v>0.60228858123647366</v>
      </c>
      <c r="S34" s="265">
        <f t="shared" si="11"/>
        <v>0.58055806859808168</v>
      </c>
      <c r="T34" s="269">
        <f t="shared" si="18"/>
        <v>0.99974869962576995</v>
      </c>
      <c r="U34" s="269">
        <f t="shared" si="12"/>
        <v>0.99938828544352942</v>
      </c>
      <c r="V34" s="269">
        <f t="shared" si="12"/>
        <v>0.99887523010346968</v>
      </c>
      <c r="W34" s="269">
        <f t="shared" si="12"/>
        <v>0.9979543779205492</v>
      </c>
      <c r="X34" s="300">
        <f t="shared" si="12"/>
        <v>0.99531749718692986</v>
      </c>
      <c r="Y34" s="269">
        <f t="shared" si="19"/>
        <v>1</v>
      </c>
      <c r="Z34" s="269">
        <f t="shared" si="13"/>
        <v>0.99559581690446619</v>
      </c>
      <c r="AA34" s="269">
        <f t="shared" si="13"/>
        <v>0.98917302906562998</v>
      </c>
      <c r="AB34" s="269">
        <f t="shared" si="13"/>
        <v>0.97735285599991994</v>
      </c>
      <c r="AC34" s="300">
        <f t="shared" si="13"/>
        <v>0.94209006130128359</v>
      </c>
      <c r="AD34" s="333">
        <f t="shared" si="20"/>
        <v>1.7431819439504893E-3</v>
      </c>
      <c r="AE34" s="306">
        <f t="shared" si="21"/>
        <v>0.99825681805604949</v>
      </c>
      <c r="AF34" s="187">
        <f>AE34*GBDUS!K85/(Y34+Z34+AA34+AB34+AC34)</f>
        <v>0</v>
      </c>
      <c r="AG34" s="187">
        <f t="shared" si="22"/>
        <v>0</v>
      </c>
      <c r="AH34" s="187">
        <f t="shared" si="14"/>
        <v>0</v>
      </c>
      <c r="AI34" s="187">
        <f t="shared" si="14"/>
        <v>0</v>
      </c>
      <c r="AJ34" s="265">
        <f t="shared" si="14"/>
        <v>0</v>
      </c>
      <c r="AK34" s="274">
        <f>AE34*GBDUS!L85/(Y34+Z34+AA34+AB34+AC34)</f>
        <v>7.9640119843323971</v>
      </c>
      <c r="AL34" s="274">
        <f t="shared" si="23"/>
        <v>7.928937017378372</v>
      </c>
      <c r="AM34" s="274">
        <f t="shared" si="15"/>
        <v>7.8777858580570559</v>
      </c>
      <c r="AN34" s="274">
        <f t="shared" si="15"/>
        <v>7.7836498581048579</v>
      </c>
      <c r="AO34" s="276">
        <f t="shared" si="15"/>
        <v>7.5028165385238648</v>
      </c>
      <c r="AP34" s="274">
        <f>AE34*GBDUS!M85/(Y34+Z34+AA34+AB34+AC34)</f>
        <v>12.650872377118601</v>
      </c>
      <c r="AQ34" s="274">
        <f t="shared" si="24"/>
        <v>12.595155618851539</v>
      </c>
      <c r="AR34" s="274">
        <f t="shared" si="16"/>
        <v>12.513901749597114</v>
      </c>
      <c r="AS34" s="274">
        <f t="shared" si="16"/>
        <v>12.364366248667361</v>
      </c>
      <c r="AT34" s="276">
        <f t="shared" si="16"/>
        <v>11.918261133274378</v>
      </c>
      <c r="AU34" s="338">
        <f t="shared" si="25"/>
        <v>0</v>
      </c>
      <c r="AV34" s="338">
        <f t="shared" si="26"/>
        <v>-6.820269772259735E-2</v>
      </c>
      <c r="AW34" s="338">
        <f t="shared" si="27"/>
        <v>-0.10834032223472434</v>
      </c>
      <c r="AX34" s="338">
        <f t="shared" si="28"/>
        <v>-0.17654301995732169</v>
      </c>
    </row>
    <row r="35" spans="2:50" x14ac:dyDescent="0.2">
      <c r="B35" s="185">
        <v>2</v>
      </c>
      <c r="C35" s="297" t="s">
        <v>9</v>
      </c>
      <c r="D35" s="188">
        <f>Scenario!AL42</f>
        <v>0.38779511810305101</v>
      </c>
      <c r="E35" s="188">
        <f>Scenario!AM42</f>
        <v>0.97398677655804244</v>
      </c>
      <c r="F35" s="188">
        <f>Scenario!AN42</f>
        <v>1.8431374063019774</v>
      </c>
      <c r="G35" s="188">
        <f>Scenario!AO42</f>
        <v>3.4878866738979131</v>
      </c>
      <c r="H35" s="294">
        <f>Scenario!AP42</f>
        <v>8.7601811882707494</v>
      </c>
      <c r="I35" s="191">
        <f>IF(D35+'Non-travel METs'!D36&gt;2.5, D35+'Non-travel METs'!D36, 0.1)</f>
        <v>37.951128451436347</v>
      </c>
      <c r="J35" s="191">
        <f>IF(E35+'Non-travel METs'!E36&gt;2.5, E35+'Non-travel METs'!E36, 0.1)</f>
        <v>38.53732010989134</v>
      </c>
      <c r="K35" s="191">
        <f>IF(F35+'Non-travel METs'!F36&gt;2.5, F35+'Non-travel METs'!F36, 0.1)</f>
        <v>39.406470739635274</v>
      </c>
      <c r="L35" s="191">
        <f>IF(G35+'Non-travel METs'!G36&gt;2.5, G35+'Non-travel METs'!G36, 0.1)</f>
        <v>41.051220007231208</v>
      </c>
      <c r="M35" s="196">
        <f>IF(H35+'Non-travel METs'!H36&gt;2.5, H35+'Non-travel METs'!H36, 0.1)</f>
        <v>46.323514521604046</v>
      </c>
      <c r="N35" s="241">
        <f>'Phy activity RRs'!$F$12</f>
        <v>0.9244331578735252</v>
      </c>
      <c r="O35" s="187">
        <f t="shared" si="17"/>
        <v>0.61627969214957434</v>
      </c>
      <c r="P35" s="187">
        <f t="shared" si="11"/>
        <v>0.61398892394056437</v>
      </c>
      <c r="Q35" s="187">
        <f t="shared" si="11"/>
        <v>0.61063964630614631</v>
      </c>
      <c r="R35" s="187">
        <f t="shared" si="11"/>
        <v>0.60444979938641985</v>
      </c>
      <c r="S35" s="265">
        <f t="shared" si="11"/>
        <v>0.58579281749501355</v>
      </c>
      <c r="T35" s="269">
        <f t="shared" si="18"/>
        <v>0.99978637854105634</v>
      </c>
      <c r="U35" s="269">
        <f t="shared" si="12"/>
        <v>0.99947917639387507</v>
      </c>
      <c r="V35" s="269">
        <f t="shared" si="12"/>
        <v>0.99904031827774253</v>
      </c>
      <c r="W35" s="269">
        <f t="shared" si="12"/>
        <v>0.99824823872535462</v>
      </c>
      <c r="X35" s="300">
        <f t="shared" si="12"/>
        <v>0.99595103514174266</v>
      </c>
      <c r="Y35" s="269">
        <f t="shared" si="19"/>
        <v>1</v>
      </c>
      <c r="Z35" s="269">
        <f t="shared" si="13"/>
        <v>0.99628290816947118</v>
      </c>
      <c r="AA35" s="269">
        <f t="shared" si="13"/>
        <v>0.99084823674173717</v>
      </c>
      <c r="AB35" s="269">
        <f t="shared" si="13"/>
        <v>0.98080434433610497</v>
      </c>
      <c r="AC35" s="300">
        <f t="shared" si="13"/>
        <v>0.95053078165171556</v>
      </c>
      <c r="AD35" s="333">
        <f t="shared" si="20"/>
        <v>1.4989705840458001E-3</v>
      </c>
      <c r="AE35" s="306">
        <f t="shared" si="21"/>
        <v>0.9985010294159542</v>
      </c>
      <c r="AF35" s="187">
        <f>AE35*GBDUS!K86/(Y35+Z35+AA35+AB35+AC35)</f>
        <v>1.0150532446707636</v>
      </c>
      <c r="AG35" s="187">
        <f t="shared" si="22"/>
        <v>1.0112801985474462</v>
      </c>
      <c r="AH35" s="187">
        <f t="shared" si="14"/>
        <v>1.0057637176810053</v>
      </c>
      <c r="AI35" s="187">
        <f t="shared" si="14"/>
        <v>0.99556863210554425</v>
      </c>
      <c r="AJ35" s="265">
        <f t="shared" si="14"/>
        <v>0.96483935407501109</v>
      </c>
      <c r="AK35" s="274">
        <f>AE35*GBDUS!L86/(Y35+Z35+AA35+AB35+AC35)</f>
        <v>48.04515938381352</v>
      </c>
      <c r="AL35" s="274">
        <f t="shared" si="23"/>
        <v>47.866571114371489</v>
      </c>
      <c r="AM35" s="274">
        <f t="shared" si="15"/>
        <v>47.605461459427353</v>
      </c>
      <c r="AN35" s="274">
        <f t="shared" si="15"/>
        <v>47.122901047964881</v>
      </c>
      <c r="AO35" s="276">
        <f t="shared" si="15"/>
        <v>45.668402903677524</v>
      </c>
      <c r="AP35" s="274">
        <f>AE35*GBDUS!M86/(Y35+Z35+AA35+AB35+AC35)</f>
        <v>75.175223039573012</v>
      </c>
      <c r="AQ35" s="274">
        <f t="shared" si="24"/>
        <v>74.895789832154435</v>
      </c>
      <c r="AR35" s="274">
        <f t="shared" si="16"/>
        <v>74.487237195427738</v>
      </c>
      <c r="AS35" s="274">
        <f t="shared" si="16"/>
        <v>73.732185343648865</v>
      </c>
      <c r="AT35" s="276">
        <f t="shared" si="16"/>
        <v>71.456363516647386</v>
      </c>
      <c r="AU35" s="338">
        <f t="shared" si="25"/>
        <v>-7.4948529202298886E-3</v>
      </c>
      <c r="AV35" s="338">
        <f t="shared" si="26"/>
        <v>-0.35475124581020623</v>
      </c>
      <c r="AW35" s="338">
        <f t="shared" si="27"/>
        <v>-0.5550716111544034</v>
      </c>
      <c r="AX35" s="338">
        <f t="shared" si="28"/>
        <v>-0.90982285696460963</v>
      </c>
    </row>
    <row r="36" spans="2:50" x14ac:dyDescent="0.2">
      <c r="B36" s="185">
        <v>2</v>
      </c>
      <c r="C36" s="297" t="s">
        <v>10</v>
      </c>
      <c r="D36" s="188">
        <f>Scenario!AL43</f>
        <v>0.2880222001316094</v>
      </c>
      <c r="E36" s="188">
        <f>Scenario!AM43</f>
        <v>0.72339697223520716</v>
      </c>
      <c r="F36" s="188">
        <f>Scenario!AN43</f>
        <v>1.3689303091404414</v>
      </c>
      <c r="G36" s="188">
        <f>Scenario!AO43</f>
        <v>2.5905142863578874</v>
      </c>
      <c r="H36" s="294">
        <f>Scenario!AP43</f>
        <v>6.5063394086533934</v>
      </c>
      <c r="I36" s="191">
        <f>IF(D36+'Non-travel METs'!D37&gt;2.5, D36+'Non-travel METs'!D37, 0.1)</f>
        <v>38.041355533464909</v>
      </c>
      <c r="J36" s="191">
        <f>IF(E36+'Non-travel METs'!E37&gt;2.5, E36+'Non-travel METs'!E37, 0.1)</f>
        <v>38.476730305568509</v>
      </c>
      <c r="K36" s="191">
        <f>IF(F36+'Non-travel METs'!F37&gt;2.5, F36+'Non-travel METs'!F37, 0.1)</f>
        <v>39.12226364247374</v>
      </c>
      <c r="L36" s="191">
        <f>IF(G36+'Non-travel METs'!G37&gt;2.5, G36+'Non-travel METs'!G37, 0.1)</f>
        <v>40.343847619691189</v>
      </c>
      <c r="M36" s="196">
        <f>IF(H36+'Non-travel METs'!H37&gt;2.5, H36+'Non-travel METs'!H37, 0.1)</f>
        <v>44.259672741986698</v>
      </c>
      <c r="N36" s="241">
        <f>'Phy activity RRs'!$F$12</f>
        <v>0.9244331578735252</v>
      </c>
      <c r="O36" s="187">
        <f t="shared" si="17"/>
        <v>0.61592539189833539</v>
      </c>
      <c r="P36" s="187">
        <f t="shared" si="11"/>
        <v>0.61422449679357471</v>
      </c>
      <c r="Q36" s="187">
        <f t="shared" si="11"/>
        <v>0.61172872717223392</v>
      </c>
      <c r="R36" s="187">
        <f t="shared" si="11"/>
        <v>0.60708872109946932</v>
      </c>
      <c r="S36" s="265">
        <f t="shared" si="11"/>
        <v>0.59289367252467984</v>
      </c>
      <c r="T36" s="269">
        <f t="shared" si="18"/>
        <v>0.99986823546246717</v>
      </c>
      <c r="U36" s="269">
        <f t="shared" si="12"/>
        <v>0.99967973739733884</v>
      </c>
      <c r="V36" s="269">
        <f t="shared" si="12"/>
        <v>0.99941038685803185</v>
      </c>
      <c r="W36" s="269">
        <f t="shared" si="12"/>
        <v>0.99892246887230896</v>
      </c>
      <c r="X36" s="300">
        <f t="shared" si="12"/>
        <v>0.99748909534708896</v>
      </c>
      <c r="Y36" s="269">
        <f t="shared" si="19"/>
        <v>1</v>
      </c>
      <c r="Z36" s="269">
        <f t="shared" si="13"/>
        <v>0.99723847218001782</v>
      </c>
      <c r="AA36" s="269">
        <f t="shared" si="13"/>
        <v>0.99318640734526797</v>
      </c>
      <c r="AB36" s="269">
        <f t="shared" si="13"/>
        <v>0.98565301753247958</v>
      </c>
      <c r="AC36" s="300">
        <f t="shared" si="13"/>
        <v>0.96260631616003067</v>
      </c>
      <c r="AD36" s="333">
        <f t="shared" si="20"/>
        <v>9.2601521255293302E-4</v>
      </c>
      <c r="AE36" s="306">
        <f t="shared" si="21"/>
        <v>0.99907398478744702</v>
      </c>
      <c r="AF36" s="187">
        <f>AE36*GBDUS!K87/(Y36+Z36+AA36+AB36+AC36)</f>
        <v>5.2596850665106665</v>
      </c>
      <c r="AG36" s="187">
        <f t="shared" si="22"/>
        <v>5.2451602998751525</v>
      </c>
      <c r="AH36" s="187">
        <f t="shared" si="14"/>
        <v>5.2238477149752853</v>
      </c>
      <c r="AI36" s="187">
        <f t="shared" si="14"/>
        <v>5.1842244570767591</v>
      </c>
      <c r="AJ36" s="265">
        <f t="shared" si="14"/>
        <v>5.0630060660357588</v>
      </c>
      <c r="AK36" s="274">
        <f>AE36*GBDUS!L87/(Y36+Z36+AA36+AB36+AC36)</f>
        <v>174.62530607897352</v>
      </c>
      <c r="AL36" s="274">
        <f t="shared" si="23"/>
        <v>174.14307343816353</v>
      </c>
      <c r="AM36" s="274">
        <f t="shared" si="15"/>
        <v>173.43548037614349</v>
      </c>
      <c r="AN36" s="274">
        <f t="shared" si="15"/>
        <v>172.11995987427309</v>
      </c>
      <c r="AO36" s="276">
        <f t="shared" si="15"/>
        <v>168.09542259299852</v>
      </c>
      <c r="AP36" s="274">
        <f>AE36*GBDUS!M87/(Y36+Z36+AA36+AB36+AC36)</f>
        <v>200.03097274424556</v>
      </c>
      <c r="AQ36" s="274">
        <f t="shared" si="24"/>
        <v>199.47858164815423</v>
      </c>
      <c r="AR36" s="274">
        <f t="shared" si="16"/>
        <v>198.66804317763646</v>
      </c>
      <c r="AS36" s="274">
        <f t="shared" si="16"/>
        <v>197.16113188532282</v>
      </c>
      <c r="AT36" s="276">
        <f t="shared" si="16"/>
        <v>192.55107779124572</v>
      </c>
      <c r="AU36" s="338">
        <f t="shared" si="25"/>
        <v>-2.4076395526378747E-2</v>
      </c>
      <c r="AV36" s="338">
        <f t="shared" si="26"/>
        <v>-0.79935355157306276</v>
      </c>
      <c r="AW36" s="338">
        <f t="shared" si="27"/>
        <v>-0.91564889464211774</v>
      </c>
      <c r="AX36" s="338">
        <f t="shared" si="28"/>
        <v>-1.7150024462151805</v>
      </c>
    </row>
    <row r="37" spans="2:50" x14ac:dyDescent="0.2">
      <c r="B37" s="185">
        <v>2</v>
      </c>
      <c r="C37" s="297" t="s">
        <v>11</v>
      </c>
      <c r="D37" s="188">
        <f>Scenario!AL44</f>
        <v>0.19383056670522639</v>
      </c>
      <c r="E37" s="188">
        <f>Scenario!AM44</f>
        <v>0.48682513020567292</v>
      </c>
      <c r="F37" s="188">
        <f>Scenario!AN44</f>
        <v>0.92125029764860955</v>
      </c>
      <c r="G37" s="188">
        <f>Scenario!AO44</f>
        <v>1.7433407978735476</v>
      </c>
      <c r="H37" s="294">
        <f>Scenario!AP44</f>
        <v>4.3785772561266905</v>
      </c>
      <c r="I37" s="191">
        <f>IF(D37+'Non-travel METs'!D38&gt;2.5, D37+'Non-travel METs'!D38, 0.1)</f>
        <v>9.1938305667052269</v>
      </c>
      <c r="J37" s="191">
        <f>IF(E37+'Non-travel METs'!E38&gt;2.5, E37+'Non-travel METs'!E38, 0.1)</f>
        <v>9.4868251302056734</v>
      </c>
      <c r="K37" s="191">
        <f>IF(F37+'Non-travel METs'!F38&gt;2.5, F37+'Non-travel METs'!F38, 0.1)</f>
        <v>9.9212502976486103</v>
      </c>
      <c r="L37" s="191">
        <f>IF(G37+'Non-travel METs'!G38&gt;2.5, G37+'Non-travel METs'!G38, 0.1)</f>
        <v>10.743340797873547</v>
      </c>
      <c r="M37" s="196">
        <f>IF(H37+'Non-travel METs'!H38&gt;2.5, H37+'Non-travel METs'!H38, 0.1)</f>
        <v>13.37857725612669</v>
      </c>
      <c r="N37" s="241">
        <f>'Phy activity RRs'!$F$12</f>
        <v>0.9244331578735252</v>
      </c>
      <c r="O37" s="187">
        <f t="shared" si="17"/>
        <v>0.78800690164503584</v>
      </c>
      <c r="P37" s="187">
        <f t="shared" si="11"/>
        <v>0.78504441742985764</v>
      </c>
      <c r="Q37" s="187">
        <f t="shared" si="11"/>
        <v>0.7807547588535696</v>
      </c>
      <c r="R37" s="187">
        <f t="shared" si="11"/>
        <v>0.77294759730057483</v>
      </c>
      <c r="S37" s="265">
        <f t="shared" si="11"/>
        <v>0.75021158295821999</v>
      </c>
      <c r="T37" s="269">
        <f t="shared" si="18"/>
        <v>0.99978078347304344</v>
      </c>
      <c r="U37" s="269">
        <f t="shared" si="12"/>
        <v>0.99946950244141786</v>
      </c>
      <c r="V37" s="269">
        <f t="shared" si="12"/>
        <v>0.99903283300956347</v>
      </c>
      <c r="W37" s="269">
        <f t="shared" si="12"/>
        <v>0.99826695579028368</v>
      </c>
      <c r="X37" s="300">
        <f t="shared" si="12"/>
        <v>0.99618063509410815</v>
      </c>
      <c r="Y37" s="269">
        <f t="shared" si="19"/>
        <v>1</v>
      </c>
      <c r="Z37" s="269">
        <f t="shared" si="13"/>
        <v>0.99624053519202216</v>
      </c>
      <c r="AA37" s="269">
        <f t="shared" si="13"/>
        <v>0.99079685371241455</v>
      </c>
      <c r="AB37" s="269">
        <f t="shared" si="13"/>
        <v>0.98088937506381813</v>
      </c>
      <c r="AC37" s="300">
        <f t="shared" si="13"/>
        <v>0.95203681768787218</v>
      </c>
      <c r="AD37" s="333">
        <f t="shared" si="20"/>
        <v>1.4538580383167243E-3</v>
      </c>
      <c r="AE37" s="306">
        <f t="shared" si="21"/>
        <v>0.99854614196168323</v>
      </c>
      <c r="AF37" s="187">
        <f>AE37*GBDUS!K88/(Y37+Z37+AA37+AB37+AC37)</f>
        <v>5.8857830218209068</v>
      </c>
      <c r="AG37" s="187">
        <f t="shared" si="22"/>
        <v>5.8636556276829781</v>
      </c>
      <c r="AH37" s="187">
        <f t="shared" si="14"/>
        <v>5.8316152996541026</v>
      </c>
      <c r="AI37" s="187">
        <f t="shared" si="14"/>
        <v>5.7733020300351408</v>
      </c>
      <c r="AJ37" s="265">
        <f t="shared" si="14"/>
        <v>5.6034821376956838</v>
      </c>
      <c r="AK37" s="274">
        <f>AE37*GBDUS!L88/(Y37+Z37+AA37+AB37+AC37)</f>
        <v>135.59604227644908</v>
      </c>
      <c r="AL37" s="274">
        <f t="shared" si="23"/>
        <v>135.08627372740969</v>
      </c>
      <c r="AM37" s="274">
        <f t="shared" si="15"/>
        <v>134.34813206336131</v>
      </c>
      <c r="AN37" s="274">
        <f t="shared" si="15"/>
        <v>133.0047171696732</v>
      </c>
      <c r="AO37" s="276">
        <f t="shared" si="15"/>
        <v>129.09242457994077</v>
      </c>
      <c r="AP37" s="274">
        <f>AE37*GBDUS!M88/(Y37+Z37+AA37+AB37+AC37)</f>
        <v>109.59246345456785</v>
      </c>
      <c r="AQ37" s="274">
        <f t="shared" si="24"/>
        <v>109.1804544449908</v>
      </c>
      <c r="AR37" s="274">
        <f t="shared" si="16"/>
        <v>108.5838679813786</v>
      </c>
      <c r="AS37" s="274">
        <f t="shared" si="16"/>
        <v>107.49808298965539</v>
      </c>
      <c r="AT37" s="276">
        <f t="shared" si="16"/>
        <v>104.33606014986121</v>
      </c>
      <c r="AU37" s="338">
        <f t="shared" si="25"/>
        <v>-4.2161883111191401E-2</v>
      </c>
      <c r="AV37" s="338">
        <f t="shared" si="26"/>
        <v>-0.97132097184089616</v>
      </c>
      <c r="AW37" s="338">
        <f t="shared" si="27"/>
        <v>-0.78504841529286296</v>
      </c>
      <c r="AX37" s="338">
        <f t="shared" si="28"/>
        <v>-1.7563693871337591</v>
      </c>
    </row>
    <row r="38" spans="2:50" x14ac:dyDescent="0.2">
      <c r="B38" s="185">
        <v>2</v>
      </c>
      <c r="C38" s="297" t="s">
        <v>12</v>
      </c>
      <c r="D38" s="188">
        <f>Scenario!AL45</f>
        <v>0.12325892229755643</v>
      </c>
      <c r="E38" s="188">
        <f>Scenario!AM45</f>
        <v>0.30957728657820022</v>
      </c>
      <c r="F38" s="188">
        <f>Scenario!AN45</f>
        <v>0.58583287860453281</v>
      </c>
      <c r="G38" s="188">
        <f>Scenario!AO45</f>
        <v>1.108608985651083</v>
      </c>
      <c r="H38" s="294">
        <f>Scenario!AP45</f>
        <v>2.7843839233444045</v>
      </c>
      <c r="I38" s="191">
        <f>IF(D38+'Non-travel METs'!D39&gt;2.5, D38+'Non-travel METs'!D39, 0.1)</f>
        <v>0.1</v>
      </c>
      <c r="J38" s="191">
        <f>IF(E38+'Non-travel METs'!E39&gt;2.5, E38+'Non-travel METs'!E39, 0.1)</f>
        <v>0.1</v>
      </c>
      <c r="K38" s="191">
        <f>IF(F38+'Non-travel METs'!F39&gt;2.5, F38+'Non-travel METs'!F39, 0.1)</f>
        <v>0.1</v>
      </c>
      <c r="L38" s="191">
        <f>IF(G38+'Non-travel METs'!G39&gt;2.5, G38+'Non-travel METs'!G39, 0.1)</f>
        <v>0.1</v>
      </c>
      <c r="M38" s="196">
        <f>IF(H38+'Non-travel METs'!H39&gt;2.5, H38+'Non-travel METs'!H39, 0.1)</f>
        <v>3.2843839233444045</v>
      </c>
      <c r="N38" s="241">
        <f>'Phy activity RRs'!$F$12</f>
        <v>0.9244331578735252</v>
      </c>
      <c r="O38" s="187">
        <f t="shared" si="17"/>
        <v>0.97545870827357695</v>
      </c>
      <c r="P38" s="187">
        <f t="shared" si="11"/>
        <v>0.97545870827357695</v>
      </c>
      <c r="Q38" s="187">
        <f t="shared" si="11"/>
        <v>0.97545870827357695</v>
      </c>
      <c r="R38" s="187">
        <f t="shared" si="11"/>
        <v>0.97545870827357695</v>
      </c>
      <c r="S38" s="265">
        <f t="shared" si="11"/>
        <v>0.86727462705978597</v>
      </c>
      <c r="T38" s="269">
        <f t="shared" si="18"/>
        <v>1</v>
      </c>
      <c r="U38" s="269">
        <f t="shared" si="12"/>
        <v>1</v>
      </c>
      <c r="V38" s="269">
        <f t="shared" si="12"/>
        <v>1</v>
      </c>
      <c r="W38" s="269">
        <f t="shared" si="12"/>
        <v>1</v>
      </c>
      <c r="X38" s="300">
        <f t="shared" si="12"/>
        <v>0.99457198423690152</v>
      </c>
      <c r="Y38" s="269">
        <f t="shared" si="19"/>
        <v>1</v>
      </c>
      <c r="Z38" s="269">
        <f t="shared" si="13"/>
        <v>1</v>
      </c>
      <c r="AA38" s="269">
        <f t="shared" si="13"/>
        <v>1</v>
      </c>
      <c r="AB38" s="269">
        <f t="shared" si="13"/>
        <v>1</v>
      </c>
      <c r="AC38" s="300">
        <f t="shared" si="13"/>
        <v>0.88909414586573188</v>
      </c>
      <c r="AD38" s="333">
        <f t="shared" si="20"/>
        <v>1.0856031526197186E-3</v>
      </c>
      <c r="AE38" s="306">
        <f t="shared" si="21"/>
        <v>0.99891439684738026</v>
      </c>
      <c r="AF38" s="187">
        <f>AE38*GBDUS!K89/(Y38+Z38+AA38+AB38+AC38)</f>
        <v>6.5380742823588944</v>
      </c>
      <c r="AG38" s="187">
        <f t="shared" si="22"/>
        <v>6.5380742823588944</v>
      </c>
      <c r="AH38" s="187">
        <f t="shared" si="14"/>
        <v>6.5380742823588944</v>
      </c>
      <c r="AI38" s="187">
        <f t="shared" si="14"/>
        <v>6.5380742823588944</v>
      </c>
      <c r="AJ38" s="265">
        <f t="shared" si="14"/>
        <v>5.8129635696805888</v>
      </c>
      <c r="AK38" s="274">
        <f>AE38*GBDUS!L89/(Y38+Z38+AA38+AB38+AC38)</f>
        <v>95.30521131796327</v>
      </c>
      <c r="AL38" s="274">
        <f t="shared" si="23"/>
        <v>95.30521131796327</v>
      </c>
      <c r="AM38" s="274">
        <f t="shared" si="15"/>
        <v>95.30521131796327</v>
      </c>
      <c r="AN38" s="274">
        <f t="shared" si="15"/>
        <v>95.30521131796327</v>
      </c>
      <c r="AO38" s="276">
        <f t="shared" si="15"/>
        <v>84.735305453297642</v>
      </c>
      <c r="AP38" s="274">
        <f>AE38*GBDUS!M89/(Y38+Z38+AA38+AB38+AC38)</f>
        <v>67.614817046150236</v>
      </c>
      <c r="AQ38" s="274">
        <f t="shared" si="24"/>
        <v>67.614817046150236</v>
      </c>
      <c r="AR38" s="274">
        <f t="shared" si="16"/>
        <v>67.614817046150236</v>
      </c>
      <c r="AS38" s="274">
        <f t="shared" si="16"/>
        <v>67.614817046150236</v>
      </c>
      <c r="AT38" s="276">
        <f t="shared" si="16"/>
        <v>60.115938009514672</v>
      </c>
      <c r="AU38" s="338">
        <f t="shared" si="25"/>
        <v>-3.4739300883835256E-2</v>
      </c>
      <c r="AV38" s="338">
        <f t="shared" si="26"/>
        <v>-0.5063932082731526</v>
      </c>
      <c r="AW38" s="338">
        <f t="shared" si="27"/>
        <v>-0.35926350361438608</v>
      </c>
      <c r="AX38" s="338">
        <f t="shared" si="28"/>
        <v>-0.86565671188753868</v>
      </c>
    </row>
    <row r="39" spans="2:50" x14ac:dyDescent="0.2">
      <c r="B39" s="292">
        <v>2</v>
      </c>
      <c r="C39" s="298" t="s">
        <v>13</v>
      </c>
      <c r="D39" s="293">
        <f>Scenario!AL46</f>
        <v>0.15235482657642674</v>
      </c>
      <c r="E39" s="293">
        <f>Scenario!AM46</f>
        <v>0.38265460162600734</v>
      </c>
      <c r="F39" s="293">
        <f>Scenario!AN46</f>
        <v>0.72412175085463892</v>
      </c>
      <c r="G39" s="293">
        <f>Scenario!AO46</f>
        <v>1.3703018540288463</v>
      </c>
      <c r="H39" s="295">
        <f>Scenario!AP46</f>
        <v>3.4416521080659925</v>
      </c>
      <c r="I39" s="201">
        <f>IF(D39+'Non-travel METs'!D40&gt;2.5, D39+'Non-travel METs'!D40, 0.1)</f>
        <v>0.1</v>
      </c>
      <c r="J39" s="201">
        <f>IF(E39+'Non-travel METs'!E40&gt;2.5, E39+'Non-travel METs'!E40, 0.1)</f>
        <v>0.1</v>
      </c>
      <c r="K39" s="201">
        <f>IF(F39+'Non-travel METs'!F40&gt;2.5, F39+'Non-travel METs'!F40, 0.1)</f>
        <v>0.1</v>
      </c>
      <c r="L39" s="201">
        <f>IF(G39+'Non-travel METs'!G40&gt;2.5, G39+'Non-travel METs'!G40, 0.1)</f>
        <v>0.1</v>
      </c>
      <c r="M39" s="202">
        <f>IF(H39+'Non-travel METs'!H40&gt;2.5, H39+'Non-travel METs'!H40, 0.1)</f>
        <v>3.524985441399326</v>
      </c>
      <c r="N39" s="241">
        <f>'Phy activity RRs'!$F$12</f>
        <v>0.9244331578735252</v>
      </c>
      <c r="O39" s="266">
        <f t="shared" si="17"/>
        <v>0.97545870827357695</v>
      </c>
      <c r="P39" s="267">
        <f t="shared" si="11"/>
        <v>0.97545870827357695</v>
      </c>
      <c r="Q39" s="267">
        <f t="shared" si="11"/>
        <v>0.97545870827357695</v>
      </c>
      <c r="R39" s="267">
        <f t="shared" si="11"/>
        <v>0.97545870827357695</v>
      </c>
      <c r="S39" s="268">
        <f t="shared" si="11"/>
        <v>0.8628423790148162</v>
      </c>
      <c r="T39" s="301">
        <f t="shared" si="18"/>
        <v>1</v>
      </c>
      <c r="U39" s="302">
        <f t="shared" si="12"/>
        <v>1</v>
      </c>
      <c r="V39" s="302">
        <f t="shared" si="12"/>
        <v>1</v>
      </c>
      <c r="W39" s="302">
        <f t="shared" si="12"/>
        <v>1</v>
      </c>
      <c r="X39" s="303">
        <f t="shared" si="12"/>
        <v>0.99350752940435105</v>
      </c>
      <c r="Y39" s="301">
        <f t="shared" si="19"/>
        <v>1</v>
      </c>
      <c r="Z39" s="302">
        <f t="shared" si="13"/>
        <v>1</v>
      </c>
      <c r="AA39" s="302">
        <f t="shared" si="13"/>
        <v>1</v>
      </c>
      <c r="AB39" s="302">
        <f t="shared" si="13"/>
        <v>1</v>
      </c>
      <c r="AC39" s="303">
        <f t="shared" si="13"/>
        <v>0.8845503881368022</v>
      </c>
      <c r="AD39" s="333">
        <f t="shared" si="20"/>
        <v>1.298494119129856E-3</v>
      </c>
      <c r="AE39" s="307">
        <f t="shared" si="21"/>
        <v>0.99870150588087014</v>
      </c>
      <c r="AF39" s="266">
        <f>AE39*GBDUS!K90/(Y39+Z39+AA39+AB39+AC39)</f>
        <v>5.7249163060289403</v>
      </c>
      <c r="AG39" s="267">
        <f t="shared" si="22"/>
        <v>5.7249163060289403</v>
      </c>
      <c r="AH39" s="267">
        <f t="shared" si="14"/>
        <v>5.7249163060289403</v>
      </c>
      <c r="AI39" s="267">
        <f t="shared" si="14"/>
        <v>5.7249163060289403</v>
      </c>
      <c r="AJ39" s="268">
        <f t="shared" si="14"/>
        <v>5.0639769405486073</v>
      </c>
      <c r="AK39" s="277">
        <f>AE39*GBDUS!L90/(Y39+Z39+AA39+AB39+AC39)</f>
        <v>31.347287289797471</v>
      </c>
      <c r="AL39" s="278">
        <f t="shared" si="23"/>
        <v>31.347287289797471</v>
      </c>
      <c r="AM39" s="278">
        <f t="shared" si="15"/>
        <v>31.347287289797471</v>
      </c>
      <c r="AN39" s="278">
        <f t="shared" si="15"/>
        <v>31.347287289797471</v>
      </c>
      <c r="AO39" s="279">
        <f t="shared" si="15"/>
        <v>27.728255139226199</v>
      </c>
      <c r="AP39" s="277">
        <f>AE39*GBDUS!M90/(Y39+Z39+AA39+AB39+AC39)</f>
        <v>22.814058216518738</v>
      </c>
      <c r="AQ39" s="278">
        <f t="shared" si="24"/>
        <v>22.814058216518738</v>
      </c>
      <c r="AR39" s="278">
        <f t="shared" si="16"/>
        <v>22.814058216518738</v>
      </c>
      <c r="AS39" s="278">
        <f t="shared" si="16"/>
        <v>22.814058216518738</v>
      </c>
      <c r="AT39" s="279">
        <f t="shared" si="16"/>
        <v>20.180184050397251</v>
      </c>
      <c r="AU39" s="339">
        <f t="shared" si="25"/>
        <v>-3.6357835335632416E-2</v>
      </c>
      <c r="AV39" s="340">
        <f t="shared" si="26"/>
        <v>-0.19908055394643043</v>
      </c>
      <c r="AW39" s="340">
        <f t="shared" si="27"/>
        <v>-0.14488766780749529</v>
      </c>
      <c r="AX39" s="340">
        <f t="shared" si="28"/>
        <v>-0.34396822175392572</v>
      </c>
    </row>
    <row r="40" spans="2:50" x14ac:dyDescent="0.2">
      <c r="N40" s="261"/>
      <c r="AD40" s="261"/>
      <c r="AT40" s="309" t="s">
        <v>41</v>
      </c>
      <c r="AU40" s="338">
        <f>SUM(AU24:AU39)</f>
        <v>-0.26825232500799379</v>
      </c>
      <c r="AV40" s="338">
        <f>SUM(AV24:AV39)</f>
        <v>-4.7360401458146875</v>
      </c>
      <c r="AW40" s="338">
        <f>SUM(AW24:AW39)</f>
        <v>-4.3932859121300361</v>
      </c>
      <c r="AX40" s="338">
        <f>SUM(AX24:AX39)</f>
        <v>-9.1293260579447235</v>
      </c>
    </row>
    <row r="41" spans="2:50" x14ac:dyDescent="0.2">
      <c r="AD41" s="332"/>
      <c r="AT41" s="309" t="s">
        <v>50</v>
      </c>
      <c r="AU41" s="330">
        <f>AU40/GBDUS!K91</f>
        <v>-1.2083438063423143E-3</v>
      </c>
      <c r="AV41" s="330">
        <f>AV40/GBDUS!L91</f>
        <v>-1.3185446378509505E-3</v>
      </c>
      <c r="AW41" s="330">
        <f>AW40/GBDUS!M91</f>
        <v>-1.4619960711919125E-3</v>
      </c>
      <c r="AX41" s="330">
        <f>AX40/GBDUS!N91</f>
        <v>-1.3838894058727229E-3</v>
      </c>
    </row>
    <row r="42" spans="2:50" x14ac:dyDescent="0.2">
      <c r="O42" s="187"/>
      <c r="P42" s="187"/>
      <c r="Q42" s="187"/>
      <c r="R42" s="187"/>
      <c r="S42" s="187"/>
      <c r="U42" s="335"/>
      <c r="AD42" s="332"/>
    </row>
    <row r="43" spans="2:50" x14ac:dyDescent="0.2">
      <c r="AD43" s="332"/>
    </row>
    <row r="44" spans="2:50" x14ac:dyDescent="0.2">
      <c r="O44" s="187"/>
      <c r="P44" s="187"/>
      <c r="Q44" s="187"/>
      <c r="R44" s="187"/>
      <c r="S44" s="187"/>
      <c r="U44" s="187"/>
      <c r="V44" s="334"/>
      <c r="W44" s="334"/>
      <c r="X44" s="334"/>
      <c r="Y44" s="334"/>
      <c r="AD44" s="332"/>
    </row>
    <row r="45" spans="2:50" x14ac:dyDescent="0.2">
      <c r="U45" s="335"/>
      <c r="AD45" s="332"/>
    </row>
    <row r="46" spans="2:50" x14ac:dyDescent="0.2">
      <c r="AD46" s="332"/>
    </row>
    <row r="47" spans="2:50" x14ac:dyDescent="0.2">
      <c r="AD47" s="332"/>
    </row>
    <row r="48" spans="2:50" x14ac:dyDescent="0.2">
      <c r="AD48" s="332"/>
    </row>
  </sheetData>
  <mergeCells count="12">
    <mergeCell ref="AU4:AX4"/>
    <mergeCell ref="D4:H4"/>
    <mergeCell ref="I4:M4"/>
    <mergeCell ref="N4:N5"/>
    <mergeCell ref="O4:S4"/>
    <mergeCell ref="AD4:AD5"/>
    <mergeCell ref="AE4:AE5"/>
    <mergeCell ref="AF4:AJ4"/>
    <mergeCell ref="AK4:AO4"/>
    <mergeCell ref="AP4:AT4"/>
    <mergeCell ref="T4:X4"/>
    <mergeCell ref="Y4:AC4"/>
  </mergeCells>
  <pageMargins left="0.7" right="0.7" top="0.75" bottom="0.75" header="0.3" footer="0.3"/>
  <pageSetup orientation="portrait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00B050"/>
  </sheetPr>
  <dimension ref="B2:BJ48"/>
  <sheetViews>
    <sheetView showGridLines="0" workbookViewId="0"/>
  </sheetViews>
  <sheetFormatPr defaultRowHeight="12.75" x14ac:dyDescent="0.2"/>
  <cols>
    <col min="1" max="1" width="5" style="4" customWidth="1"/>
    <col min="2" max="2" width="8.7109375" style="4" customWidth="1"/>
    <col min="3" max="3" width="6.140625" style="4" bestFit="1" customWidth="1"/>
    <col min="4" max="6" width="3.5703125" style="4" bestFit="1" customWidth="1"/>
    <col min="7" max="7" width="4.5703125" style="4" customWidth="1"/>
    <col min="8" max="13" width="4.5703125" style="4" bestFit="1" customWidth="1"/>
    <col min="14" max="14" width="6.28515625" style="4" customWidth="1"/>
    <col min="15" max="20" width="4.5703125" style="4" bestFit="1" customWidth="1"/>
    <col min="21" max="21" width="5.7109375" style="4" customWidth="1"/>
    <col min="22" max="24" width="7.5703125" style="4" bestFit="1" customWidth="1"/>
    <col min="25" max="25" width="6.42578125" style="4" customWidth="1"/>
    <col min="26" max="26" width="5.5703125" style="4" customWidth="1"/>
    <col min="27" max="27" width="5.28515625" style="4" customWidth="1"/>
    <col min="28" max="28" width="5.140625" style="4" customWidth="1"/>
    <col min="29" max="29" width="5.5703125" style="4" customWidth="1"/>
    <col min="30" max="30" width="7.28515625" style="4" customWidth="1"/>
    <col min="31" max="31" width="7.42578125" style="4" customWidth="1"/>
    <col min="32" max="36" width="4.5703125" style="4" bestFit="1" customWidth="1"/>
    <col min="37" max="46" width="5.5703125" style="4" bestFit="1" customWidth="1"/>
    <col min="47" max="47" width="8.7109375" style="4" bestFit="1" customWidth="1"/>
    <col min="48" max="48" width="5.85546875" style="4" bestFit="1" customWidth="1"/>
    <col min="49" max="49" width="6.42578125" style="4" bestFit="1" customWidth="1"/>
    <col min="50" max="50" width="7.28515625" style="4" bestFit="1" customWidth="1"/>
    <col min="51" max="16384" width="9.140625" style="4"/>
  </cols>
  <sheetData>
    <row r="2" spans="2:62" x14ac:dyDescent="0.2">
      <c r="B2" s="56" t="s">
        <v>177</v>
      </c>
    </row>
    <row r="3" spans="2:62" ht="12.75" customHeight="1" x14ac:dyDescent="0.2">
      <c r="T3" s="671" t="s">
        <v>132</v>
      </c>
      <c r="U3" s="671"/>
      <c r="V3" s="671"/>
      <c r="W3" s="671"/>
      <c r="X3" s="671"/>
      <c r="Z3" s="712"/>
      <c r="AA3" s="712"/>
      <c r="AB3" s="712"/>
      <c r="AC3" s="712"/>
    </row>
    <row r="4" spans="2:62" ht="12.75" customHeight="1" x14ac:dyDescent="0.2">
      <c r="B4" s="189" t="s">
        <v>65</v>
      </c>
      <c r="C4" s="197"/>
      <c r="D4" s="673" t="s">
        <v>141</v>
      </c>
      <c r="E4" s="674"/>
      <c r="F4" s="674"/>
      <c r="G4" s="674"/>
      <c r="H4" s="675"/>
      <c r="I4" s="673" t="s">
        <v>142</v>
      </c>
      <c r="J4" s="674"/>
      <c r="K4" s="674"/>
      <c r="L4" s="674"/>
      <c r="M4" s="675"/>
      <c r="N4" s="676" t="s">
        <v>136</v>
      </c>
      <c r="O4" s="672" t="s">
        <v>163</v>
      </c>
      <c r="P4" s="671"/>
      <c r="Q4" s="671"/>
      <c r="R4" s="671"/>
      <c r="S4" s="678"/>
      <c r="T4" s="671"/>
      <c r="U4" s="671"/>
      <c r="V4" s="671"/>
      <c r="W4" s="671"/>
      <c r="X4" s="671"/>
      <c r="Y4" s="707" t="s">
        <v>166</v>
      </c>
      <c r="Z4" s="672"/>
      <c r="AA4" s="672"/>
      <c r="AB4" s="672"/>
      <c r="AC4" s="713"/>
      <c r="AD4" s="676" t="s">
        <v>2</v>
      </c>
      <c r="AE4" s="679" t="s">
        <v>165</v>
      </c>
      <c r="AF4" s="672" t="s">
        <v>164</v>
      </c>
      <c r="AG4" s="671"/>
      <c r="AH4" s="671"/>
      <c r="AI4" s="671"/>
      <c r="AJ4" s="678"/>
      <c r="AK4" s="671" t="s">
        <v>133</v>
      </c>
      <c r="AL4" s="671"/>
      <c r="AM4" s="671"/>
      <c r="AN4" s="671"/>
      <c r="AO4" s="678"/>
      <c r="AP4" s="681" t="s">
        <v>134</v>
      </c>
      <c r="AQ4" s="681"/>
      <c r="AR4" s="681"/>
      <c r="AS4" s="681"/>
      <c r="AT4" s="682"/>
      <c r="AU4" s="670" t="s">
        <v>135</v>
      </c>
      <c r="AV4" s="670"/>
      <c r="AW4" s="670"/>
      <c r="AX4" s="670"/>
      <c r="AY4" s="186"/>
      <c r="AZ4" s="186"/>
      <c r="BA4" s="186"/>
      <c r="BB4" s="186"/>
      <c r="BC4" s="186"/>
      <c r="BD4" s="186"/>
      <c r="BE4" s="186"/>
      <c r="BF4" s="186"/>
      <c r="BG4" s="186"/>
      <c r="BH4" s="186"/>
      <c r="BI4" s="186"/>
      <c r="BJ4" s="186"/>
    </row>
    <row r="5" spans="2:62" x14ac:dyDescent="0.2">
      <c r="B5" s="192" t="s">
        <v>1</v>
      </c>
      <c r="C5" s="198" t="s">
        <v>0</v>
      </c>
      <c r="D5" s="193">
        <v>1</v>
      </c>
      <c r="E5" s="193">
        <v>2</v>
      </c>
      <c r="F5" s="193">
        <v>3</v>
      </c>
      <c r="G5" s="193">
        <v>4</v>
      </c>
      <c r="H5" s="194">
        <v>5</v>
      </c>
      <c r="I5" s="193">
        <v>1</v>
      </c>
      <c r="J5" s="193">
        <v>2</v>
      </c>
      <c r="K5" s="193">
        <v>3</v>
      </c>
      <c r="L5" s="193">
        <v>4</v>
      </c>
      <c r="M5" s="194">
        <v>5</v>
      </c>
      <c r="N5" s="677"/>
      <c r="O5" s="236">
        <v>1</v>
      </c>
      <c r="P5" s="236">
        <v>2</v>
      </c>
      <c r="Q5" s="236">
        <v>3</v>
      </c>
      <c r="R5" s="236">
        <v>4</v>
      </c>
      <c r="S5" s="243">
        <v>5</v>
      </c>
      <c r="T5" s="254">
        <v>1</v>
      </c>
      <c r="U5" s="255">
        <v>2</v>
      </c>
      <c r="V5" s="255">
        <v>3</v>
      </c>
      <c r="W5" s="255">
        <v>4</v>
      </c>
      <c r="X5" s="256">
        <v>5</v>
      </c>
      <c r="Y5" s="255">
        <v>1</v>
      </c>
      <c r="Z5" s="255">
        <v>2</v>
      </c>
      <c r="AA5" s="255">
        <v>3</v>
      </c>
      <c r="AB5" s="255">
        <v>4</v>
      </c>
      <c r="AC5" s="256">
        <v>5</v>
      </c>
      <c r="AD5" s="676"/>
      <c r="AE5" s="680"/>
      <c r="AF5" s="254">
        <v>1</v>
      </c>
      <c r="AG5" s="255">
        <v>2</v>
      </c>
      <c r="AH5" s="255">
        <v>3</v>
      </c>
      <c r="AI5" s="255">
        <v>4</v>
      </c>
      <c r="AJ5" s="256">
        <v>5</v>
      </c>
      <c r="AK5" s="270">
        <v>1</v>
      </c>
      <c r="AL5" s="193">
        <v>2</v>
      </c>
      <c r="AM5" s="193">
        <v>3</v>
      </c>
      <c r="AN5" s="193">
        <v>4</v>
      </c>
      <c r="AO5" s="194">
        <v>5</v>
      </c>
      <c r="AP5" s="255">
        <v>1</v>
      </c>
      <c r="AQ5" s="255">
        <v>2</v>
      </c>
      <c r="AR5" s="255">
        <v>3</v>
      </c>
      <c r="AS5" s="255">
        <v>4</v>
      </c>
      <c r="AT5" s="256">
        <v>5</v>
      </c>
      <c r="AU5" s="271" t="s">
        <v>137</v>
      </c>
      <c r="AV5" s="255" t="s">
        <v>138</v>
      </c>
      <c r="AW5" s="255" t="s">
        <v>139</v>
      </c>
      <c r="AX5" s="255" t="s">
        <v>140</v>
      </c>
      <c r="AY5" s="186"/>
      <c r="AZ5" s="186"/>
      <c r="BA5" s="186"/>
      <c r="BB5" s="186"/>
      <c r="BC5" s="186"/>
      <c r="BD5" s="186"/>
      <c r="BE5" s="186"/>
      <c r="BF5" s="186"/>
      <c r="BG5" s="186"/>
      <c r="BH5" s="186"/>
      <c r="BI5" s="186"/>
      <c r="BJ5" s="186"/>
    </row>
    <row r="6" spans="2:62" x14ac:dyDescent="0.2">
      <c r="B6" s="190">
        <v>1</v>
      </c>
      <c r="C6" s="197" t="s">
        <v>6</v>
      </c>
      <c r="D6" s="191">
        <f>Baseline!AL31</f>
        <v>0.32584257613541145</v>
      </c>
      <c r="E6" s="191">
        <f>Baseline!AM31</f>
        <v>0.82008604845897226</v>
      </c>
      <c r="F6" s="191">
        <f>Baseline!AN31</f>
        <v>1.5541324044470577</v>
      </c>
      <c r="G6" s="191">
        <f>Baseline!AO31</f>
        <v>2.9452123165502546</v>
      </c>
      <c r="H6" s="195">
        <f>Baseline!AP31</f>
        <v>7.4125596452093143</v>
      </c>
      <c r="I6" s="191">
        <f>IF(D6+'Non-travel METs'!D6&gt;2.5, D6+'Non-travel METs'!D6, 0.1)</f>
        <v>0.1</v>
      </c>
      <c r="J6" s="191">
        <f>IF(E6+'Non-travel METs'!E6&gt;2.5, E6+'Non-travel METs'!E6, 0.1)</f>
        <v>0.1</v>
      </c>
      <c r="K6" s="191">
        <f>IF(F6+'Non-travel METs'!F6&gt;2.5, F6+'Non-travel METs'!F6, 0.1)</f>
        <v>0.1</v>
      </c>
      <c r="L6" s="191">
        <f>IF(G6+'Non-travel METs'!G6&gt;2.5, G6+'Non-travel METs'!G6, 0.1)</f>
        <v>2.9452123165502546</v>
      </c>
      <c r="M6" s="196">
        <f>IF(H6+'Non-travel METs'!H6&gt;2.5, H6+'Non-travel METs'!H6, 0.1)</f>
        <v>7.4125596452093143</v>
      </c>
      <c r="N6" s="241">
        <f>'Phy activity RRs'!$F$9</f>
        <v>0.94314906211536642</v>
      </c>
      <c r="O6" s="234">
        <f>$N6^(I6^0.5)</f>
        <v>0.98166113424264856</v>
      </c>
      <c r="P6" s="234">
        <f t="shared" ref="P6:S21" si="0">$N6^(J6^0.5)</f>
        <v>0.98166113424264856</v>
      </c>
      <c r="Q6" s="234">
        <f t="shared" si="0"/>
        <v>0.98166113424264856</v>
      </c>
      <c r="R6" s="234">
        <f t="shared" si="0"/>
        <v>0.90443162210620487</v>
      </c>
      <c r="S6" s="244">
        <f t="shared" si="0"/>
        <v>0.85269238518160617</v>
      </c>
      <c r="T6" s="248"/>
      <c r="U6" s="248"/>
      <c r="V6" s="248"/>
      <c r="W6" s="248"/>
      <c r="X6" s="249"/>
      <c r="Y6" s="235">
        <f>O6/$O6</f>
        <v>1</v>
      </c>
      <c r="Z6" s="235">
        <f t="shared" ref="Z6:AC21" si="1">P6/$O6</f>
        <v>1</v>
      </c>
      <c r="AA6" s="235">
        <f t="shared" si="1"/>
        <v>1</v>
      </c>
      <c r="AB6" s="235">
        <f t="shared" si="1"/>
        <v>0.92132772762158277</v>
      </c>
      <c r="AC6" s="259">
        <f t="shared" si="1"/>
        <v>0.86862192607783972</v>
      </c>
      <c r="AD6" s="262"/>
      <c r="AE6" s="263"/>
      <c r="AF6" s="187">
        <f>GBDUS!K58/(Y6+Z6+AA6+AB6+AC6)</f>
        <v>0</v>
      </c>
      <c r="AG6" s="187">
        <f>$AF6*Z6</f>
        <v>0</v>
      </c>
      <c r="AH6" s="187">
        <f t="shared" ref="AH6:AJ21" si="2">$AF6*AA6</f>
        <v>0</v>
      </c>
      <c r="AI6" s="187">
        <f t="shared" si="2"/>
        <v>0</v>
      </c>
      <c r="AJ6" s="265">
        <f t="shared" si="2"/>
        <v>0</v>
      </c>
      <c r="AK6" s="274">
        <f>GBDUS!L58/(Y6+Z6+AA6+AB6+AC6)</f>
        <v>0</v>
      </c>
      <c r="AL6" s="274">
        <f>$AK6*Z6</f>
        <v>0</v>
      </c>
      <c r="AM6" s="274">
        <f t="shared" ref="AM6:AO21" si="3">$AK6*AA6</f>
        <v>0</v>
      </c>
      <c r="AN6" s="274">
        <f t="shared" si="3"/>
        <v>0</v>
      </c>
      <c r="AO6" s="276">
        <f t="shared" si="3"/>
        <v>0</v>
      </c>
      <c r="AP6" s="274">
        <f>GBDUS!M58/(Y6+Z6+AA6+AB6+AC6)</f>
        <v>0</v>
      </c>
      <c r="AQ6" s="274">
        <f>$AP6*Z6</f>
        <v>0</v>
      </c>
      <c r="AR6" s="274">
        <f t="shared" ref="AR6:AT21" si="4">$AP6*AA6</f>
        <v>0</v>
      </c>
      <c r="AS6" s="274">
        <f t="shared" si="4"/>
        <v>0</v>
      </c>
      <c r="AT6" s="275">
        <f t="shared" si="4"/>
        <v>0</v>
      </c>
      <c r="AU6" s="272"/>
      <c r="AV6" s="272"/>
      <c r="AW6" s="272"/>
      <c r="AX6" s="272"/>
    </row>
    <row r="7" spans="2:62" x14ac:dyDescent="0.2">
      <c r="B7" s="190">
        <v>1</v>
      </c>
      <c r="C7" s="197" t="s">
        <v>7</v>
      </c>
      <c r="D7" s="191">
        <f>Baseline!AL32</f>
        <v>0.6753691820387282</v>
      </c>
      <c r="E7" s="191">
        <f>Baseline!AM32</f>
        <v>1.6997804593802961</v>
      </c>
      <c r="F7" s="191">
        <f>Baseline!AN32</f>
        <v>3.221227695962912</v>
      </c>
      <c r="G7" s="191">
        <f>Baseline!AO32</f>
        <v>6.1044988557060549</v>
      </c>
      <c r="H7" s="196">
        <f>Baseline!AP32</f>
        <v>15.363904876316242</v>
      </c>
      <c r="I7" s="191">
        <f>IF(D7+'Non-travel METs'!D7&gt;2.5, D7+'Non-travel METs'!D7, 0.1)</f>
        <v>0.1</v>
      </c>
      <c r="J7" s="191">
        <f>IF(E7+'Non-travel METs'!E7&gt;2.5, E7+'Non-travel METs'!E7, 0.1)</f>
        <v>0.1</v>
      </c>
      <c r="K7" s="191">
        <f>IF(F7+'Non-travel METs'!F7&gt;2.5, F7+'Non-travel METs'!F7, 0.1)</f>
        <v>3.221227695962912</v>
      </c>
      <c r="L7" s="191">
        <f>IF(G7+'Non-travel METs'!G7&gt;2.5, G7+'Non-travel METs'!G7, 0.1)</f>
        <v>6.1044988557060549</v>
      </c>
      <c r="M7" s="196">
        <f>IF(H7+'Non-travel METs'!H7&gt;2.5, H7+'Non-travel METs'!H7, 0.1)</f>
        <v>15.363904876316242</v>
      </c>
      <c r="N7" s="241">
        <f>'Phy activity RRs'!$F$9</f>
        <v>0.94314906211536642</v>
      </c>
      <c r="O7" s="234">
        <f t="shared" ref="O7:O13" si="5">$N7^(I7^0.5)</f>
        <v>0.98166113424264856</v>
      </c>
      <c r="P7" s="234">
        <f t="shared" si="0"/>
        <v>0.98166113424264856</v>
      </c>
      <c r="Q7" s="234">
        <f t="shared" si="0"/>
        <v>0.90027947934605379</v>
      </c>
      <c r="R7" s="234">
        <f t="shared" si="0"/>
        <v>0.86535621488780134</v>
      </c>
      <c r="S7" s="244">
        <f t="shared" si="0"/>
        <v>0.79499246453025885</v>
      </c>
      <c r="T7" s="248"/>
      <c r="U7" s="248"/>
      <c r="V7" s="248"/>
      <c r="W7" s="248"/>
      <c r="X7" s="249"/>
      <c r="Y7" s="235">
        <f t="shared" ref="Y7:Y21" si="6">O7/$O7</f>
        <v>1</v>
      </c>
      <c r="Z7" s="235">
        <f t="shared" si="1"/>
        <v>1</v>
      </c>
      <c r="AA7" s="235">
        <f t="shared" si="1"/>
        <v>0.91709801676178138</v>
      </c>
      <c r="AB7" s="235">
        <f t="shared" si="1"/>
        <v>0.88152233464496232</v>
      </c>
      <c r="AC7" s="246">
        <f t="shared" si="1"/>
        <v>0.80984408651728423</v>
      </c>
      <c r="AD7" s="263"/>
      <c r="AE7" s="263"/>
      <c r="AF7" s="187">
        <f>GBDUS!K59/(Y7+Z7+AA7+AB7+AC7)</f>
        <v>0</v>
      </c>
      <c r="AG7" s="187">
        <f t="shared" ref="AG7:AG21" si="7">$AF7*Z7</f>
        <v>0</v>
      </c>
      <c r="AH7" s="187">
        <f t="shared" si="2"/>
        <v>0</v>
      </c>
      <c r="AI7" s="187">
        <f t="shared" si="2"/>
        <v>0</v>
      </c>
      <c r="AJ7" s="265">
        <f t="shared" si="2"/>
        <v>0</v>
      </c>
      <c r="AK7" s="274">
        <f>GBDUS!L59/(Y7+Z7+AA7+AB7+AC7)</f>
        <v>1.1835059074540142</v>
      </c>
      <c r="AL7" s="274">
        <f t="shared" ref="AL7:AL21" si="8">$AK7*Z7</f>
        <v>1.1835059074540142</v>
      </c>
      <c r="AM7" s="274">
        <f t="shared" si="3"/>
        <v>1.0853909205519288</v>
      </c>
      <c r="AN7" s="274">
        <f t="shared" si="3"/>
        <v>1.0432868906049673</v>
      </c>
      <c r="AO7" s="276">
        <f t="shared" si="3"/>
        <v>0.9584552605099057</v>
      </c>
      <c r="AP7" s="274">
        <f>GBDUS!M59/(Y7+Z7+AA7+AB7+AC7)</f>
        <v>0</v>
      </c>
      <c r="AQ7" s="274">
        <f t="shared" ref="AQ7:AQ21" si="9">$AP7*Z7</f>
        <v>0</v>
      </c>
      <c r="AR7" s="274">
        <f t="shared" si="4"/>
        <v>0</v>
      </c>
      <c r="AS7" s="274">
        <f t="shared" si="4"/>
        <v>0</v>
      </c>
      <c r="AT7" s="276">
        <f t="shared" si="4"/>
        <v>0</v>
      </c>
      <c r="AU7" s="272"/>
      <c r="AV7" s="272"/>
      <c r="AW7" s="272"/>
      <c r="AX7" s="272"/>
    </row>
    <row r="8" spans="2:62" x14ac:dyDescent="0.2">
      <c r="B8" s="190">
        <v>1</v>
      </c>
      <c r="C8" s="197" t="s">
        <v>8</v>
      </c>
      <c r="D8" s="191">
        <f>Baseline!AL33</f>
        <v>0.52336012682040156</v>
      </c>
      <c r="E8" s="191">
        <f>Baseline!AM33</f>
        <v>1.3172015253978522</v>
      </c>
      <c r="F8" s="191">
        <f>Baseline!AN33</f>
        <v>2.4962082669917658</v>
      </c>
      <c r="G8" s="191">
        <f>Baseline!AO33</f>
        <v>4.7305257335744315</v>
      </c>
      <c r="H8" s="196">
        <f>Baseline!AP33</f>
        <v>11.90586632966081</v>
      </c>
      <c r="I8" s="191">
        <f>IF(D8+'Non-travel METs'!D8&gt;2.5, D8+'Non-travel METs'!D8, 0.1)</f>
        <v>65.400860126820405</v>
      </c>
      <c r="J8" s="191">
        <f>IF(E8+'Non-travel METs'!E8&gt;2.5, E8+'Non-travel METs'!E8, 0.1)</f>
        <v>66.194701525397846</v>
      </c>
      <c r="K8" s="191">
        <f>IF(F8+'Non-travel METs'!F8&gt;2.5, F8+'Non-travel METs'!F8, 0.1)</f>
        <v>67.37370826699177</v>
      </c>
      <c r="L8" s="191">
        <f>IF(G8+'Non-travel METs'!G8&gt;2.5, G8+'Non-travel METs'!G8, 0.1)</f>
        <v>69.608025733574436</v>
      </c>
      <c r="M8" s="196">
        <f>IF(H8+'Non-travel METs'!H8&gt;2.5, H8+'Non-travel METs'!H8, 0.1)</f>
        <v>76.783366329660808</v>
      </c>
      <c r="N8" s="241">
        <f>'Phy activity RRs'!$F$9</f>
        <v>0.94314906211536642</v>
      </c>
      <c r="O8" s="234">
        <f t="shared" si="5"/>
        <v>0.62291552910806025</v>
      </c>
      <c r="P8" s="234">
        <f t="shared" si="0"/>
        <v>0.6211339998772949</v>
      </c>
      <c r="Q8" s="234">
        <f t="shared" si="0"/>
        <v>0.61851697469411304</v>
      </c>
      <c r="R8" s="234">
        <f t="shared" si="0"/>
        <v>0.61364914384375646</v>
      </c>
      <c r="S8" s="244">
        <f t="shared" si="0"/>
        <v>0.59876631729176844</v>
      </c>
      <c r="T8" s="248"/>
      <c r="U8" s="248"/>
      <c r="V8" s="248"/>
      <c r="W8" s="248"/>
      <c r="X8" s="249"/>
      <c r="Y8" s="235">
        <f t="shared" si="6"/>
        <v>1</v>
      </c>
      <c r="Z8" s="235">
        <f t="shared" si="1"/>
        <v>0.99714001474113789</v>
      </c>
      <c r="AA8" s="235">
        <f t="shared" si="1"/>
        <v>0.99293876262766256</v>
      </c>
      <c r="AB8" s="235">
        <f t="shared" si="1"/>
        <v>0.98512417040305267</v>
      </c>
      <c r="AC8" s="246">
        <f t="shared" si="1"/>
        <v>0.96123196374495501</v>
      </c>
      <c r="AD8" s="263"/>
      <c r="AE8" s="263"/>
      <c r="AF8" s="187">
        <f>GBDUS!K60/(Y8+Z8+AA8+AB8+AC8)</f>
        <v>0</v>
      </c>
      <c r="AG8" s="187">
        <f t="shared" si="7"/>
        <v>0</v>
      </c>
      <c r="AH8" s="187">
        <f t="shared" si="2"/>
        <v>0</v>
      </c>
      <c r="AI8" s="187">
        <f t="shared" si="2"/>
        <v>0</v>
      </c>
      <c r="AJ8" s="265">
        <f t="shared" si="2"/>
        <v>0</v>
      </c>
      <c r="AK8" s="274">
        <f>GBDUS!L60/(Y8+Z8+AA8+AB8+AC8)</f>
        <v>0.85983713028862496</v>
      </c>
      <c r="AL8" s="274">
        <f t="shared" si="8"/>
        <v>0.85737800877097725</v>
      </c>
      <c r="AM8" s="274">
        <f t="shared" si="3"/>
        <v>0.8537656162101076</v>
      </c>
      <c r="AN8" s="274">
        <f t="shared" si="3"/>
        <v>0.84704633965732312</v>
      </c>
      <c r="AO8" s="276">
        <f t="shared" si="3"/>
        <v>0.82650293324816171</v>
      </c>
      <c r="AP8" s="274">
        <f>GBDUS!M60/(Y8+Z8+AA8+AB8+AC8)</f>
        <v>0</v>
      </c>
      <c r="AQ8" s="274">
        <f t="shared" si="9"/>
        <v>0</v>
      </c>
      <c r="AR8" s="274">
        <f t="shared" si="4"/>
        <v>0</v>
      </c>
      <c r="AS8" s="274">
        <f t="shared" si="4"/>
        <v>0</v>
      </c>
      <c r="AT8" s="276">
        <f t="shared" si="4"/>
        <v>0</v>
      </c>
      <c r="AU8" s="272"/>
      <c r="AV8" s="272"/>
      <c r="AW8" s="272"/>
      <c r="AX8" s="272"/>
    </row>
    <row r="9" spans="2:62" x14ac:dyDescent="0.2">
      <c r="B9" s="190">
        <v>1</v>
      </c>
      <c r="C9" s="197" t="s">
        <v>9</v>
      </c>
      <c r="D9" s="191">
        <f>Baseline!AL34</f>
        <v>0.45100860513125557</v>
      </c>
      <c r="E9" s="191">
        <f>Baseline!AM34</f>
        <v>1.1351060048376795</v>
      </c>
      <c r="F9" s="191">
        <f>Baseline!AN34</f>
        <v>2.151121858389879</v>
      </c>
      <c r="G9" s="191">
        <f>Baseline!AO34</f>
        <v>4.0765578103909643</v>
      </c>
      <c r="H9" s="196">
        <f>Baseline!AP34</f>
        <v>10.259948916708694</v>
      </c>
      <c r="I9" s="191">
        <f>IF(D9+'Non-travel METs'!D9&gt;2.5, D9+'Non-travel METs'!D9, 0.1)</f>
        <v>68.144758605131244</v>
      </c>
      <c r="J9" s="191">
        <f>IF(E9+'Non-travel METs'!E9&gt;2.5, E9+'Non-travel METs'!E9, 0.1)</f>
        <v>68.828856004837675</v>
      </c>
      <c r="K9" s="191">
        <f>IF(F9+'Non-travel METs'!F9&gt;2.5, F9+'Non-travel METs'!F9, 0.1)</f>
        <v>69.84487185838988</v>
      </c>
      <c r="L9" s="191">
        <f>IF(G9+'Non-travel METs'!G9&gt;2.5, G9+'Non-travel METs'!G9, 0.1)</f>
        <v>71.77030781039096</v>
      </c>
      <c r="M9" s="196">
        <f>IF(H9+'Non-travel METs'!H9&gt;2.5, H9+'Non-travel METs'!H9, 0.1)</f>
        <v>77.953698916708689</v>
      </c>
      <c r="N9" s="241">
        <f>'Phy activity RRs'!$F$9</f>
        <v>0.94314906211536642</v>
      </c>
      <c r="O9" s="234">
        <f t="shared" si="5"/>
        <v>0.61682375925536659</v>
      </c>
      <c r="P9" s="234">
        <f t="shared" si="0"/>
        <v>0.61533334433671649</v>
      </c>
      <c r="Q9" s="234">
        <f t="shared" si="0"/>
        <v>0.61313997357247707</v>
      </c>
      <c r="R9" s="234">
        <f t="shared" si="0"/>
        <v>0.60904773468671869</v>
      </c>
      <c r="S9" s="244">
        <f t="shared" si="0"/>
        <v>0.59643930977544091</v>
      </c>
      <c r="T9" s="248"/>
      <c r="U9" s="248"/>
      <c r="V9" s="248"/>
      <c r="W9" s="248"/>
      <c r="X9" s="249"/>
      <c r="Y9" s="235">
        <f t="shared" si="6"/>
        <v>1</v>
      </c>
      <c r="Z9" s="235">
        <f t="shared" si="1"/>
        <v>0.99758372647569649</v>
      </c>
      <c r="AA9" s="235">
        <f t="shared" si="1"/>
        <v>0.99402781486994496</v>
      </c>
      <c r="AB9" s="235">
        <f t="shared" si="1"/>
        <v>0.98739344188356948</v>
      </c>
      <c r="AC9" s="246">
        <f t="shared" si="1"/>
        <v>0.96695255464132268</v>
      </c>
      <c r="AD9" s="263"/>
      <c r="AE9" s="263"/>
      <c r="AF9" s="187">
        <f>GBDUS!K61/(Y9+Z9+AA9+AB9+AC9)</f>
        <v>0</v>
      </c>
      <c r="AG9" s="187">
        <f t="shared" si="7"/>
        <v>0</v>
      </c>
      <c r="AH9" s="187">
        <f t="shared" si="2"/>
        <v>0</v>
      </c>
      <c r="AI9" s="187">
        <f t="shared" si="2"/>
        <v>0</v>
      </c>
      <c r="AJ9" s="265">
        <f t="shared" si="2"/>
        <v>0</v>
      </c>
      <c r="AK9" s="274">
        <f>GBDUS!L61/(Y9+Z9+AA9+AB9+AC9)</f>
        <v>1.0999759334773047</v>
      </c>
      <c r="AL9" s="274">
        <f t="shared" si="8"/>
        <v>1.0973180907518725</v>
      </c>
      <c r="AM9" s="274">
        <f t="shared" si="3"/>
        <v>1.0934066735639731</v>
      </c>
      <c r="AN9" s="274">
        <f t="shared" si="3"/>
        <v>1.0861090229452481</v>
      </c>
      <c r="AO9" s="276">
        <f t="shared" si="3"/>
        <v>1.0636245389198533</v>
      </c>
      <c r="AP9" s="274">
        <f>GBDUS!M61/(Y9+Z9+AA9+AB9+AC9)</f>
        <v>0.169762870855276</v>
      </c>
      <c r="AQ9" s="274">
        <f t="shared" si="9"/>
        <v>0.16935267732501863</v>
      </c>
      <c r="AR9" s="274">
        <f t="shared" si="4"/>
        <v>0.16874901556231867</v>
      </c>
      <c r="AS9" s="274">
        <f t="shared" si="4"/>
        <v>0.16762274535782687</v>
      </c>
      <c r="AT9" s="276">
        <f t="shared" si="4"/>
        <v>0.16415264165675408</v>
      </c>
      <c r="AU9" s="272"/>
      <c r="AV9" s="272"/>
      <c r="AW9" s="272"/>
      <c r="AX9" s="272"/>
    </row>
    <row r="10" spans="2:62" x14ac:dyDescent="0.2">
      <c r="B10" s="190">
        <v>1</v>
      </c>
      <c r="C10" s="197" t="s">
        <v>10</v>
      </c>
      <c r="D10" s="191">
        <f>Baseline!AL35</f>
        <v>0.38443114877047524</v>
      </c>
      <c r="E10" s="191">
        <f>Baseline!AM35</f>
        <v>0.96754274852254363</v>
      </c>
      <c r="F10" s="191">
        <f>Baseline!AN35</f>
        <v>1.8335753193122197</v>
      </c>
      <c r="G10" s="191">
        <f>Baseline!AO35</f>
        <v>3.4747802685976854</v>
      </c>
      <c r="H10" s="196">
        <f>Baseline!AP35</f>
        <v>8.7453851290239513</v>
      </c>
      <c r="I10" s="191">
        <f>IF(D10+'Non-travel METs'!D10&gt;2.5, D10+'Non-travel METs'!D10, 0.1)</f>
        <v>58.159431148770473</v>
      </c>
      <c r="J10" s="191">
        <f>IF(E10+'Non-travel METs'!E10&gt;2.5, E10+'Non-travel METs'!E10, 0.1)</f>
        <v>58.742542748522546</v>
      </c>
      <c r="K10" s="191">
        <f>IF(F10+'Non-travel METs'!F10&gt;2.5, F10+'Non-travel METs'!F10, 0.1)</f>
        <v>59.608575319312216</v>
      </c>
      <c r="L10" s="191">
        <f>IF(G10+'Non-travel METs'!G10&gt;2.5, G10+'Non-travel METs'!G10, 0.1)</f>
        <v>61.249780268597682</v>
      </c>
      <c r="M10" s="196">
        <f>IF(H10+'Non-travel METs'!H10&gt;2.5, H10+'Non-travel METs'!H10, 0.1)</f>
        <v>66.52038512902395</v>
      </c>
      <c r="N10" s="241">
        <f>'Phy activity RRs'!$F$9</f>
        <v>0.94314906211536642</v>
      </c>
      <c r="O10" s="234">
        <f t="shared" si="5"/>
        <v>0.63994658594525944</v>
      </c>
      <c r="P10" s="234">
        <f t="shared" si="0"/>
        <v>0.63851975766454561</v>
      </c>
      <c r="Q10" s="234">
        <f t="shared" si="0"/>
        <v>0.63641946160081775</v>
      </c>
      <c r="R10" s="234">
        <f t="shared" si="0"/>
        <v>0.6324992690814023</v>
      </c>
      <c r="S10" s="244">
        <f t="shared" si="0"/>
        <v>0.62040766348762832</v>
      </c>
      <c r="T10" s="248"/>
      <c r="U10" s="248"/>
      <c r="V10" s="248"/>
      <c r="W10" s="248"/>
      <c r="X10" s="249"/>
      <c r="Y10" s="235">
        <f t="shared" si="6"/>
        <v>1</v>
      </c>
      <c r="Z10" s="235">
        <f t="shared" si="1"/>
        <v>0.99777039472973161</v>
      </c>
      <c r="AA10" s="235">
        <f t="shared" si="1"/>
        <v>0.99448840821733298</v>
      </c>
      <c r="AB10" s="235">
        <f t="shared" si="1"/>
        <v>0.98836259614877586</v>
      </c>
      <c r="AC10" s="246">
        <f t="shared" si="1"/>
        <v>0.96946788546614349</v>
      </c>
      <c r="AD10" s="263"/>
      <c r="AE10" s="263"/>
      <c r="AF10" s="187">
        <f>GBDUS!K62/(Y10+Z10+AA10+AB10+AC10)</f>
        <v>0</v>
      </c>
      <c r="AG10" s="187">
        <f t="shared" si="7"/>
        <v>0</v>
      </c>
      <c r="AH10" s="187">
        <f t="shared" si="2"/>
        <v>0</v>
      </c>
      <c r="AI10" s="187">
        <f t="shared" si="2"/>
        <v>0</v>
      </c>
      <c r="AJ10" s="265">
        <f t="shared" si="2"/>
        <v>0</v>
      </c>
      <c r="AK10" s="274">
        <f>GBDUS!L62/(Y10+Z10+AA10+AB10+AC10)</f>
        <v>8.4851267969938018</v>
      </c>
      <c r="AL10" s="274">
        <f t="shared" si="8"/>
        <v>8.4662083135683286</v>
      </c>
      <c r="AM10" s="274">
        <f t="shared" si="3"/>
        <v>8.4383602418646024</v>
      </c>
      <c r="AN10" s="274">
        <f t="shared" si="3"/>
        <v>8.3863819497283405</v>
      </c>
      <c r="AO10" s="276">
        <f t="shared" si="3"/>
        <v>8.2260579337936921</v>
      </c>
      <c r="AP10" s="274">
        <f>GBDUS!M62/(Y10+Z10+AA10+AB10+AC10)</f>
        <v>12.086000279739748</v>
      </c>
      <c r="AQ10" s="274">
        <f t="shared" si="9"/>
        <v>12.059053269819575</v>
      </c>
      <c r="AR10" s="274">
        <f t="shared" si="4"/>
        <v>12.019387179912624</v>
      </c>
      <c r="AS10" s="274">
        <f t="shared" si="4"/>
        <v>11.945350613538409</v>
      </c>
      <c r="AT10" s="276">
        <f t="shared" si="4"/>
        <v>11.716989134942512</v>
      </c>
      <c r="AU10" s="272"/>
      <c r="AV10" s="272"/>
      <c r="AW10" s="272"/>
      <c r="AX10" s="272"/>
    </row>
    <row r="11" spans="2:62" x14ac:dyDescent="0.2">
      <c r="B11" s="190">
        <v>1</v>
      </c>
      <c r="C11" s="197" t="s">
        <v>11</v>
      </c>
      <c r="D11" s="191">
        <f>Baseline!AL36</f>
        <v>0.31197165587745512</v>
      </c>
      <c r="E11" s="191">
        <f>Baseline!AM36</f>
        <v>0.78517548422960748</v>
      </c>
      <c r="F11" s="191">
        <f>Baseline!AN36</f>
        <v>1.4879739333593738</v>
      </c>
      <c r="G11" s="191">
        <f>Baseline!AO36</f>
        <v>2.8198364197900889</v>
      </c>
      <c r="H11" s="196">
        <f>Baseline!AP36</f>
        <v>7.0970114901293062</v>
      </c>
      <c r="I11" s="191">
        <f>IF(D11+'Non-travel METs'!D11&gt;2.5, D11+'Non-travel METs'!D11, 0.1)</f>
        <v>23.395304989210754</v>
      </c>
      <c r="J11" s="191">
        <f>IF(E11+'Non-travel METs'!E11&gt;2.5, E11+'Non-travel METs'!E11, 0.1)</f>
        <v>23.868508817562908</v>
      </c>
      <c r="K11" s="191">
        <f>IF(F11+'Non-travel METs'!F11&gt;2.5, F11+'Non-travel METs'!F11, 0.1)</f>
        <v>24.571307266692674</v>
      </c>
      <c r="L11" s="191">
        <f>IF(G11+'Non-travel METs'!G11&gt;2.5, G11+'Non-travel METs'!G11, 0.1)</f>
        <v>25.90316975312339</v>
      </c>
      <c r="M11" s="196">
        <f>IF(H11+'Non-travel METs'!H11&gt;2.5, H11+'Non-travel METs'!H11, 0.1)</f>
        <v>30.180344823462605</v>
      </c>
      <c r="N11" s="241">
        <f>'Phy activity RRs'!$F$9</f>
        <v>0.94314906211536642</v>
      </c>
      <c r="O11" s="234">
        <f t="shared" si="5"/>
        <v>0.75343954786435308</v>
      </c>
      <c r="P11" s="234">
        <f t="shared" si="0"/>
        <v>0.75129621442686556</v>
      </c>
      <c r="Q11" s="234">
        <f t="shared" si="0"/>
        <v>0.74816281735953849</v>
      </c>
      <c r="R11" s="234">
        <f t="shared" si="0"/>
        <v>0.74237993949085779</v>
      </c>
      <c r="S11" s="244">
        <f t="shared" si="0"/>
        <v>0.72502488328407555</v>
      </c>
      <c r="T11" s="248"/>
      <c r="U11" s="248"/>
      <c r="V11" s="248"/>
      <c r="W11" s="248"/>
      <c r="X11" s="249"/>
      <c r="Y11" s="235">
        <f t="shared" si="6"/>
        <v>1</v>
      </c>
      <c r="Z11" s="235">
        <f t="shared" si="1"/>
        <v>0.99715526820491063</v>
      </c>
      <c r="AA11" s="235">
        <f t="shared" si="1"/>
        <v>0.99299647792610346</v>
      </c>
      <c r="AB11" s="235">
        <f t="shared" si="1"/>
        <v>0.98532117353695581</v>
      </c>
      <c r="AC11" s="246">
        <f t="shared" si="1"/>
        <v>0.96228673599518399</v>
      </c>
      <c r="AD11" s="263"/>
      <c r="AE11" s="263"/>
      <c r="AF11" s="187">
        <f>GBDUS!K63/(Y11+Z11+AA11+AB11+AC11)</f>
        <v>0.81008398118615799</v>
      </c>
      <c r="AG11" s="187">
        <f t="shared" si="7"/>
        <v>0.80777950952818511</v>
      </c>
      <c r="AH11" s="187">
        <f t="shared" si="2"/>
        <v>0.80441054014221069</v>
      </c>
      <c r="AI11" s="187">
        <f t="shared" si="2"/>
        <v>0.79819289900583446</v>
      </c>
      <c r="AJ11" s="265">
        <f t="shared" si="2"/>
        <v>0.77953307013761197</v>
      </c>
      <c r="AK11" s="274">
        <f>GBDUS!L63/(Y11+Z11+AA11+AB11+AC11)</f>
        <v>18.277801484941723</v>
      </c>
      <c r="AL11" s="274">
        <f t="shared" si="8"/>
        <v>18.225806041913177</v>
      </c>
      <c r="AM11" s="274">
        <f t="shared" si="3"/>
        <v>18.149792498779636</v>
      </c>
      <c r="AN11" s="274">
        <f t="shared" si="3"/>
        <v>18.009504808818292</v>
      </c>
      <c r="AO11" s="276">
        <f t="shared" si="3"/>
        <v>17.588485932112498</v>
      </c>
      <c r="AP11" s="274">
        <f>GBDUS!M63/(Y11+Z11+AA11+AB11+AC11)</f>
        <v>13.527622088375368</v>
      </c>
      <c r="AQ11" s="274">
        <f t="shared" si="9"/>
        <v>13.489139631708614</v>
      </c>
      <c r="AR11" s="274">
        <f t="shared" si="4"/>
        <v>13.432881088472101</v>
      </c>
      <c r="AS11" s="274">
        <f t="shared" si="4"/>
        <v>13.329052471282463</v>
      </c>
      <c r="AT11" s="276">
        <f t="shared" si="4"/>
        <v>13.017451305199089</v>
      </c>
      <c r="AU11" s="272"/>
      <c r="AV11" s="272"/>
      <c r="AW11" s="272"/>
      <c r="AX11" s="272"/>
    </row>
    <row r="12" spans="2:62" x14ac:dyDescent="0.2">
      <c r="B12" s="190">
        <v>1</v>
      </c>
      <c r="C12" s="197" t="s">
        <v>12</v>
      </c>
      <c r="D12" s="191">
        <f>Baseline!AL37</f>
        <v>0.18042378449691091</v>
      </c>
      <c r="E12" s="191">
        <f>Baseline!AM37</f>
        <v>0.45409360013958189</v>
      </c>
      <c r="F12" s="191">
        <f>Baseline!AN37</f>
        <v>0.86054576828257767</v>
      </c>
      <c r="G12" s="191">
        <f>Baseline!AO37</f>
        <v>1.6308069945963135</v>
      </c>
      <c r="H12" s="196">
        <f>Baseline!AP37</f>
        <v>4.1044423348836867</v>
      </c>
      <c r="I12" s="191">
        <f>IF(D12+'Non-travel METs'!D12&gt;2.5, D12+'Non-travel METs'!D12, 0.1)</f>
        <v>0.1</v>
      </c>
      <c r="J12" s="191">
        <f>IF(E12+'Non-travel METs'!E12&gt;2.5, E12+'Non-travel METs'!E12, 0.1)</f>
        <v>0.1</v>
      </c>
      <c r="K12" s="191">
        <f>IF(F12+'Non-travel METs'!F12&gt;2.5, F12+'Non-travel METs'!F12, 0.1)</f>
        <v>2.7355457682825777</v>
      </c>
      <c r="L12" s="191">
        <f>IF(G12+'Non-travel METs'!G12&gt;2.5, G12+'Non-travel METs'!G12, 0.1)</f>
        <v>3.5058069945963135</v>
      </c>
      <c r="M12" s="196">
        <f>IF(H12+'Non-travel METs'!H12&gt;2.5, H12+'Non-travel METs'!H12, 0.1)</f>
        <v>5.9794423348836867</v>
      </c>
      <c r="N12" s="241">
        <f>'Phy activity RRs'!$F$9</f>
        <v>0.94314906211536642</v>
      </c>
      <c r="O12" s="234">
        <f t="shared" si="5"/>
        <v>0.98166113424264856</v>
      </c>
      <c r="P12" s="234">
        <f t="shared" si="0"/>
        <v>0.98166113424264856</v>
      </c>
      <c r="Q12" s="234">
        <f t="shared" si="0"/>
        <v>0.90773103877355332</v>
      </c>
      <c r="R12" s="234">
        <f t="shared" si="0"/>
        <v>0.89619956938383794</v>
      </c>
      <c r="S12" s="244">
        <f t="shared" si="0"/>
        <v>0.86664564143724987</v>
      </c>
      <c r="T12" s="248"/>
      <c r="U12" s="248"/>
      <c r="V12" s="248"/>
      <c r="W12" s="248"/>
      <c r="X12" s="249"/>
      <c r="Y12" s="235">
        <f t="shared" si="6"/>
        <v>1</v>
      </c>
      <c r="Z12" s="235">
        <f t="shared" si="1"/>
        <v>1</v>
      </c>
      <c r="AA12" s="235">
        <f t="shared" si="1"/>
        <v>0.92468878221797757</v>
      </c>
      <c r="AB12" s="235">
        <f t="shared" si="1"/>
        <v>0.91294188811422772</v>
      </c>
      <c r="AC12" s="246">
        <f t="shared" si="1"/>
        <v>0.88283584956825945</v>
      </c>
      <c r="AD12" s="263"/>
      <c r="AE12" s="263"/>
      <c r="AF12" s="187">
        <f>GBDUS!K64/(Y12+Z12+AA12+AB12+AC12)</f>
        <v>6.3553040517343984</v>
      </c>
      <c r="AG12" s="187">
        <f t="shared" si="7"/>
        <v>6.3553040517343984</v>
      </c>
      <c r="AH12" s="187">
        <f t="shared" si="2"/>
        <v>5.8766783642232596</v>
      </c>
      <c r="AI12" s="187">
        <f t="shared" si="2"/>
        <v>5.8020232805304035</v>
      </c>
      <c r="AJ12" s="265">
        <f t="shared" si="2"/>
        <v>5.6106902517775392</v>
      </c>
      <c r="AK12" s="274">
        <f>GBDUS!L64/(Y12+Z12+AA12+AB12+AC12)</f>
        <v>89.863734783239423</v>
      </c>
      <c r="AL12" s="274">
        <f t="shared" si="8"/>
        <v>89.863734783239423</v>
      </c>
      <c r="AM12" s="274">
        <f t="shared" si="3"/>
        <v>83.095987482272974</v>
      </c>
      <c r="AN12" s="274">
        <f t="shared" si="3"/>
        <v>82.040367706006805</v>
      </c>
      <c r="AO12" s="276">
        <f t="shared" si="3"/>
        <v>79.334926642737926</v>
      </c>
      <c r="AP12" s="274">
        <f>GBDUS!M64/(Y12+Z12+AA12+AB12+AC12)</f>
        <v>47.07925702085965</v>
      </c>
      <c r="AQ12" s="274">
        <f t="shared" si="9"/>
        <v>47.07925702085965</v>
      </c>
      <c r="AR12" s="274">
        <f t="shared" si="4"/>
        <v>43.533660842345881</v>
      </c>
      <c r="AS12" s="274">
        <f t="shared" si="4"/>
        <v>42.980625795638623</v>
      </c>
      <c r="AT12" s="276">
        <f t="shared" si="4"/>
        <v>41.563255869053073</v>
      </c>
      <c r="AU12" s="272"/>
      <c r="AV12" s="272"/>
      <c r="AW12" s="272"/>
      <c r="AX12" s="272"/>
    </row>
    <row r="13" spans="2:62" x14ac:dyDescent="0.2">
      <c r="B13" s="199">
        <v>1</v>
      </c>
      <c r="C13" s="200" t="s">
        <v>13</v>
      </c>
      <c r="D13" s="201">
        <f>Baseline!AL38</f>
        <v>0.16596673213865387</v>
      </c>
      <c r="E13" s="201">
        <f>Baseline!AM38</f>
        <v>0.41770784883150103</v>
      </c>
      <c r="F13" s="201">
        <f>Baseline!AN38</f>
        <v>0.79159169294584864</v>
      </c>
      <c r="G13" s="201">
        <f>Baseline!AO38</f>
        <v>1.5001331914010683</v>
      </c>
      <c r="H13" s="202">
        <f>Baseline!AP38</f>
        <v>3.7755603202295913</v>
      </c>
      <c r="I13" s="203">
        <f>IF(D13+'Non-travel METs'!D13&gt;2.5, D13+'Non-travel METs'!D13, 0.1)</f>
        <v>0.1</v>
      </c>
      <c r="J13" s="201">
        <f>IF(E13+'Non-travel METs'!E13&gt;2.5, E13+'Non-travel METs'!E13, 0.1)</f>
        <v>0.1</v>
      </c>
      <c r="K13" s="201">
        <f>IF(F13+'Non-travel METs'!F13&gt;2.5, F13+'Non-travel METs'!F13, 0.1)</f>
        <v>0.1</v>
      </c>
      <c r="L13" s="201">
        <f>IF(G13+'Non-travel METs'!G13&gt;2.5, G13+'Non-travel METs'!G13, 0.1)</f>
        <v>0.1</v>
      </c>
      <c r="M13" s="202">
        <f>IF(H13+'Non-travel METs'!H13&gt;2.5, H13+'Non-travel METs'!H13, 0.1)</f>
        <v>4.1088936535629239</v>
      </c>
      <c r="N13" s="337">
        <f>'Phy activity RRs'!$F$9</f>
        <v>0.94314906211536642</v>
      </c>
      <c r="O13" s="238">
        <f t="shared" si="5"/>
        <v>0.98166113424264856</v>
      </c>
      <c r="P13" s="238">
        <f t="shared" si="0"/>
        <v>0.98166113424264856</v>
      </c>
      <c r="Q13" s="238">
        <f t="shared" si="0"/>
        <v>0.98166113424264856</v>
      </c>
      <c r="R13" s="238">
        <f t="shared" si="0"/>
        <v>0.98166113424264856</v>
      </c>
      <c r="S13" s="245">
        <f t="shared" si="0"/>
        <v>0.88812339641251925</v>
      </c>
      <c r="T13" s="248"/>
      <c r="U13" s="248"/>
      <c r="V13" s="248"/>
      <c r="W13" s="248"/>
      <c r="X13" s="249"/>
      <c r="Y13" s="260">
        <f t="shared" si="6"/>
        <v>1</v>
      </c>
      <c r="Z13" s="237">
        <f t="shared" si="1"/>
        <v>1</v>
      </c>
      <c r="AA13" s="237">
        <f t="shared" si="1"/>
        <v>1</v>
      </c>
      <c r="AB13" s="237">
        <f t="shared" si="1"/>
        <v>1</v>
      </c>
      <c r="AC13" s="247">
        <f t="shared" si="1"/>
        <v>0.90471484041965899</v>
      </c>
      <c r="AD13" s="263"/>
      <c r="AE13" s="263"/>
      <c r="AF13" s="299">
        <f>GBDUS!K65/(Y13+Z13+AA13+AB13+AC13)</f>
        <v>47.097539309795039</v>
      </c>
      <c r="AG13" s="293">
        <f t="shared" si="7"/>
        <v>47.097539309795039</v>
      </c>
      <c r="AH13" s="293">
        <f t="shared" si="2"/>
        <v>47.097539309795039</v>
      </c>
      <c r="AI13" s="293">
        <f t="shared" si="2"/>
        <v>47.097539309795039</v>
      </c>
      <c r="AJ13" s="295">
        <f t="shared" si="2"/>
        <v>42.609842760819838</v>
      </c>
      <c r="AK13" s="274">
        <f>GBDUS!L65/(Y13+Z13+AA13+AB13+AC13)</f>
        <v>299.78401448046952</v>
      </c>
      <c r="AL13" s="278">
        <f t="shared" si="8"/>
        <v>299.78401448046952</v>
      </c>
      <c r="AM13" s="278">
        <f t="shared" si="3"/>
        <v>299.78401448046952</v>
      </c>
      <c r="AN13" s="278">
        <f t="shared" si="3"/>
        <v>299.78401448046952</v>
      </c>
      <c r="AO13" s="279">
        <f t="shared" si="3"/>
        <v>271.2190468210627</v>
      </c>
      <c r="AP13" s="277">
        <f>GBDUS!M65/(Y13+Z13+AA13+AB13+AC13)</f>
        <v>208.21164264761947</v>
      </c>
      <c r="AQ13" s="278">
        <f t="shared" si="9"/>
        <v>208.21164264761947</v>
      </c>
      <c r="AR13" s="278">
        <f t="shared" si="4"/>
        <v>208.21164264761947</v>
      </c>
      <c r="AS13" s="278">
        <f t="shared" si="4"/>
        <v>208.21164264761947</v>
      </c>
      <c r="AT13" s="279">
        <f t="shared" si="4"/>
        <v>188.37216305145611</v>
      </c>
      <c r="AU13" s="272"/>
      <c r="AV13" s="272"/>
      <c r="AW13" s="272"/>
      <c r="AX13" s="272"/>
    </row>
    <row r="14" spans="2:62" x14ac:dyDescent="0.2">
      <c r="B14" s="190">
        <v>2</v>
      </c>
      <c r="C14" s="197" t="s">
        <v>6</v>
      </c>
      <c r="D14" s="191">
        <f>Baseline!AL39</f>
        <v>0.58571636315218234</v>
      </c>
      <c r="E14" s="191">
        <f>Baseline!AM39</f>
        <v>1.4741407445036221</v>
      </c>
      <c r="F14" s="191">
        <f>Baseline!AN39</f>
        <v>2.7936213572390822</v>
      </c>
      <c r="G14" s="191">
        <f>Baseline!AO39</f>
        <v>5.2941486874445172</v>
      </c>
      <c r="H14" s="196">
        <f>Baseline!AP39</f>
        <v>13.324402011959144</v>
      </c>
      <c r="I14" s="191">
        <f>IF(D14+'Non-travel METs'!D14&gt;2.5, D14+'Non-travel METs'!D14, 0.1)</f>
        <v>0.1</v>
      </c>
      <c r="J14" s="191">
        <f>IF(E14+'Non-travel METs'!E14&gt;2.5, E14+'Non-travel METs'!E14, 0.1)</f>
        <v>0.1</v>
      </c>
      <c r="K14" s="191">
        <f>IF(F14+'Non-travel METs'!F14&gt;2.5, F14+'Non-travel METs'!F14, 0.1)</f>
        <v>2.7936213572390822</v>
      </c>
      <c r="L14" s="191">
        <f>IF(G14+'Non-travel METs'!G14&gt;2.5, G14+'Non-travel METs'!G14, 0.1)</f>
        <v>5.2941486874445172</v>
      </c>
      <c r="M14" s="196">
        <f>IF(H14+'Non-travel METs'!H14&gt;2.5, H14+'Non-travel METs'!H14, 0.1)</f>
        <v>13.324402011959144</v>
      </c>
      <c r="N14" s="241">
        <f>'Phy activity RRs'!$F$9</f>
        <v>0.94314906211536642</v>
      </c>
      <c r="O14" s="235">
        <f>$N14^(I14^0.5)</f>
        <v>0.98166113424264856</v>
      </c>
      <c r="P14" s="235">
        <f t="shared" si="0"/>
        <v>0.98166113424264856</v>
      </c>
      <c r="Q14" s="235">
        <f t="shared" si="0"/>
        <v>0.90680362089458955</v>
      </c>
      <c r="R14" s="235">
        <f t="shared" si="0"/>
        <v>0.87400084873361794</v>
      </c>
      <c r="S14" s="246">
        <f t="shared" si="0"/>
        <v>0.80762844761082297</v>
      </c>
      <c r="T14" s="248"/>
      <c r="U14" s="248"/>
      <c r="V14" s="248"/>
      <c r="W14" s="248"/>
      <c r="X14" s="249"/>
      <c r="Y14" s="235">
        <f t="shared" si="6"/>
        <v>1</v>
      </c>
      <c r="Z14" s="235">
        <f t="shared" si="1"/>
        <v>1</v>
      </c>
      <c r="AA14" s="235">
        <f t="shared" si="1"/>
        <v>0.92374403881660083</v>
      </c>
      <c r="AB14" s="235">
        <f t="shared" si="1"/>
        <v>0.89032846289459089</v>
      </c>
      <c r="AC14" s="246">
        <f t="shared" si="1"/>
        <v>0.82271612824308071</v>
      </c>
      <c r="AD14" s="263"/>
      <c r="AE14" s="263"/>
      <c r="AF14" s="187">
        <f>GBDUS!K66/(Y14+Z14+AA14+AB14+AC14)</f>
        <v>0</v>
      </c>
      <c r="AG14" s="187">
        <f t="shared" si="7"/>
        <v>0</v>
      </c>
      <c r="AH14" s="187">
        <f t="shared" si="2"/>
        <v>0</v>
      </c>
      <c r="AI14" s="187">
        <f t="shared" si="2"/>
        <v>0</v>
      </c>
      <c r="AJ14" s="265">
        <f t="shared" si="2"/>
        <v>0</v>
      </c>
      <c r="AK14" s="382">
        <f>GBDUS!L66/(Y14+Z14+AA14+AB14+AC14)</f>
        <v>0</v>
      </c>
      <c r="AL14" s="274">
        <f t="shared" si="8"/>
        <v>0</v>
      </c>
      <c r="AM14" s="274">
        <f t="shared" si="3"/>
        <v>0</v>
      </c>
      <c r="AN14" s="274">
        <f t="shared" si="3"/>
        <v>0</v>
      </c>
      <c r="AO14" s="276">
        <f t="shared" si="3"/>
        <v>0</v>
      </c>
      <c r="AP14" s="274">
        <f>GBDUS!M66/(Y14+Z14+AA14+AB14+AC14)</f>
        <v>0</v>
      </c>
      <c r="AQ14" s="274">
        <f t="shared" si="9"/>
        <v>0</v>
      </c>
      <c r="AR14" s="274">
        <f t="shared" si="4"/>
        <v>0</v>
      </c>
      <c r="AS14" s="274">
        <f t="shared" si="4"/>
        <v>0</v>
      </c>
      <c r="AT14" s="276">
        <f t="shared" si="4"/>
        <v>0</v>
      </c>
      <c r="AU14" s="272"/>
      <c r="AV14" s="272"/>
      <c r="AW14" s="272"/>
      <c r="AX14" s="272"/>
    </row>
    <row r="15" spans="2:62" x14ac:dyDescent="0.2">
      <c r="B15" s="190">
        <v>2</v>
      </c>
      <c r="C15" s="197" t="s">
        <v>7</v>
      </c>
      <c r="D15" s="191">
        <f>Baseline!AL40</f>
        <v>0.43674060992104319</v>
      </c>
      <c r="E15" s="191">
        <f>Baseline!AM40</f>
        <v>1.099196075723591</v>
      </c>
      <c r="F15" s="191">
        <f>Baseline!AN40</f>
        <v>2.0830695063440512</v>
      </c>
      <c r="G15" s="191">
        <f>Baseline!AO40</f>
        <v>3.9475928490774548</v>
      </c>
      <c r="H15" s="196">
        <f>Baseline!AP40</f>
        <v>9.9353677438993167</v>
      </c>
      <c r="I15" s="191">
        <f>IF(D15+'Non-travel METs'!D15&gt;2.5, D15+'Non-travel METs'!D15, 0.1)</f>
        <v>0.1</v>
      </c>
      <c r="J15" s="191">
        <f>IF(E15+'Non-travel METs'!E15&gt;2.5, E15+'Non-travel METs'!E15, 0.1)</f>
        <v>0.1</v>
      </c>
      <c r="K15" s="191">
        <f>IF(F15+'Non-travel METs'!F15&gt;2.5, F15+'Non-travel METs'!F15, 0.1)</f>
        <v>0.1</v>
      </c>
      <c r="L15" s="191">
        <f>IF(G15+'Non-travel METs'!G15&gt;2.5, G15+'Non-travel METs'!G15, 0.1)</f>
        <v>3.9475928490774548</v>
      </c>
      <c r="M15" s="196">
        <f>IF(H15+'Non-travel METs'!H15&gt;2.5, H15+'Non-travel METs'!H15, 0.1)</f>
        <v>9.9353677438993167</v>
      </c>
      <c r="N15" s="241">
        <f>'Phy activity RRs'!$F$9</f>
        <v>0.94314906211536642</v>
      </c>
      <c r="O15" s="235">
        <f t="shared" ref="O15:O21" si="10">$N15^(I15^0.5)</f>
        <v>0.98166113424264856</v>
      </c>
      <c r="P15" s="235">
        <f t="shared" si="0"/>
        <v>0.98166113424264856</v>
      </c>
      <c r="Q15" s="235">
        <f t="shared" si="0"/>
        <v>0.98166113424264856</v>
      </c>
      <c r="R15" s="235">
        <f t="shared" si="0"/>
        <v>0.89021481081743381</v>
      </c>
      <c r="S15" s="246">
        <f t="shared" si="0"/>
        <v>0.83152662454543358</v>
      </c>
      <c r="T15" s="248"/>
      <c r="U15" s="248"/>
      <c r="V15" s="248"/>
      <c r="W15" s="248"/>
      <c r="X15" s="249"/>
      <c r="Y15" s="235">
        <f t="shared" si="6"/>
        <v>1</v>
      </c>
      <c r="Z15" s="235">
        <f t="shared" si="1"/>
        <v>1</v>
      </c>
      <c r="AA15" s="235">
        <f t="shared" si="1"/>
        <v>1</v>
      </c>
      <c r="AB15" s="235">
        <f t="shared" si="1"/>
        <v>0.90684532550454333</v>
      </c>
      <c r="AC15" s="246">
        <f t="shared" si="1"/>
        <v>0.8470607580761117</v>
      </c>
      <c r="AD15" s="263"/>
      <c r="AE15" s="263"/>
      <c r="AF15" s="187">
        <f>GBDUS!K67/(Y15+Z15+AA15+AB15+AC15)</f>
        <v>0</v>
      </c>
      <c r="AG15" s="187">
        <f t="shared" si="7"/>
        <v>0</v>
      </c>
      <c r="AH15" s="187">
        <f t="shared" si="2"/>
        <v>0</v>
      </c>
      <c r="AI15" s="187">
        <f t="shared" si="2"/>
        <v>0</v>
      </c>
      <c r="AJ15" s="265">
        <f t="shared" si="2"/>
        <v>0</v>
      </c>
      <c r="AK15" s="274">
        <f>GBDUS!L67/(Y15+Z15+AA15+AB15+AC15)</f>
        <v>0.88701654457270329</v>
      </c>
      <c r="AL15" s="274">
        <f t="shared" si="8"/>
        <v>0.88701654457270329</v>
      </c>
      <c r="AM15" s="274">
        <f t="shared" si="3"/>
        <v>0.88701654457270329</v>
      </c>
      <c r="AN15" s="274">
        <f t="shared" si="3"/>
        <v>0.80438680709094834</v>
      </c>
      <c r="AO15" s="276">
        <f t="shared" si="3"/>
        <v>0.75135690667180721</v>
      </c>
      <c r="AP15" s="274">
        <f>GBDUS!M67/(Y15+Z15+AA15+AB15+AC15)</f>
        <v>0</v>
      </c>
      <c r="AQ15" s="274">
        <f t="shared" si="9"/>
        <v>0</v>
      </c>
      <c r="AR15" s="274">
        <f t="shared" si="4"/>
        <v>0</v>
      </c>
      <c r="AS15" s="274">
        <f t="shared" si="4"/>
        <v>0</v>
      </c>
      <c r="AT15" s="276">
        <f t="shared" si="4"/>
        <v>0</v>
      </c>
      <c r="AU15" s="272"/>
      <c r="AV15" s="272"/>
      <c r="AW15" s="272"/>
      <c r="AX15" s="272"/>
    </row>
    <row r="16" spans="2:62" x14ac:dyDescent="0.2">
      <c r="B16" s="190">
        <v>2</v>
      </c>
      <c r="C16" s="197" t="s">
        <v>8</v>
      </c>
      <c r="D16" s="191">
        <f>Baseline!AL41</f>
        <v>0.42061144034593556</v>
      </c>
      <c r="E16" s="191">
        <f>Baseline!AM41</f>
        <v>1.0586019118219474</v>
      </c>
      <c r="F16" s="191">
        <f>Baseline!AN41</f>
        <v>2.0061401332989548</v>
      </c>
      <c r="G16" s="191">
        <f>Baseline!AO41</f>
        <v>3.8018051823712069</v>
      </c>
      <c r="H16" s="196">
        <f>Baseline!AP41</f>
        <v>9.568446904636458</v>
      </c>
      <c r="I16" s="191">
        <f>IF(D16+'Non-travel METs'!D16&gt;2.5, D16+'Non-travel METs'!D16, 0.1)</f>
        <v>37.920611440345937</v>
      </c>
      <c r="J16" s="191">
        <f>IF(E16+'Non-travel METs'!E16&gt;2.5, E16+'Non-travel METs'!E16, 0.1)</f>
        <v>38.558601911821945</v>
      </c>
      <c r="K16" s="191">
        <f>IF(F16+'Non-travel METs'!F16&gt;2.5, F16+'Non-travel METs'!F16, 0.1)</f>
        <v>39.506140133298956</v>
      </c>
      <c r="L16" s="191">
        <f>IF(G16+'Non-travel METs'!G16&gt;2.5, G16+'Non-travel METs'!G16, 0.1)</f>
        <v>41.301805182371204</v>
      </c>
      <c r="M16" s="196">
        <f>IF(H16+'Non-travel METs'!H16&gt;2.5, H16+'Non-travel METs'!H16, 0.1)</f>
        <v>47.06844690463646</v>
      </c>
      <c r="N16" s="241">
        <f>'Phy activity RRs'!$F$9</f>
        <v>0.94314906211536642</v>
      </c>
      <c r="O16" s="235">
        <f t="shared" si="10"/>
        <v>0.69737511207002878</v>
      </c>
      <c r="P16" s="235">
        <f t="shared" si="0"/>
        <v>0.69527265226906809</v>
      </c>
      <c r="Q16" s="235">
        <f t="shared" si="0"/>
        <v>0.69219344149720818</v>
      </c>
      <c r="R16" s="235">
        <f t="shared" si="0"/>
        <v>0.6864940439849706</v>
      </c>
      <c r="S16" s="246">
        <f t="shared" si="0"/>
        <v>0.6692751852982004</v>
      </c>
      <c r="T16" s="248"/>
      <c r="U16" s="248"/>
      <c r="V16" s="248"/>
      <c r="W16" s="248"/>
      <c r="X16" s="249"/>
      <c r="Y16" s="235">
        <f t="shared" si="6"/>
        <v>1</v>
      </c>
      <c r="Z16" s="235">
        <f t="shared" si="1"/>
        <v>0.99698518090971167</v>
      </c>
      <c r="AA16" s="235">
        <f t="shared" si="1"/>
        <v>0.99256975122407254</v>
      </c>
      <c r="AB16" s="235">
        <f t="shared" si="1"/>
        <v>0.98439710867690744</v>
      </c>
      <c r="AC16" s="246">
        <f t="shared" si="1"/>
        <v>0.95970615198982512</v>
      </c>
      <c r="AD16" s="263"/>
      <c r="AE16" s="263"/>
      <c r="AF16" s="187">
        <f>GBDUS!K68/(Y16+Z16+AA16+AB16+AC16)</f>
        <v>0</v>
      </c>
      <c r="AG16" s="187">
        <f t="shared" si="7"/>
        <v>0</v>
      </c>
      <c r="AH16" s="187">
        <f t="shared" si="2"/>
        <v>0</v>
      </c>
      <c r="AI16" s="187">
        <f t="shared" si="2"/>
        <v>0</v>
      </c>
      <c r="AJ16" s="265">
        <f t="shared" si="2"/>
        <v>0</v>
      </c>
      <c r="AK16" s="274">
        <f>GBDUS!L68/(Y16+Z16+AA16+AB16+AC16)</f>
        <v>0.6167768510073125</v>
      </c>
      <c r="AL16" s="274">
        <f t="shared" si="8"/>
        <v>0.6149173803824477</v>
      </c>
      <c r="AM16" s="274">
        <f t="shared" si="3"/>
        <v>0.61219404556509505</v>
      </c>
      <c r="AN16" s="274">
        <f t="shared" si="3"/>
        <v>0.60715334883044614</v>
      </c>
      <c r="AO16" s="276">
        <f t="shared" si="3"/>
        <v>0.59192453831662961</v>
      </c>
      <c r="AP16" s="274">
        <f>GBDUS!M68/(Y16+Z16+AA16+AB16+AC16)</f>
        <v>0</v>
      </c>
      <c r="AQ16" s="274">
        <f t="shared" si="9"/>
        <v>0</v>
      </c>
      <c r="AR16" s="274">
        <f t="shared" si="4"/>
        <v>0</v>
      </c>
      <c r="AS16" s="274">
        <f t="shared" si="4"/>
        <v>0</v>
      </c>
      <c r="AT16" s="276">
        <f t="shared" si="4"/>
        <v>0</v>
      </c>
      <c r="AU16" s="272"/>
      <c r="AV16" s="272"/>
      <c r="AW16" s="272"/>
      <c r="AX16" s="272"/>
    </row>
    <row r="17" spans="2:50" x14ac:dyDescent="0.2">
      <c r="B17" s="190">
        <v>2</v>
      </c>
      <c r="C17" s="197" t="s">
        <v>9</v>
      </c>
      <c r="D17" s="191">
        <f>Baseline!AL42</f>
        <v>0.35430197088303461</v>
      </c>
      <c r="E17" s="191">
        <f>Baseline!AM42</f>
        <v>0.89171312941604497</v>
      </c>
      <c r="F17" s="191">
        <f>Baseline!AN42</f>
        <v>1.6898717793096323</v>
      </c>
      <c r="G17" s="191">
        <f>Baseline!AO42</f>
        <v>3.2024499093976431</v>
      </c>
      <c r="H17" s="196">
        <f>Baseline!AP42</f>
        <v>8.0599795236528315</v>
      </c>
      <c r="I17" s="191">
        <f>IF(D17+'Non-travel METs'!D17&gt;2.5, D17+'Non-travel METs'!D17, 0.1)</f>
        <v>37.917635304216333</v>
      </c>
      <c r="J17" s="191">
        <f>IF(E17+'Non-travel METs'!E17&gt;2.5, E17+'Non-travel METs'!E17, 0.1)</f>
        <v>38.455046462749344</v>
      </c>
      <c r="K17" s="191">
        <f>IF(F17+'Non-travel METs'!F17&gt;2.5, F17+'Non-travel METs'!F17, 0.1)</f>
        <v>39.253205112642931</v>
      </c>
      <c r="L17" s="191">
        <f>IF(G17+'Non-travel METs'!G17&gt;2.5, G17+'Non-travel METs'!G17, 0.1)</f>
        <v>40.76578324273094</v>
      </c>
      <c r="M17" s="196">
        <f>IF(H17+'Non-travel METs'!H17&gt;2.5, H17+'Non-travel METs'!H17, 0.1)</f>
        <v>45.623312856986132</v>
      </c>
      <c r="N17" s="241">
        <f>'Phy activity RRs'!$F$9</f>
        <v>0.94314906211536642</v>
      </c>
      <c r="O17" s="235">
        <f t="shared" si="10"/>
        <v>0.69738497596959304</v>
      </c>
      <c r="P17" s="235">
        <f t="shared" si="0"/>
        <v>0.69561229387359513</v>
      </c>
      <c r="Q17" s="235">
        <f t="shared" si="0"/>
        <v>0.69301042370885335</v>
      </c>
      <c r="R17" s="235">
        <f t="shared" si="0"/>
        <v>0.68817725348658398</v>
      </c>
      <c r="S17" s="246">
        <f t="shared" si="0"/>
        <v>0.6734460461952424</v>
      </c>
      <c r="T17" s="248"/>
      <c r="U17" s="248"/>
      <c r="V17" s="248"/>
      <c r="W17" s="248"/>
      <c r="X17" s="249"/>
      <c r="Y17" s="235">
        <f t="shared" si="6"/>
        <v>1</v>
      </c>
      <c r="Z17" s="235">
        <f t="shared" si="1"/>
        <v>0.99745810111046151</v>
      </c>
      <c r="AA17" s="235">
        <f t="shared" si="1"/>
        <v>0.99372720604619047</v>
      </c>
      <c r="AB17" s="235">
        <f t="shared" si="1"/>
        <v>0.98679678685333405</v>
      </c>
      <c r="AC17" s="246">
        <f t="shared" si="1"/>
        <v>0.96567329294545279</v>
      </c>
      <c r="AD17" s="263"/>
      <c r="AE17" s="263"/>
      <c r="AF17" s="187">
        <f>GBDUS!K69/(Y17+Z17+AA17+AB17+AC17)</f>
        <v>0</v>
      </c>
      <c r="AG17" s="187">
        <f t="shared" si="7"/>
        <v>0</v>
      </c>
      <c r="AH17" s="187">
        <f t="shared" si="2"/>
        <v>0</v>
      </c>
      <c r="AI17" s="187">
        <f t="shared" si="2"/>
        <v>0</v>
      </c>
      <c r="AJ17" s="265">
        <f t="shared" si="2"/>
        <v>0</v>
      </c>
      <c r="AK17" s="274">
        <f>GBDUS!L69/(Y17+Z17+AA17+AB17+AC17)</f>
        <v>0.89960299060009885</v>
      </c>
      <c r="AL17" s="274">
        <f t="shared" si="8"/>
        <v>0.89731629075726693</v>
      </c>
      <c r="AM17" s="274">
        <f t="shared" si="3"/>
        <v>0.89395996639983355</v>
      </c>
      <c r="AN17" s="274">
        <f t="shared" si="3"/>
        <v>0.88772534056782759</v>
      </c>
      <c r="AO17" s="276">
        <f t="shared" si="3"/>
        <v>0.86872258227637467</v>
      </c>
      <c r="AP17" s="274">
        <f>GBDUS!M69/(Y17+Z17+AA17+AB17+AC17)</f>
        <v>0.2052028317890893</v>
      </c>
      <c r="AQ17" s="274">
        <f t="shared" si="9"/>
        <v>0.20468122693883445</v>
      </c>
      <c r="AR17" s="274">
        <f t="shared" si="4"/>
        <v>0.20391563670653809</v>
      </c>
      <c r="AS17" s="274">
        <f t="shared" si="4"/>
        <v>0.20249349506267852</v>
      </c>
      <c r="AT17" s="276">
        <f t="shared" si="4"/>
        <v>0.19815889429550171</v>
      </c>
      <c r="AU17" s="272"/>
      <c r="AV17" s="272"/>
      <c r="AW17" s="272"/>
      <c r="AX17" s="272"/>
    </row>
    <row r="18" spans="2:50" x14ac:dyDescent="0.2">
      <c r="B18" s="190">
        <v>2</v>
      </c>
      <c r="C18" s="197" t="s">
        <v>10</v>
      </c>
      <c r="D18" s="191">
        <f>Baseline!AL43</f>
        <v>0.26733773499708668</v>
      </c>
      <c r="E18" s="191">
        <f>Baseline!AM43</f>
        <v>0.67284008522760486</v>
      </c>
      <c r="F18" s="191">
        <f>Baseline!AN43</f>
        <v>1.2750888536978389</v>
      </c>
      <c r="G18" s="191">
        <f>Baseline!AO43</f>
        <v>2.4164011932708851</v>
      </c>
      <c r="H18" s="196">
        <f>Baseline!AP43</f>
        <v>6.0816389607033488</v>
      </c>
      <c r="I18" s="191">
        <f>IF(D18+'Non-travel METs'!D18&gt;2.5, D18+'Non-travel METs'!D18, 0.1)</f>
        <v>38.020671068330387</v>
      </c>
      <c r="J18" s="191">
        <f>IF(E18+'Non-travel METs'!E18&gt;2.5, E18+'Non-travel METs'!E18, 0.1)</f>
        <v>38.426173418560907</v>
      </c>
      <c r="K18" s="191">
        <f>IF(F18+'Non-travel METs'!F18&gt;2.5, F18+'Non-travel METs'!F18, 0.1)</f>
        <v>39.02842218703114</v>
      </c>
      <c r="L18" s="191">
        <f>IF(G18+'Non-travel METs'!G18&gt;2.5, G18+'Non-travel METs'!G18, 0.1)</f>
        <v>40.169734526604188</v>
      </c>
      <c r="M18" s="196">
        <f>IF(H18+'Non-travel METs'!H18&gt;2.5, H18+'Non-travel METs'!H18, 0.1)</f>
        <v>43.834972294036653</v>
      </c>
      <c r="N18" s="241">
        <f>'Phy activity RRs'!$F$9</f>
        <v>0.94314906211536642</v>
      </c>
      <c r="O18" s="235">
        <f t="shared" si="10"/>
        <v>0.69704378742073514</v>
      </c>
      <c r="P18" s="235">
        <f t="shared" si="0"/>
        <v>0.69570710291808657</v>
      </c>
      <c r="Q18" s="235">
        <f t="shared" si="0"/>
        <v>0.69373949909246635</v>
      </c>
      <c r="R18" s="235">
        <f t="shared" si="0"/>
        <v>0.69006690402145909</v>
      </c>
      <c r="S18" s="246">
        <f t="shared" si="0"/>
        <v>0.67873701738282399</v>
      </c>
      <c r="T18" s="248"/>
      <c r="U18" s="248"/>
      <c r="V18" s="248"/>
      <c r="W18" s="248"/>
      <c r="X18" s="249"/>
      <c r="Y18" s="235">
        <f t="shared" si="6"/>
        <v>1</v>
      </c>
      <c r="Z18" s="235">
        <f t="shared" si="1"/>
        <v>0.99808235217532792</v>
      </c>
      <c r="AA18" s="235">
        <f t="shared" si="1"/>
        <v>0.99525956849784769</v>
      </c>
      <c r="AB18" s="235">
        <f t="shared" si="1"/>
        <v>0.98999075305571183</v>
      </c>
      <c r="AC18" s="246">
        <f t="shared" si="1"/>
        <v>0.97373655662917313</v>
      </c>
      <c r="AD18" s="263"/>
      <c r="AE18" s="263"/>
      <c r="AF18" s="187">
        <f>GBDUS!K70/(Y18+Z18+AA18+AB18+AC18)</f>
        <v>0</v>
      </c>
      <c r="AG18" s="187">
        <f t="shared" si="7"/>
        <v>0</v>
      </c>
      <c r="AH18" s="187">
        <f t="shared" si="2"/>
        <v>0</v>
      </c>
      <c r="AI18" s="187">
        <f t="shared" si="2"/>
        <v>0</v>
      </c>
      <c r="AJ18" s="265">
        <f t="shared" si="2"/>
        <v>0</v>
      </c>
      <c r="AK18" s="274">
        <f>GBDUS!L70/(Y18+Z18+AA18+AB18+AC18)</f>
        <v>8.0537004102008467</v>
      </c>
      <c r="AL18" s="274">
        <f t="shared" si="8"/>
        <v>8.0382562491286649</v>
      </c>
      <c r="AM18" s="274">
        <f t="shared" si="3"/>
        <v>8.0155223950674337</v>
      </c>
      <c r="AN18" s="274">
        <f t="shared" si="3"/>
        <v>7.9730889339798319</v>
      </c>
      <c r="AO18" s="276">
        <f t="shared" si="3"/>
        <v>7.8421825055519321</v>
      </c>
      <c r="AP18" s="274">
        <f>GBDUS!M70/(Y18+Z18+AA18+AB18+AC18)</f>
        <v>16.92593929350739</v>
      </c>
      <c r="AQ18" s="274">
        <f t="shared" si="9"/>
        <v>16.893481302840666</v>
      </c>
      <c r="AR18" s="274">
        <f t="shared" si="4"/>
        <v>16.84570303767693</v>
      </c>
      <c r="AS18" s="274">
        <f t="shared" si="4"/>
        <v>16.756523387354644</v>
      </c>
      <c r="AT18" s="276">
        <f t="shared" si="4"/>
        <v>16.481405845374304</v>
      </c>
      <c r="AU18" s="272"/>
      <c r="AV18" s="272"/>
      <c r="AW18" s="272"/>
      <c r="AX18" s="272"/>
    </row>
    <row r="19" spans="2:50" x14ac:dyDescent="0.2">
      <c r="B19" s="190">
        <v>2</v>
      </c>
      <c r="C19" s="197" t="s">
        <v>11</v>
      </c>
      <c r="D19" s="191">
        <f>Baseline!AL44</f>
        <v>0.17691769036532026</v>
      </c>
      <c r="E19" s="191">
        <f>Baseline!AM44</f>
        <v>0.44526940375615254</v>
      </c>
      <c r="F19" s="191">
        <f>Baseline!AN44</f>
        <v>0.84382317000345575</v>
      </c>
      <c r="G19" s="191">
        <f>Baseline!AO44</f>
        <v>1.5991162568731561</v>
      </c>
      <c r="H19" s="196">
        <f>Baseline!AP44</f>
        <v>4.0246825558505925</v>
      </c>
      <c r="I19" s="191">
        <f>IF(D19+'Non-travel METs'!D19&gt;2.5, D19+'Non-travel METs'!D19, 0.1)</f>
        <v>9.17691769036532</v>
      </c>
      <c r="J19" s="191">
        <f>IF(E19+'Non-travel METs'!E19&gt;2.5, E19+'Non-travel METs'!E19, 0.1)</f>
        <v>9.4452694037561518</v>
      </c>
      <c r="K19" s="191">
        <f>IF(F19+'Non-travel METs'!F19&gt;2.5, F19+'Non-travel METs'!F19, 0.1)</f>
        <v>9.8438231700034553</v>
      </c>
      <c r="L19" s="191">
        <f>IF(G19+'Non-travel METs'!G19&gt;2.5, G19+'Non-travel METs'!G19, 0.1)</f>
        <v>10.599116256873156</v>
      </c>
      <c r="M19" s="196">
        <f>IF(H19+'Non-travel METs'!H19&gt;2.5, H19+'Non-travel METs'!H19, 0.1)</f>
        <v>13.024682555850593</v>
      </c>
      <c r="N19" s="241">
        <f>'Phy activity RRs'!$F$9</f>
        <v>0.94314906211536642</v>
      </c>
      <c r="O19" s="235">
        <f t="shared" si="10"/>
        <v>0.83751988663176524</v>
      </c>
      <c r="P19" s="235">
        <f t="shared" si="0"/>
        <v>0.83536706950878858</v>
      </c>
      <c r="Q19" s="235">
        <f t="shared" si="0"/>
        <v>0.83223532245257925</v>
      </c>
      <c r="R19" s="235">
        <f t="shared" si="0"/>
        <v>0.82650031606923191</v>
      </c>
      <c r="S19" s="246">
        <f t="shared" si="0"/>
        <v>0.80958254474637104</v>
      </c>
      <c r="T19" s="248"/>
      <c r="U19" s="248"/>
      <c r="V19" s="248"/>
      <c r="W19" s="248"/>
      <c r="X19" s="249"/>
      <c r="Y19" s="235">
        <f t="shared" si="6"/>
        <v>1</v>
      </c>
      <c r="Z19" s="235">
        <f t="shared" si="1"/>
        <v>0.99742953312830029</v>
      </c>
      <c r="AA19" s="235">
        <f t="shared" si="1"/>
        <v>0.99369022244899907</v>
      </c>
      <c r="AB19" s="235">
        <f t="shared" si="1"/>
        <v>0.98684261623105995</v>
      </c>
      <c r="AC19" s="246">
        <f t="shared" si="1"/>
        <v>0.96664277191345371</v>
      </c>
      <c r="AD19" s="263"/>
      <c r="AE19" s="263"/>
      <c r="AF19" s="187">
        <f>GBDUS!K71/(Y19+Z19+AA19+AB19+AC19)</f>
        <v>1.0112030899673603</v>
      </c>
      <c r="AG19" s="187">
        <f t="shared" si="7"/>
        <v>1.0086038259240389</v>
      </c>
      <c r="AH19" s="187">
        <f t="shared" si="2"/>
        <v>1.0048226234107815</v>
      </c>
      <c r="AI19" s="187">
        <f t="shared" si="2"/>
        <v>0.99789830284432168</v>
      </c>
      <c r="AJ19" s="265">
        <f t="shared" si="2"/>
        <v>0.97747215785349872</v>
      </c>
      <c r="AK19" s="274">
        <f>GBDUS!L71/(Y19+Z19+AA19+AB19+AC19)</f>
        <v>22.757867574297507</v>
      </c>
      <c r="AL19" s="274">
        <f t="shared" si="8"/>
        <v>22.699369229627244</v>
      </c>
      <c r="AM19" s="274">
        <f t="shared" si="3"/>
        <v>22.614270492368551</v>
      </c>
      <c r="AN19" s="274">
        <f t="shared" si="3"/>
        <v>22.458433576859758</v>
      </c>
      <c r="AO19" s="276">
        <f t="shared" si="3"/>
        <v>21.998728194858248</v>
      </c>
      <c r="AP19" s="274">
        <f>GBDUS!M71/(Y19+Z19+AA19+AB19+AC19)</f>
        <v>23.967790663656466</v>
      </c>
      <c r="AQ19" s="274">
        <f t="shared" si="9"/>
        <v>23.906182251767703</v>
      </c>
      <c r="AR19" s="274">
        <f t="shared" si="4"/>
        <v>23.816559236179838</v>
      </c>
      <c r="AS19" s="274">
        <f t="shared" si="4"/>
        <v>23.652437243801121</v>
      </c>
      <c r="AT19" s="276">
        <f t="shared" si="4"/>
        <v>23.168291603758281</v>
      </c>
      <c r="AU19" s="272"/>
      <c r="AV19" s="272"/>
      <c r="AW19" s="272"/>
      <c r="AX19" s="272"/>
    </row>
    <row r="20" spans="2:50" x14ac:dyDescent="0.2">
      <c r="B20" s="190">
        <v>2</v>
      </c>
      <c r="C20" s="197" t="s">
        <v>12</v>
      </c>
      <c r="D20" s="191">
        <f>Baseline!AL45</f>
        <v>0.11157070141951282</v>
      </c>
      <c r="E20" s="191">
        <f>Baseline!AM45</f>
        <v>0.28080300842238665</v>
      </c>
      <c r="F20" s="191">
        <f>Baseline!AN45</f>
        <v>0.5321454443414837</v>
      </c>
      <c r="G20" s="191">
        <f>Baseline!AO45</f>
        <v>1.0084606127418505</v>
      </c>
      <c r="H20" s="196">
        <f>Baseline!AP45</f>
        <v>2.5381105463218789</v>
      </c>
      <c r="I20" s="191">
        <f>IF(D20+'Non-travel METs'!D20&gt;2.5, D20+'Non-travel METs'!D20, 0.1)</f>
        <v>0.1</v>
      </c>
      <c r="J20" s="191">
        <f>IF(E20+'Non-travel METs'!E20&gt;2.5, E20+'Non-travel METs'!E20, 0.1)</f>
        <v>0.1</v>
      </c>
      <c r="K20" s="191">
        <f>IF(F20+'Non-travel METs'!F20&gt;2.5, F20+'Non-travel METs'!F20, 0.1)</f>
        <v>0.1</v>
      </c>
      <c r="L20" s="191">
        <f>IF(G20+'Non-travel METs'!G20&gt;2.5, G20+'Non-travel METs'!G20, 0.1)</f>
        <v>0.1</v>
      </c>
      <c r="M20" s="196">
        <f>IF(H20+'Non-travel METs'!H20&gt;2.5, H20+'Non-travel METs'!H20, 0.1)</f>
        <v>3.0381105463218789</v>
      </c>
      <c r="N20" s="241">
        <f>'Phy activity RRs'!$F$9</f>
        <v>0.94314906211536642</v>
      </c>
      <c r="O20" s="235">
        <f t="shared" si="10"/>
        <v>0.98166113424264856</v>
      </c>
      <c r="P20" s="235">
        <f t="shared" si="0"/>
        <v>0.98166113424264856</v>
      </c>
      <c r="Q20" s="235">
        <f t="shared" si="0"/>
        <v>0.98166113424264856</v>
      </c>
      <c r="R20" s="235">
        <f t="shared" si="0"/>
        <v>0.98166113424264856</v>
      </c>
      <c r="S20" s="246">
        <f t="shared" si="0"/>
        <v>0.90301107959084981</v>
      </c>
      <c r="T20" s="248"/>
      <c r="U20" s="248"/>
      <c r="V20" s="248"/>
      <c r="W20" s="248"/>
      <c r="X20" s="249"/>
      <c r="Y20" s="235">
        <f t="shared" si="6"/>
        <v>1</v>
      </c>
      <c r="Z20" s="235">
        <f t="shared" si="1"/>
        <v>1</v>
      </c>
      <c r="AA20" s="235">
        <f t="shared" si="1"/>
        <v>1</v>
      </c>
      <c r="AB20" s="235">
        <f t="shared" si="1"/>
        <v>1</v>
      </c>
      <c r="AC20" s="246">
        <f t="shared" si="1"/>
        <v>0.9198806472943668</v>
      </c>
      <c r="AD20" s="263"/>
      <c r="AE20" s="263"/>
      <c r="AF20" s="187">
        <f>GBDUS!K72/(Y20+Z20+AA20+AB20+AC20)</f>
        <v>5.0814240816489056</v>
      </c>
      <c r="AG20" s="187">
        <f t="shared" si="7"/>
        <v>5.0814240816489056</v>
      </c>
      <c r="AH20" s="187">
        <f t="shared" si="2"/>
        <v>5.0814240816489056</v>
      </c>
      <c r="AI20" s="187">
        <f t="shared" si="2"/>
        <v>5.0814240816489056</v>
      </c>
      <c r="AJ20" s="265">
        <f t="shared" si="2"/>
        <v>4.6743036734043786</v>
      </c>
      <c r="AK20" s="274">
        <f>GBDUS!L72/(Y20+Z20+AA20+AB20+AC20)</f>
        <v>70.994625793250364</v>
      </c>
      <c r="AL20" s="274">
        <f t="shared" si="8"/>
        <v>70.994625793250364</v>
      </c>
      <c r="AM20" s="274">
        <f t="shared" si="3"/>
        <v>70.994625793250364</v>
      </c>
      <c r="AN20" s="274">
        <f t="shared" si="3"/>
        <v>70.994625793250364</v>
      </c>
      <c r="AO20" s="276">
        <f t="shared" si="3"/>
        <v>65.306582329116495</v>
      </c>
      <c r="AP20" s="274">
        <f>GBDUS!M72/(Y20+Z20+AA20+AB20+AC20)</f>
        <v>45.461016748880638</v>
      </c>
      <c r="AQ20" s="274">
        <f t="shared" si="9"/>
        <v>45.461016748880638</v>
      </c>
      <c r="AR20" s="274">
        <f t="shared" si="4"/>
        <v>45.461016748880638</v>
      </c>
      <c r="AS20" s="274">
        <f t="shared" si="4"/>
        <v>45.461016748880638</v>
      </c>
      <c r="AT20" s="276">
        <f t="shared" si="4"/>
        <v>41.818709513620369</v>
      </c>
      <c r="AU20" s="272"/>
      <c r="AV20" s="272"/>
      <c r="AW20" s="272"/>
      <c r="AX20" s="272"/>
    </row>
    <row r="21" spans="2:50" x14ac:dyDescent="0.2">
      <c r="B21" s="199">
        <v>2</v>
      </c>
      <c r="C21" s="200" t="s">
        <v>13</v>
      </c>
      <c r="D21" s="201">
        <f>Baseline!AL46</f>
        <v>0.1379075408816644</v>
      </c>
      <c r="E21" s="201">
        <f>Baseline!AM46</f>
        <v>0.3470880067168956</v>
      </c>
      <c r="F21" s="201">
        <f>Baseline!AN46</f>
        <v>0.65776112085712712</v>
      </c>
      <c r="G21" s="201">
        <f>Baseline!AO46</f>
        <v>1.2465129412095104</v>
      </c>
      <c r="H21" s="202">
        <f>Baseline!AP46</f>
        <v>3.1372446303170025</v>
      </c>
      <c r="I21" s="203">
        <f>IF(D21+'Non-travel METs'!D21&gt;2.5, D21+'Non-travel METs'!D21, 0.1)</f>
        <v>0.1</v>
      </c>
      <c r="J21" s="201">
        <f>IF(E21+'Non-travel METs'!E21&gt;2.5, E21+'Non-travel METs'!E21, 0.1)</f>
        <v>0.1</v>
      </c>
      <c r="K21" s="201">
        <f>IF(F21+'Non-travel METs'!F21&gt;2.5, F21+'Non-travel METs'!F21, 0.1)</f>
        <v>0.1</v>
      </c>
      <c r="L21" s="201">
        <f>IF(G21+'Non-travel METs'!G21&gt;2.5, G21+'Non-travel METs'!G21, 0.1)</f>
        <v>0.1</v>
      </c>
      <c r="M21" s="202">
        <f>IF(H21+'Non-travel METs'!H21&gt;2.5, H21+'Non-travel METs'!H21, 0.1)</f>
        <v>3.220577963650336</v>
      </c>
      <c r="N21" s="241">
        <f>'Phy activity RRs'!$F$9</f>
        <v>0.94314906211536642</v>
      </c>
      <c r="O21" s="237">
        <f t="shared" si="10"/>
        <v>0.98166113424264856</v>
      </c>
      <c r="P21" s="237">
        <f t="shared" si="0"/>
        <v>0.98166113424264856</v>
      </c>
      <c r="Q21" s="237">
        <f t="shared" si="0"/>
        <v>0.98166113424264856</v>
      </c>
      <c r="R21" s="237">
        <f t="shared" si="0"/>
        <v>0.98166113424264856</v>
      </c>
      <c r="S21" s="247">
        <f t="shared" si="0"/>
        <v>0.90028901786144055</v>
      </c>
      <c r="T21" s="250"/>
      <c r="U21" s="251"/>
      <c r="V21" s="251"/>
      <c r="W21" s="251"/>
      <c r="X21" s="252"/>
      <c r="Y21" s="260">
        <f t="shared" si="6"/>
        <v>1</v>
      </c>
      <c r="Z21" s="237">
        <f t="shared" si="1"/>
        <v>1</v>
      </c>
      <c r="AA21" s="237">
        <f t="shared" si="1"/>
        <v>1</v>
      </c>
      <c r="AB21" s="237">
        <f t="shared" si="1"/>
        <v>1</v>
      </c>
      <c r="AC21" s="247">
        <f t="shared" si="1"/>
        <v>0.91710773347058649</v>
      </c>
      <c r="AD21" s="263"/>
      <c r="AE21" s="264"/>
      <c r="AF21" s="299">
        <f>GBDUS!K73/(Y21+Z21+AA21+AB21+AC21)</f>
        <v>22.370874498281523</v>
      </c>
      <c r="AG21" s="293">
        <f t="shared" si="7"/>
        <v>22.370874498281523</v>
      </c>
      <c r="AH21" s="293">
        <f t="shared" si="2"/>
        <v>22.370874498281523</v>
      </c>
      <c r="AI21" s="293">
        <f t="shared" si="2"/>
        <v>22.370874498281523</v>
      </c>
      <c r="AJ21" s="295">
        <f t="shared" si="2"/>
        <v>20.51650200687391</v>
      </c>
      <c r="AK21" s="277">
        <f>GBDUS!L73/(Y21+Z21+AA21+AB21+AC21)</f>
        <v>122.49391462801603</v>
      </c>
      <c r="AL21" s="278">
        <f t="shared" si="8"/>
        <v>122.49391462801603</v>
      </c>
      <c r="AM21" s="278">
        <f t="shared" si="3"/>
        <v>122.49391462801603</v>
      </c>
      <c r="AN21" s="278">
        <f t="shared" si="3"/>
        <v>122.49391462801603</v>
      </c>
      <c r="AO21" s="279">
        <f t="shared" si="3"/>
        <v>112.3401164084393</v>
      </c>
      <c r="AP21" s="277">
        <f>GBDUS!M73/(Y21+Z21+AA21+AB21+AC21)</f>
        <v>81.387471398550673</v>
      </c>
      <c r="AQ21" s="278">
        <f t="shared" si="9"/>
        <v>81.387471398550673</v>
      </c>
      <c r="AR21" s="278">
        <f t="shared" si="4"/>
        <v>81.387471398550673</v>
      </c>
      <c r="AS21" s="278">
        <f t="shared" si="4"/>
        <v>81.387471398550673</v>
      </c>
      <c r="AT21" s="279">
        <f t="shared" si="4"/>
        <v>74.641079427226998</v>
      </c>
      <c r="AU21" s="273"/>
      <c r="AV21" s="273"/>
      <c r="AW21" s="273"/>
      <c r="AX21" s="273"/>
    </row>
    <row r="22" spans="2:50" x14ac:dyDescent="0.2">
      <c r="B22" s="185"/>
      <c r="C22" s="185"/>
      <c r="N22" s="261"/>
      <c r="AD22" s="261"/>
      <c r="AK22" s="188"/>
      <c r="AL22" s="188"/>
      <c r="AM22" s="188"/>
      <c r="AN22" s="188"/>
      <c r="AO22" s="188"/>
    </row>
    <row r="23" spans="2:50" x14ac:dyDescent="0.2">
      <c r="B23" s="310" t="s">
        <v>37</v>
      </c>
      <c r="C23" s="292"/>
      <c r="D23" s="253"/>
      <c r="E23" s="253"/>
      <c r="F23" s="253"/>
      <c r="G23" s="253"/>
      <c r="H23" s="253"/>
      <c r="I23" s="253"/>
      <c r="J23" s="253"/>
      <c r="K23" s="253"/>
      <c r="L23" s="253"/>
      <c r="M23" s="253"/>
      <c r="N23" s="253"/>
      <c r="O23" s="253"/>
      <c r="P23" s="253"/>
      <c r="Q23" s="253"/>
      <c r="R23" s="253"/>
      <c r="S23" s="253"/>
      <c r="T23" s="253"/>
      <c r="U23" s="253"/>
      <c r="V23" s="253"/>
      <c r="W23" s="253"/>
      <c r="X23" s="253"/>
      <c r="Y23" s="253"/>
      <c r="Z23" s="253"/>
      <c r="AA23" s="253"/>
      <c r="AB23" s="253"/>
      <c r="AC23" s="253"/>
      <c r="AD23" s="253"/>
      <c r="AE23" s="253"/>
      <c r="AF23" s="253"/>
      <c r="AG23" s="253"/>
      <c r="AH23" s="253"/>
      <c r="AI23" s="253"/>
      <c r="AJ23" s="253"/>
      <c r="AK23" s="293"/>
      <c r="AL23" s="293"/>
      <c r="AM23" s="293"/>
      <c r="AN23" s="293"/>
      <c r="AO23" s="293"/>
      <c r="AP23" s="253"/>
      <c r="AQ23" s="253"/>
      <c r="AR23" s="253"/>
      <c r="AS23" s="253"/>
      <c r="AT23" s="253"/>
      <c r="AU23" s="253"/>
      <c r="AV23" s="253"/>
      <c r="AW23" s="253"/>
      <c r="AX23" s="253"/>
    </row>
    <row r="24" spans="2:50" x14ac:dyDescent="0.2">
      <c r="B24" s="185">
        <v>1</v>
      </c>
      <c r="C24" s="297" t="s">
        <v>6</v>
      </c>
      <c r="D24" s="188">
        <f>Scenario!AL31</f>
        <v>0.35885603949224421</v>
      </c>
      <c r="E24" s="188">
        <f>Scenario!AM31</f>
        <v>0.9013033450837723</v>
      </c>
      <c r="F24" s="188">
        <f>Scenario!AN31</f>
        <v>1.7055939051037041</v>
      </c>
      <c r="G24" s="188">
        <f>Scenario!AO31</f>
        <v>3.2276043187840591</v>
      </c>
      <c r="H24" s="294">
        <f>Scenario!AP31</f>
        <v>8.1064556506921353</v>
      </c>
      <c r="I24" s="191">
        <f>IF(D24+'Non-travel METs'!D25&gt;2.5, D24+'Non-travel METs'!D25, 0.1)</f>
        <v>0.1</v>
      </c>
      <c r="J24" s="191">
        <f>IF(E24+'Non-travel METs'!E25&gt;2.5, E24+'Non-travel METs'!E25, 0.1)</f>
        <v>0.1</v>
      </c>
      <c r="K24" s="191">
        <f>IF(F24+'Non-travel METs'!F25&gt;2.5, F24+'Non-travel METs'!F25, 0.1)</f>
        <v>0.1</v>
      </c>
      <c r="L24" s="191">
        <f>IF(G24+'Non-travel METs'!G25&gt;2.5, G24+'Non-travel METs'!G25, 0.1)</f>
        <v>3.2276043187840591</v>
      </c>
      <c r="M24" s="196">
        <f>IF(H24+'Non-travel METs'!H25&gt;2.5, H24+'Non-travel METs'!H25, 0.1)</f>
        <v>8.1064556506921353</v>
      </c>
      <c r="N24" s="241">
        <f>'Phy activity RRs'!$F$9</f>
        <v>0.94314906211536642</v>
      </c>
      <c r="O24" s="188">
        <f>$N24^(I24^0.5)</f>
        <v>0.98166113424264856</v>
      </c>
      <c r="P24" s="188">
        <f t="shared" ref="P24:S39" si="11">$N24^(J24^0.5)</f>
        <v>0.98166113424264856</v>
      </c>
      <c r="Q24" s="188">
        <f t="shared" si="11"/>
        <v>0.98166113424264856</v>
      </c>
      <c r="R24" s="188">
        <f t="shared" si="11"/>
        <v>0.90018592251344476</v>
      </c>
      <c r="S24" s="294">
        <f t="shared" si="11"/>
        <v>0.84649724234929291</v>
      </c>
      <c r="T24" s="269">
        <f>O24/O6</f>
        <v>1</v>
      </c>
      <c r="U24" s="269">
        <f t="shared" ref="U24:X39" si="12">P24/P6</f>
        <v>1</v>
      </c>
      <c r="V24" s="269">
        <f t="shared" si="12"/>
        <v>1</v>
      </c>
      <c r="W24" s="269">
        <f t="shared" si="12"/>
        <v>0.99530567099934775</v>
      </c>
      <c r="X24" s="300">
        <f t="shared" si="12"/>
        <v>0.99273460987810536</v>
      </c>
      <c r="Y24" s="269">
        <f>O24/$O24</f>
        <v>1</v>
      </c>
      <c r="Z24" s="269">
        <f t="shared" ref="Z24:AC39" si="13">P24/$O24</f>
        <v>1</v>
      </c>
      <c r="AA24" s="269">
        <f t="shared" si="13"/>
        <v>1</v>
      </c>
      <c r="AB24" s="269">
        <f t="shared" si="13"/>
        <v>0.91700271215070372</v>
      </c>
      <c r="AC24" s="300">
        <f t="shared" si="13"/>
        <v>0.8623110489164526</v>
      </c>
      <c r="AD24" s="305">
        <f>(5-SUM(T24:X24))/5</f>
        <v>2.3919438245094682E-3</v>
      </c>
      <c r="AE24" s="306">
        <f>1-AD24</f>
        <v>0.99760805617549053</v>
      </c>
      <c r="AF24" s="187">
        <f>AE24*GBDUS!K58/(Y24+Z24+AA24+AB24+AC24)</f>
        <v>0</v>
      </c>
      <c r="AG24" s="187">
        <f>$AF24*Z24</f>
        <v>0</v>
      </c>
      <c r="AH24" s="187">
        <f t="shared" ref="AH24:AJ39" si="14">$AF24*AA24</f>
        <v>0</v>
      </c>
      <c r="AI24" s="187">
        <f t="shared" si="14"/>
        <v>0</v>
      </c>
      <c r="AJ24" s="265">
        <f t="shared" si="14"/>
        <v>0</v>
      </c>
      <c r="AK24" s="274">
        <f>AE24*GBDUS!L58/(Y24+Z24+AA24+AB24+AC24)</f>
        <v>0</v>
      </c>
      <c r="AL24" s="274">
        <f>$AK24*Z24</f>
        <v>0</v>
      </c>
      <c r="AM24" s="274">
        <f t="shared" ref="AM24:AO39" si="15">$AK24*AA24</f>
        <v>0</v>
      </c>
      <c r="AN24" s="274">
        <f t="shared" si="15"/>
        <v>0</v>
      </c>
      <c r="AO24" s="276">
        <f t="shared" si="15"/>
        <v>0</v>
      </c>
      <c r="AP24" s="274">
        <f>AE24*GBDUS!M58/(Y24+Z24+AA24+AB24+AC24)</f>
        <v>0</v>
      </c>
      <c r="AQ24" s="274">
        <f>$AP24*Z24</f>
        <v>0</v>
      </c>
      <c r="AR24" s="274">
        <f t="shared" ref="AR24:AT39" si="16">$AP24*AA24</f>
        <v>0</v>
      </c>
      <c r="AS24" s="274">
        <f t="shared" si="16"/>
        <v>0</v>
      </c>
      <c r="AT24" s="276">
        <f t="shared" si="16"/>
        <v>0</v>
      </c>
      <c r="AU24" s="235">
        <f>SUM(AF24:AJ24)-SUM(AF6:AJ6)</f>
        <v>0</v>
      </c>
      <c r="AV24" s="234">
        <f>SUM(AK24:AO24)-SUM(AK6:AO6)</f>
        <v>0</v>
      </c>
      <c r="AW24" s="235">
        <f>SUM(AP24:AT24)-SUM(AP6:AT6)</f>
        <v>0</v>
      </c>
      <c r="AX24" s="235">
        <f>AV24+AW24</f>
        <v>0</v>
      </c>
    </row>
    <row r="25" spans="2:50" x14ac:dyDescent="0.2">
      <c r="B25" s="185">
        <v>1</v>
      </c>
      <c r="C25" s="297" t="s">
        <v>7</v>
      </c>
      <c r="D25" s="188">
        <f>Scenario!AL32</f>
        <v>0.72455011766948996</v>
      </c>
      <c r="E25" s="188">
        <f>Scenario!AM32</f>
        <v>1.8197811179668499</v>
      </c>
      <c r="F25" s="188">
        <f>Scenario!AN32</f>
        <v>3.4436880772239649</v>
      </c>
      <c r="G25" s="331">
        <f>Scenario!AO32</f>
        <v>6.5167109693191785</v>
      </c>
      <c r="H25" s="294">
        <f>Scenario!AP32</f>
        <v>16.36738064629516</v>
      </c>
      <c r="I25" s="191">
        <f>IF(D25+'Non-travel METs'!D26&gt;2.5, D25+'Non-travel METs'!D26, 0.1)</f>
        <v>0.1</v>
      </c>
      <c r="J25" s="191">
        <f>IF(E25+'Non-travel METs'!E26&gt;2.5, E25+'Non-travel METs'!E26, 0.1)</f>
        <v>0.1</v>
      </c>
      <c r="K25" s="191">
        <f>IF(F25+'Non-travel METs'!F26&gt;2.5, F25+'Non-travel METs'!F26, 0.1)</f>
        <v>3.4436880772239649</v>
      </c>
      <c r="L25" s="191">
        <f>IF(G25+'Non-travel METs'!G26&gt;2.5, G25+'Non-travel METs'!G26, 0.1)</f>
        <v>6.5167109693191785</v>
      </c>
      <c r="M25" s="196">
        <f>IF(H25+'Non-travel METs'!H26&gt;2.5, H25+'Non-travel METs'!H26, 0.1)</f>
        <v>16.36738064629516</v>
      </c>
      <c r="N25" s="241">
        <f>'Phy activity RRs'!$F$9</f>
        <v>0.94314906211536642</v>
      </c>
      <c r="O25" s="188">
        <f t="shared" ref="O25:O39" si="17">$N25^(I25^0.5)</f>
        <v>0.98166113424264856</v>
      </c>
      <c r="P25" s="188">
        <f t="shared" si="11"/>
        <v>0.98166113424264856</v>
      </c>
      <c r="Q25" s="188">
        <f t="shared" si="11"/>
        <v>0.89707402664814428</v>
      </c>
      <c r="R25" s="188">
        <f t="shared" si="11"/>
        <v>0.86121000700562522</v>
      </c>
      <c r="S25" s="294">
        <f t="shared" si="11"/>
        <v>0.78915195612203359</v>
      </c>
      <c r="T25" s="269">
        <f t="shared" ref="T25:T39" si="18">O25/O7</f>
        <v>1</v>
      </c>
      <c r="U25" s="269">
        <f t="shared" si="12"/>
        <v>1</v>
      </c>
      <c r="V25" s="269">
        <f t="shared" si="12"/>
        <v>0.99643949154518341</v>
      </c>
      <c r="W25" s="269">
        <f t="shared" si="12"/>
        <v>0.99520866920368312</v>
      </c>
      <c r="X25" s="300">
        <f t="shared" si="12"/>
        <v>0.99265337890758965</v>
      </c>
      <c r="Y25" s="269">
        <f t="shared" ref="Y25:Y39" si="19">O25/$O25</f>
        <v>1</v>
      </c>
      <c r="Z25" s="269">
        <f t="shared" si="13"/>
        <v>1</v>
      </c>
      <c r="AA25" s="269">
        <f t="shared" si="13"/>
        <v>0.91383268151920549</v>
      </c>
      <c r="AB25" s="269">
        <f t="shared" si="13"/>
        <v>0.87729866953533675</v>
      </c>
      <c r="AC25" s="300">
        <f t="shared" si="13"/>
        <v>0.80389446886971261</v>
      </c>
      <c r="AD25" s="305">
        <f t="shared" ref="AD25:AD39" si="20">(5-SUM(T25:X25))/5</f>
        <v>3.1396920687088324E-3</v>
      </c>
      <c r="AE25" s="306">
        <f t="shared" ref="AE25:AE39" si="21">1-AD25</f>
        <v>0.99686030793129121</v>
      </c>
      <c r="AF25" s="187">
        <f>AE25*GBDUS!K59/(Y25+Z25+AA25+AB25+AC25)</f>
        <v>0</v>
      </c>
      <c r="AG25" s="187">
        <f t="shared" ref="AG25:AG39" si="22">$AF25*Z25</f>
        <v>0</v>
      </c>
      <c r="AH25" s="187">
        <f t="shared" si="14"/>
        <v>0</v>
      </c>
      <c r="AI25" s="187">
        <f t="shared" si="14"/>
        <v>0</v>
      </c>
      <c r="AJ25" s="265">
        <f t="shared" si="14"/>
        <v>0</v>
      </c>
      <c r="AK25" s="274">
        <f>AE25*GBDUS!L59/(Y25+Z25+AA25+AB25+AC25)</f>
        <v>1.1832404787711264</v>
      </c>
      <c r="AL25" s="274">
        <f t="shared" ref="AL25:AL39" si="23">$AK25*Z25</f>
        <v>1.1832404787711264</v>
      </c>
      <c r="AM25" s="274">
        <f t="shared" si="15"/>
        <v>1.081283819597487</v>
      </c>
      <c r="AN25" s="274">
        <f t="shared" si="15"/>
        <v>1.038055297766264</v>
      </c>
      <c r="AO25" s="276">
        <f t="shared" si="15"/>
        <v>0.9512004762268591</v>
      </c>
      <c r="AP25" s="274">
        <f>AE25*GBDUS!M59/(Y25+Z25+AA25+AB25+AC25)</f>
        <v>0</v>
      </c>
      <c r="AQ25" s="274">
        <f t="shared" ref="AQ25:AQ39" si="24">$AP25*Z25</f>
        <v>0</v>
      </c>
      <c r="AR25" s="274">
        <f t="shared" si="16"/>
        <v>0</v>
      </c>
      <c r="AS25" s="274">
        <f t="shared" si="16"/>
        <v>0</v>
      </c>
      <c r="AT25" s="276">
        <f t="shared" si="16"/>
        <v>0</v>
      </c>
      <c r="AU25" s="235">
        <f t="shared" ref="AU25:AU39" si="25">SUM(AF25:AJ25)-SUM(AF7:AJ7)</f>
        <v>0</v>
      </c>
      <c r="AV25" s="234">
        <f t="shared" ref="AV25:AV39" si="26">SUM(AK25:AO25)-SUM(AK7:AO7)</f>
        <v>-1.7124335441968341E-2</v>
      </c>
      <c r="AW25" s="235">
        <f t="shared" ref="AW25:AW39" si="27">SUM(AP25:AT25)-SUM(AP7:AT7)</f>
        <v>0</v>
      </c>
      <c r="AX25" s="235">
        <f t="shared" ref="AX25:AX39" si="28">AV25+AW25</f>
        <v>-1.7124335441968341E-2</v>
      </c>
    </row>
    <row r="26" spans="2:50" x14ac:dyDescent="0.2">
      <c r="B26" s="185">
        <v>1</v>
      </c>
      <c r="C26" s="297" t="s">
        <v>8</v>
      </c>
      <c r="D26" s="188">
        <f>Scenario!AL33</f>
        <v>0.55835336477175823</v>
      </c>
      <c r="E26" s="188">
        <f>Scenario!AM33</f>
        <v>1.4023611142775319</v>
      </c>
      <c r="F26" s="188">
        <f>Scenario!AN33</f>
        <v>2.6537775348474759</v>
      </c>
      <c r="G26" s="188">
        <f>Scenario!AO33</f>
        <v>5.0219127817796902</v>
      </c>
      <c r="H26" s="294">
        <f>Scenario!AP33</f>
        <v>12.613043367867888</v>
      </c>
      <c r="I26" s="191">
        <f>IF(D26+'Non-travel METs'!D27&gt;2.5, D26+'Non-travel METs'!D27, 0.1)</f>
        <v>65.435853364771759</v>
      </c>
      <c r="J26" s="191">
        <f>IF(E26+'Non-travel METs'!E27&gt;2.5, E26+'Non-travel METs'!E27, 0.1)</f>
        <v>66.279861114277523</v>
      </c>
      <c r="K26" s="191">
        <f>IF(F26+'Non-travel METs'!F27&gt;2.5, F26+'Non-travel METs'!F27, 0.1)</f>
        <v>67.531277534847476</v>
      </c>
      <c r="L26" s="191">
        <f>IF(G26+'Non-travel METs'!G27&gt;2.5, G26+'Non-travel METs'!G27, 0.1)</f>
        <v>69.899412781779688</v>
      </c>
      <c r="M26" s="196">
        <f>IF(H26+'Non-travel METs'!H27&gt;2.5, H26+'Non-travel METs'!H27, 0.1)</f>
        <v>77.490543367867886</v>
      </c>
      <c r="N26" s="241">
        <f>'Phy activity RRs'!$F$9</f>
        <v>0.94314906211536642</v>
      </c>
      <c r="O26" s="188">
        <f t="shared" si="17"/>
        <v>0.62283666280918992</v>
      </c>
      <c r="P26" s="188">
        <f t="shared" si="11"/>
        <v>0.62094382347994659</v>
      </c>
      <c r="Q26" s="188">
        <f t="shared" si="11"/>
        <v>0.61816979223629553</v>
      </c>
      <c r="R26" s="188">
        <f t="shared" si="11"/>
        <v>0.61302290397914982</v>
      </c>
      <c r="S26" s="294">
        <f t="shared" si="11"/>
        <v>0.59735703077880031</v>
      </c>
      <c r="T26" s="269">
        <f t="shared" si="18"/>
        <v>0.99987339166358036</v>
      </c>
      <c r="U26" s="269">
        <f t="shared" si="12"/>
        <v>0.999693823881182</v>
      </c>
      <c r="V26" s="269">
        <f t="shared" si="12"/>
        <v>0.99943868564320448</v>
      </c>
      <c r="W26" s="269">
        <f t="shared" si="12"/>
        <v>0.99897948221571042</v>
      </c>
      <c r="X26" s="300">
        <f t="shared" si="12"/>
        <v>0.99764634971562471</v>
      </c>
      <c r="Y26" s="269">
        <f t="shared" si="19"/>
        <v>1</v>
      </c>
      <c r="Z26" s="269">
        <f t="shared" si="13"/>
        <v>0.99696093784732254</v>
      </c>
      <c r="AA26" s="269">
        <f t="shared" si="13"/>
        <v>0.99250707151398998</v>
      </c>
      <c r="AB26" s="269">
        <f t="shared" si="13"/>
        <v>0.98424344709289113</v>
      </c>
      <c r="AC26" s="300">
        <f t="shared" si="13"/>
        <v>0.95909098877469989</v>
      </c>
      <c r="AD26" s="305">
        <f t="shared" si="20"/>
        <v>8.7365337613967144E-4</v>
      </c>
      <c r="AE26" s="306">
        <f t="shared" si="21"/>
        <v>0.99912634662386035</v>
      </c>
      <c r="AF26" s="187">
        <f>AE26*GBDUS!K60/(Y26+Z26+AA26+AB26+AC26)</f>
        <v>0</v>
      </c>
      <c r="AG26" s="187">
        <f t="shared" si="22"/>
        <v>0</v>
      </c>
      <c r="AH26" s="187">
        <f t="shared" si="14"/>
        <v>0</v>
      </c>
      <c r="AI26" s="187">
        <f t="shared" si="14"/>
        <v>0</v>
      </c>
      <c r="AJ26" s="265">
        <f t="shared" si="14"/>
        <v>0</v>
      </c>
      <c r="AK26" s="274">
        <f>AE26*GBDUS!L60/(Y26+Z26+AA26+AB26+AC26)</f>
        <v>0.85971855294706834</v>
      </c>
      <c r="AL26" s="274">
        <f t="shared" si="23"/>
        <v>0.85710581483085224</v>
      </c>
      <c r="AM26" s="274">
        <f t="shared" si="15"/>
        <v>0.85327674331173997</v>
      </c>
      <c r="AN26" s="274">
        <f t="shared" si="15"/>
        <v>0.84617235208233477</v>
      </c>
      <c r="AO26" s="276">
        <f t="shared" si="15"/>
        <v>0.82454831701395792</v>
      </c>
      <c r="AP26" s="274">
        <f>AE26*GBDUS!M60/(Y26+Z26+AA26+AB26+AC26)</f>
        <v>0</v>
      </c>
      <c r="AQ26" s="274">
        <f t="shared" si="24"/>
        <v>0</v>
      </c>
      <c r="AR26" s="274">
        <f t="shared" si="16"/>
        <v>0</v>
      </c>
      <c r="AS26" s="274">
        <f t="shared" si="16"/>
        <v>0</v>
      </c>
      <c r="AT26" s="276">
        <f t="shared" si="16"/>
        <v>0</v>
      </c>
      <c r="AU26" s="235">
        <f t="shared" si="25"/>
        <v>0</v>
      </c>
      <c r="AV26" s="234">
        <f t="shared" si="26"/>
        <v>-3.7082479892411868E-3</v>
      </c>
      <c r="AW26" s="235">
        <f t="shared" si="27"/>
        <v>0</v>
      </c>
      <c r="AX26" s="235">
        <f t="shared" si="28"/>
        <v>-3.7082479892411868E-3</v>
      </c>
    </row>
    <row r="27" spans="2:50" x14ac:dyDescent="0.2">
      <c r="B27" s="185">
        <v>1</v>
      </c>
      <c r="C27" s="297" t="s">
        <v>9</v>
      </c>
      <c r="D27" s="188">
        <f>Scenario!AL34</f>
        <v>0.48139446095649707</v>
      </c>
      <c r="E27" s="188">
        <f>Scenario!AM34</f>
        <v>1.2090710207324453</v>
      </c>
      <c r="F27" s="188">
        <f>Scenario!AN34</f>
        <v>2.2880023413283812</v>
      </c>
      <c r="G27" s="188">
        <f>Scenario!AO34</f>
        <v>4.3297330133285801</v>
      </c>
      <c r="H27" s="294">
        <f>Scenario!AP34</f>
        <v>10.874563665569944</v>
      </c>
      <c r="I27" s="191">
        <f>IF(D27+'Non-travel METs'!D28&gt;2.5, D27+'Non-travel METs'!D28, 0.1)</f>
        <v>68.175144460956489</v>
      </c>
      <c r="J27" s="191">
        <f>IF(E27+'Non-travel METs'!E28&gt;2.5, E27+'Non-travel METs'!E28, 0.1)</f>
        <v>68.902821020732446</v>
      </c>
      <c r="K27" s="191">
        <f>IF(F27+'Non-travel METs'!F28&gt;2.5, F27+'Non-travel METs'!F28, 0.1)</f>
        <v>69.981752341328374</v>
      </c>
      <c r="L27" s="191">
        <f>IF(G27+'Non-travel METs'!G28&gt;2.5, G27+'Non-travel METs'!G28, 0.1)</f>
        <v>72.023483013328573</v>
      </c>
      <c r="M27" s="196">
        <f>IF(H27+'Non-travel METs'!H28&gt;2.5, H27+'Non-travel METs'!H28, 0.1)</f>
        <v>78.568313665569946</v>
      </c>
      <c r="N27" s="241">
        <f>'Phy activity RRs'!$F$9</f>
        <v>0.94314906211536642</v>
      </c>
      <c r="O27" s="188">
        <f t="shared" si="17"/>
        <v>0.61675732378381554</v>
      </c>
      <c r="P27" s="188">
        <f t="shared" si="11"/>
        <v>0.61517285959846679</v>
      </c>
      <c r="Q27" s="188">
        <f t="shared" si="11"/>
        <v>0.61284629468773022</v>
      </c>
      <c r="R27" s="188">
        <f t="shared" si="11"/>
        <v>0.60851576933939489</v>
      </c>
      <c r="S27" s="294">
        <f t="shared" si="11"/>
        <v>0.59522784329485934</v>
      </c>
      <c r="T27" s="269">
        <f t="shared" si="18"/>
        <v>0.99989229424036574</v>
      </c>
      <c r="U27" s="269">
        <f t="shared" si="12"/>
        <v>0.99973919057088856</v>
      </c>
      <c r="V27" s="269">
        <f t="shared" si="12"/>
        <v>0.99952102472941751</v>
      </c>
      <c r="W27" s="269">
        <f t="shared" si="12"/>
        <v>0.99912656214443119</v>
      </c>
      <c r="X27" s="300">
        <f t="shared" si="12"/>
        <v>0.99796883528512281</v>
      </c>
      <c r="Y27" s="269">
        <f t="shared" si="19"/>
        <v>1</v>
      </c>
      <c r="Z27" s="269">
        <f t="shared" si="13"/>
        <v>0.99743097629448807</v>
      </c>
      <c r="AA27" s="269">
        <f t="shared" si="13"/>
        <v>0.99365872289591783</v>
      </c>
      <c r="AB27" s="269">
        <f t="shared" si="13"/>
        <v>0.98663728159098529</v>
      </c>
      <c r="AC27" s="300">
        <f t="shared" si="13"/>
        <v>0.96509246074797705</v>
      </c>
      <c r="AD27" s="305">
        <f t="shared" si="20"/>
        <v>7.5041860595490559E-4</v>
      </c>
      <c r="AE27" s="306">
        <f t="shared" si="21"/>
        <v>0.99924958139404507</v>
      </c>
      <c r="AF27" s="187">
        <f>AE27*GBDUS!K61/(Y27+Z27+AA27+AB27+AC27)</f>
        <v>0</v>
      </c>
      <c r="AG27" s="187">
        <f t="shared" si="22"/>
        <v>0</v>
      </c>
      <c r="AH27" s="187">
        <f t="shared" si="14"/>
        <v>0</v>
      </c>
      <c r="AI27" s="187">
        <f t="shared" si="14"/>
        <v>0</v>
      </c>
      <c r="AJ27" s="265">
        <f t="shared" si="14"/>
        <v>0</v>
      </c>
      <c r="AK27" s="274">
        <f>AE27*GBDUS!L61/(Y27+Z27+AA27+AB27+AC27)</f>
        <v>1.0998483195419451</v>
      </c>
      <c r="AL27" s="274">
        <f t="shared" si="23"/>
        <v>1.0970227831365744</v>
      </c>
      <c r="AM27" s="274">
        <f t="shared" si="15"/>
        <v>1.0928738765752706</v>
      </c>
      <c r="AN27" s="274">
        <f t="shared" si="15"/>
        <v>1.0851513561552781</v>
      </c>
      <c r="AO27" s="276">
        <f t="shared" si="15"/>
        <v>1.0614553211562632</v>
      </c>
      <c r="AP27" s="274">
        <f>AE27*GBDUS!M61/(Y27+Z27+AA27+AB27+AC27)</f>
        <v>0.16974317578071257</v>
      </c>
      <c r="AQ27" s="274">
        <f t="shared" si="24"/>
        <v>0.16930710153828304</v>
      </c>
      <c r="AR27" s="274">
        <f t="shared" si="16"/>
        <v>0.16866678726656015</v>
      </c>
      <c r="AS27" s="274">
        <f t="shared" si="16"/>
        <v>0.16747494552090303</v>
      </c>
      <c r="AT27" s="276">
        <f t="shared" si="16"/>
        <v>0.16381785920938433</v>
      </c>
      <c r="AU27" s="235">
        <f t="shared" si="25"/>
        <v>0</v>
      </c>
      <c r="AV27" s="234">
        <f t="shared" si="26"/>
        <v>-4.0826030929208557E-3</v>
      </c>
      <c r="AW27" s="235">
        <f t="shared" si="27"/>
        <v>-6.3008144135123789E-4</v>
      </c>
      <c r="AX27" s="235">
        <f t="shared" si="28"/>
        <v>-4.7126845342720936E-3</v>
      </c>
    </row>
    <row r="28" spans="2:50" x14ac:dyDescent="0.2">
      <c r="B28" s="185">
        <v>1</v>
      </c>
      <c r="C28" s="297" t="s">
        <v>10</v>
      </c>
      <c r="D28" s="188">
        <f>Scenario!AL35</f>
        <v>0.40591226731191066</v>
      </c>
      <c r="E28" s="188">
        <f>Scenario!AM35</f>
        <v>1.0194898345766048</v>
      </c>
      <c r="F28" s="188">
        <f>Scenario!AN35</f>
        <v>1.9292457502278801</v>
      </c>
      <c r="G28" s="188">
        <f>Scenario!AO35</f>
        <v>3.6508349946599323</v>
      </c>
      <c r="H28" s="294">
        <f>Scenario!AP35</f>
        <v>9.1694424251344167</v>
      </c>
      <c r="I28" s="191">
        <f>IF(D28+'Non-travel METs'!D29&gt;2.5, D28+'Non-travel METs'!D29, 0.1)</f>
        <v>58.180912267311911</v>
      </c>
      <c r="J28" s="191">
        <f>IF(E28+'Non-travel METs'!E29&gt;2.5, E28+'Non-travel METs'!E29, 0.1)</f>
        <v>58.794489834576602</v>
      </c>
      <c r="K28" s="191">
        <f>IF(F28+'Non-travel METs'!F29&gt;2.5, F28+'Non-travel METs'!F29, 0.1)</f>
        <v>59.704245750227876</v>
      </c>
      <c r="L28" s="191">
        <f>IF(G28+'Non-travel METs'!G29&gt;2.5, G28+'Non-travel METs'!G29, 0.1)</f>
        <v>61.42583499465993</v>
      </c>
      <c r="M28" s="196">
        <f>IF(H28+'Non-travel METs'!H29&gt;2.5, H28+'Non-travel METs'!H29, 0.1)</f>
        <v>66.944442425134412</v>
      </c>
      <c r="N28" s="241">
        <f>'Phy activity RRs'!$F$9</f>
        <v>0.94314906211536642</v>
      </c>
      <c r="O28" s="188">
        <f t="shared" si="17"/>
        <v>0.63989384012787076</v>
      </c>
      <c r="P28" s="188">
        <f t="shared" si="11"/>
        <v>0.63839314545293391</v>
      </c>
      <c r="Q28" s="188">
        <f t="shared" si="11"/>
        <v>0.63618880312249282</v>
      </c>
      <c r="R28" s="188">
        <f t="shared" si="11"/>
        <v>0.63208330451744077</v>
      </c>
      <c r="S28" s="294">
        <f t="shared" si="11"/>
        <v>0.61946586181699825</v>
      </c>
      <c r="T28" s="269">
        <f t="shared" si="18"/>
        <v>0.99991757778141632</v>
      </c>
      <c r="U28" s="269">
        <f t="shared" si="12"/>
        <v>0.99980170979818261</v>
      </c>
      <c r="V28" s="269">
        <f t="shared" si="12"/>
        <v>0.99963756847135887</v>
      </c>
      <c r="W28" s="269">
        <f t="shared" si="12"/>
        <v>0.99934234775549124</v>
      </c>
      <c r="X28" s="300">
        <f t="shared" si="12"/>
        <v>0.99848196318959748</v>
      </c>
      <c r="Y28" s="269">
        <f t="shared" si="19"/>
        <v>1</v>
      </c>
      <c r="Z28" s="269">
        <f t="shared" si="13"/>
        <v>0.99765477555677518</v>
      </c>
      <c r="AA28" s="269">
        <f t="shared" si="13"/>
        <v>0.99420991925060953</v>
      </c>
      <c r="AB28" s="269">
        <f t="shared" si="13"/>
        <v>0.98779401344312179</v>
      </c>
      <c r="AC28" s="300">
        <f t="shared" si="13"/>
        <v>0.96807598850023258</v>
      </c>
      <c r="AD28" s="305">
        <f t="shared" si="20"/>
        <v>5.637666007906716E-4</v>
      </c>
      <c r="AE28" s="306">
        <f t="shared" si="21"/>
        <v>0.99943623339920928</v>
      </c>
      <c r="AF28" s="187">
        <f>AE28*GBDUS!K62/(Y28+Z28+AA28+AB28+AC28)</f>
        <v>0</v>
      </c>
      <c r="AG28" s="187">
        <f t="shared" si="22"/>
        <v>0</v>
      </c>
      <c r="AH28" s="187">
        <f t="shared" si="14"/>
        <v>0</v>
      </c>
      <c r="AI28" s="187">
        <f t="shared" si="14"/>
        <v>0</v>
      </c>
      <c r="AJ28" s="265">
        <f t="shared" si="14"/>
        <v>0</v>
      </c>
      <c r="AK28" s="274">
        <f>AE28*GBDUS!L62/(Y28+Z28+AA28+AB28+AC28)</f>
        <v>8.4843788941449905</v>
      </c>
      <c r="AL28" s="274">
        <f t="shared" si="23"/>
        <v>8.4644811213768616</v>
      </c>
      <c r="AM28" s="274">
        <f t="shared" si="15"/>
        <v>8.4352536552394675</v>
      </c>
      <c r="AN28" s="274">
        <f t="shared" si="15"/>
        <v>8.3808186794195958</v>
      </c>
      <c r="AO28" s="276">
        <f t="shared" si="15"/>
        <v>8.2135234847599214</v>
      </c>
      <c r="AP28" s="274">
        <f>AE28*GBDUS!M62/(Y28+Z28+AA28+AB28+AC28)</f>
        <v>12.08493498581354</v>
      </c>
      <c r="AQ28" s="274">
        <f t="shared" si="24"/>
        <v>12.056593100890026</v>
      </c>
      <c r="AR28" s="274">
        <f t="shared" si="16"/>
        <v>12.014962236394545</v>
      </c>
      <c r="AS28" s="274">
        <f t="shared" si="16"/>
        <v>11.937426431835952</v>
      </c>
      <c r="AT28" s="276">
        <f t="shared" si="16"/>
        <v>11.699135382352488</v>
      </c>
      <c r="AU28" s="235">
        <f t="shared" si="25"/>
        <v>0</v>
      </c>
      <c r="AV28" s="234">
        <f t="shared" si="26"/>
        <v>-2.3679401007932199E-2</v>
      </c>
      <c r="AW28" s="235">
        <f t="shared" si="27"/>
        <v>-3.3728340666314693E-2</v>
      </c>
      <c r="AX28" s="235">
        <f t="shared" si="28"/>
        <v>-5.7407741674246893E-2</v>
      </c>
    </row>
    <row r="29" spans="2:50" x14ac:dyDescent="0.2">
      <c r="B29" s="185">
        <v>1</v>
      </c>
      <c r="C29" s="297" t="s">
        <v>11</v>
      </c>
      <c r="D29" s="188">
        <f>Scenario!AL36</f>
        <v>0.33207313165469332</v>
      </c>
      <c r="E29" s="188">
        <f>Scenario!AM36</f>
        <v>0.83403535522574834</v>
      </c>
      <c r="F29" s="188">
        <f>Scenario!AN36</f>
        <v>1.5782983900740115</v>
      </c>
      <c r="G29" s="188">
        <f>Scenario!AO36</f>
        <v>2.9867148826514303</v>
      </c>
      <c r="H29" s="294">
        <f>Scenario!AP36</f>
        <v>7.5014373963278462</v>
      </c>
      <c r="I29" s="191">
        <f>IF(D29+'Non-travel METs'!D30&gt;2.5, D29+'Non-travel METs'!D30, 0.1)</f>
        <v>23.415406464987992</v>
      </c>
      <c r="J29" s="191">
        <f>IF(E29+'Non-travel METs'!E30&gt;2.5, E29+'Non-travel METs'!E30, 0.1)</f>
        <v>23.917368688559048</v>
      </c>
      <c r="K29" s="191">
        <f>IF(F29+'Non-travel METs'!F30&gt;2.5, F29+'Non-travel METs'!F30, 0.1)</f>
        <v>24.661631723407311</v>
      </c>
      <c r="L29" s="191">
        <f>IF(G29+'Non-travel METs'!G30&gt;2.5, G29+'Non-travel METs'!G30, 0.1)</f>
        <v>26.07004821598473</v>
      </c>
      <c r="M29" s="196">
        <f>IF(H29+'Non-travel METs'!H30&gt;2.5, H29+'Non-travel METs'!H30, 0.1)</f>
        <v>30.584770729661145</v>
      </c>
      <c r="N29" s="241">
        <f>'Phy activity RRs'!$F$9</f>
        <v>0.94314906211536642</v>
      </c>
      <c r="O29" s="188">
        <f t="shared" si="17"/>
        <v>0.75334793682380685</v>
      </c>
      <c r="P29" s="188">
        <f t="shared" si="11"/>
        <v>0.75107646854471866</v>
      </c>
      <c r="Q29" s="188">
        <f t="shared" si="11"/>
        <v>0.74776431713577807</v>
      </c>
      <c r="R29" s="188">
        <f t="shared" si="11"/>
        <v>0.74166905386571991</v>
      </c>
      <c r="S29" s="294">
        <f t="shared" si="11"/>
        <v>0.72346973642432411</v>
      </c>
      <c r="T29" s="269">
        <f t="shared" si="18"/>
        <v>0.99987840956742202</v>
      </c>
      <c r="U29" s="269">
        <f t="shared" si="12"/>
        <v>0.99970751099509458</v>
      </c>
      <c r="V29" s="269">
        <f t="shared" si="12"/>
        <v>0.99946736162969596</v>
      </c>
      <c r="W29" s="269">
        <f t="shared" si="12"/>
        <v>0.99904242344475869</v>
      </c>
      <c r="X29" s="300">
        <f t="shared" si="12"/>
        <v>0.9978550434673259</v>
      </c>
      <c r="Y29" s="269">
        <f t="shared" si="19"/>
        <v>1</v>
      </c>
      <c r="Z29" s="269">
        <f t="shared" si="13"/>
        <v>0.99698483507014712</v>
      </c>
      <c r="AA29" s="269">
        <f t="shared" si="13"/>
        <v>0.99258825913618365</v>
      </c>
      <c r="AB29" s="269">
        <f t="shared" si="13"/>
        <v>0.98449735854149101</v>
      </c>
      <c r="AC29" s="300">
        <f t="shared" si="13"/>
        <v>0.96033944086254175</v>
      </c>
      <c r="AD29" s="305">
        <f t="shared" si="20"/>
        <v>8.0985017914052553E-4</v>
      </c>
      <c r="AE29" s="306">
        <f t="shared" si="21"/>
        <v>0.99919014982085952</v>
      </c>
      <c r="AF29" s="187">
        <f>AE29*GBDUS!K63/(Y29+Z29+AA29+AB29+AC29)</f>
        <v>0.80997742089867719</v>
      </c>
      <c r="AG29" s="187">
        <f t="shared" si="22"/>
        <v>0.80753520538521084</v>
      </c>
      <c r="AH29" s="187">
        <f t="shared" si="14"/>
        <v>0.80397407814943389</v>
      </c>
      <c r="AI29" s="187">
        <f t="shared" si="14"/>
        <v>0.79742063135299712</v>
      </c>
      <c r="AJ29" s="265">
        <f t="shared" si="14"/>
        <v>0.77785326349711925</v>
      </c>
      <c r="AK29" s="274">
        <f>AE29*GBDUS!L63/(Y29+Z29+AA29+AB29+AC29)</f>
        <v>18.275397181405317</v>
      </c>
      <c r="AL29" s="274">
        <f t="shared" si="23"/>
        <v>18.220293844744813</v>
      </c>
      <c r="AM29" s="274">
        <f t="shared" si="15"/>
        <v>18.139944673313423</v>
      </c>
      <c r="AN29" s="274">
        <f t="shared" si="15"/>
        <v>17.992080251390146</v>
      </c>
      <c r="AO29" s="276">
        <f t="shared" si="15"/>
        <v>17.550584710731655</v>
      </c>
      <c r="AP29" s="274">
        <f>AE29*GBDUS!M63/(Y29+Z29+AA29+AB29+AC29)</f>
        <v>13.525842634229692</v>
      </c>
      <c r="AQ29" s="274">
        <f t="shared" si="24"/>
        <v>13.485059987872253</v>
      </c>
      <c r="AR29" s="274">
        <f t="shared" si="16"/>
        <v>13.425592593660022</v>
      </c>
      <c r="AS29" s="274">
        <f t="shared" si="16"/>
        <v>13.316156345447014</v>
      </c>
      <c r="AT29" s="276">
        <f t="shared" si="16"/>
        <v>12.989400152550871</v>
      </c>
      <c r="AU29" s="235">
        <f t="shared" si="25"/>
        <v>-3.2394007165619243E-3</v>
      </c>
      <c r="AV29" s="234">
        <f t="shared" si="26"/>
        <v>-7.3090104979968373E-2</v>
      </c>
      <c r="AW29" s="235">
        <f t="shared" si="27"/>
        <v>-5.4094871277783341E-2</v>
      </c>
      <c r="AX29" s="235">
        <f t="shared" si="28"/>
        <v>-0.12718497625775171</v>
      </c>
    </row>
    <row r="30" spans="2:50" x14ac:dyDescent="0.2">
      <c r="B30" s="185">
        <v>1</v>
      </c>
      <c r="C30" s="297" t="s">
        <v>12</v>
      </c>
      <c r="D30" s="188">
        <f>Scenario!AL37</f>
        <v>0.19177331888346999</v>
      </c>
      <c r="E30" s="188">
        <f>Scenario!AM37</f>
        <v>0.48165814361673631</v>
      </c>
      <c r="F30" s="188">
        <f>Scenario!AN37</f>
        <v>0.91147247880225446</v>
      </c>
      <c r="G30" s="188">
        <f>Scenario!AO37</f>
        <v>1.7248376065556441</v>
      </c>
      <c r="H30" s="294">
        <f>Scenario!AP37</f>
        <v>4.3321046141916462</v>
      </c>
      <c r="I30" s="191">
        <f>IF(D30+'Non-travel METs'!D31&gt;2.5, D30+'Non-travel METs'!D31, 0.1)</f>
        <v>0.1</v>
      </c>
      <c r="J30" s="191">
        <f>IF(E30+'Non-travel METs'!E31&gt;2.5, E30+'Non-travel METs'!E31, 0.1)</f>
        <v>0.1</v>
      </c>
      <c r="K30" s="191">
        <f>IF(F30+'Non-travel METs'!F31&gt;2.5, F30+'Non-travel METs'!F31, 0.1)</f>
        <v>2.7864724788022546</v>
      </c>
      <c r="L30" s="191">
        <f>IF(G30+'Non-travel METs'!G31&gt;2.5, G30+'Non-travel METs'!G31, 0.1)</f>
        <v>3.5998376065556439</v>
      </c>
      <c r="M30" s="196">
        <f>IF(H30+'Non-travel METs'!H31&gt;2.5, H30+'Non-travel METs'!H31, 0.1)</f>
        <v>6.2071046141916462</v>
      </c>
      <c r="N30" s="241">
        <f>'Phy activity RRs'!$F$9</f>
        <v>0.94314906211536642</v>
      </c>
      <c r="O30" s="188">
        <f t="shared" si="17"/>
        <v>0.98166113424264856</v>
      </c>
      <c r="P30" s="188">
        <f t="shared" si="11"/>
        <v>0.98166113424264856</v>
      </c>
      <c r="Q30" s="188">
        <f t="shared" si="11"/>
        <v>0.90691720777452378</v>
      </c>
      <c r="R30" s="188">
        <f t="shared" si="11"/>
        <v>0.89489208881544835</v>
      </c>
      <c r="S30" s="294">
        <f t="shared" si="11"/>
        <v>0.86430951830831682</v>
      </c>
      <c r="T30" s="269">
        <f t="shared" si="18"/>
        <v>1</v>
      </c>
      <c r="U30" s="269">
        <f t="shared" si="12"/>
        <v>1</v>
      </c>
      <c r="V30" s="269">
        <f t="shared" si="12"/>
        <v>0.99910344478235635</v>
      </c>
      <c r="W30" s="269">
        <f t="shared" si="12"/>
        <v>0.99854108324411661</v>
      </c>
      <c r="X30" s="300">
        <f t="shared" si="12"/>
        <v>0.99730440791802888</v>
      </c>
      <c r="Y30" s="269">
        <f t="shared" si="19"/>
        <v>1</v>
      </c>
      <c r="Z30" s="269">
        <f t="shared" si="13"/>
        <v>1</v>
      </c>
      <c r="AA30" s="269">
        <f t="shared" si="13"/>
        <v>0.92385974766558354</v>
      </c>
      <c r="AB30" s="269">
        <f t="shared" si="13"/>
        <v>0.91160998189650999</v>
      </c>
      <c r="AC30" s="300">
        <f t="shared" si="13"/>
        <v>0.88045608424248301</v>
      </c>
      <c r="AD30" s="305">
        <f t="shared" si="20"/>
        <v>1.0102128110995423E-3</v>
      </c>
      <c r="AE30" s="306">
        <f t="shared" si="21"/>
        <v>0.99898978718890041</v>
      </c>
      <c r="AF30" s="187">
        <f>AE30*GBDUS!K64/(Y30+Z30+AA30+AB30+AC30)</f>
        <v>6.3549968339067116</v>
      </c>
      <c r="AG30" s="187">
        <f t="shared" si="22"/>
        <v>6.3549968339067116</v>
      </c>
      <c r="AH30" s="187">
        <f t="shared" si="14"/>
        <v>5.8711257713886367</v>
      </c>
      <c r="AI30" s="187">
        <f t="shared" si="14"/>
        <v>5.7932785487100755</v>
      </c>
      <c r="AJ30" s="265">
        <f t="shared" si="14"/>
        <v>5.5952956277548802</v>
      </c>
      <c r="AK30" s="274">
        <f>AE30*GBDUS!L64/(Y30+Z30+AA30+AB30+AC30)</f>
        <v>89.859390735942355</v>
      </c>
      <c r="AL30" s="274">
        <f t="shared" si="23"/>
        <v>89.859390735942355</v>
      </c>
      <c r="AM30" s="274">
        <f t="shared" si="15"/>
        <v>83.01747405069078</v>
      </c>
      <c r="AN30" s="274">
        <f t="shared" si="15"/>
        <v>81.916717562023834</v>
      </c>
      <c r="AO30" s="276">
        <f t="shared" si="15"/>
        <v>79.11724729978306</v>
      </c>
      <c r="AP30" s="274">
        <f>AE30*GBDUS!M64/(Y30+Z30+AA30+AB30+AC30)</f>
        <v>47.076981191575435</v>
      </c>
      <c r="AQ30" s="274">
        <f t="shared" si="24"/>
        <v>47.076981191575435</v>
      </c>
      <c r="AR30" s="274">
        <f t="shared" si="16"/>
        <v>43.492527964506301</v>
      </c>
      <c r="AS30" s="274">
        <f t="shared" si="16"/>
        <v>42.915845971794425</v>
      </c>
      <c r="AT30" s="276">
        <f t="shared" si="16"/>
        <v>41.449214517891527</v>
      </c>
      <c r="AU30" s="235">
        <f t="shared" si="25"/>
        <v>-3.0306384332988046E-2</v>
      </c>
      <c r="AV30" s="234">
        <f t="shared" si="26"/>
        <v>-0.42853101311413866</v>
      </c>
      <c r="AW30" s="235">
        <f t="shared" si="27"/>
        <v>-0.2245057114137694</v>
      </c>
      <c r="AX30" s="235">
        <f t="shared" si="28"/>
        <v>-0.65303672452790806</v>
      </c>
    </row>
    <row r="31" spans="2:50" x14ac:dyDescent="0.2">
      <c r="B31" s="292">
        <v>1</v>
      </c>
      <c r="C31" s="298" t="s">
        <v>13</v>
      </c>
      <c r="D31" s="293">
        <f>Scenario!AL38</f>
        <v>0.18242608873991903</v>
      </c>
      <c r="E31" s="293">
        <f>Scenario!AM38</f>
        <v>0.45818162694010256</v>
      </c>
      <c r="F31" s="293">
        <f>Scenario!AN38</f>
        <v>0.86704636635616106</v>
      </c>
      <c r="G31" s="293">
        <f>Scenario!AO38</f>
        <v>1.6407672355436893</v>
      </c>
      <c r="H31" s="295">
        <f>Scenario!AP38</f>
        <v>4.1209533494038997</v>
      </c>
      <c r="I31" s="203">
        <f>IF(D31+'Non-travel METs'!D32&gt;2.5, D31+'Non-travel METs'!D32, 0.1)</f>
        <v>0.1</v>
      </c>
      <c r="J31" s="201">
        <f>IF(E31+'Non-travel METs'!E32&gt;2.5, E31+'Non-travel METs'!E32, 0.1)</f>
        <v>0.1</v>
      </c>
      <c r="K31" s="201">
        <f>IF(F31+'Non-travel METs'!F32&gt;2.5, F31+'Non-travel METs'!F32, 0.1)</f>
        <v>0.1</v>
      </c>
      <c r="L31" s="201">
        <f>IF(G31+'Non-travel METs'!G32&gt;2.5, G31+'Non-travel METs'!G32, 0.1)</f>
        <v>0.1</v>
      </c>
      <c r="M31" s="202">
        <f>IF(H31+'Non-travel METs'!H32&gt;2.5, H31+'Non-travel METs'!H32, 0.1)</f>
        <v>4.4542866827372327</v>
      </c>
      <c r="N31" s="241">
        <f>'Phy activity RRs'!$F$9</f>
        <v>0.94314906211536642</v>
      </c>
      <c r="O31" s="299">
        <f t="shared" si="17"/>
        <v>0.98166113424264856</v>
      </c>
      <c r="P31" s="293">
        <f t="shared" si="11"/>
        <v>0.98166113424264856</v>
      </c>
      <c r="Q31" s="293">
        <f t="shared" si="11"/>
        <v>0.98166113424264856</v>
      </c>
      <c r="R31" s="293">
        <f t="shared" si="11"/>
        <v>0.98166113424264856</v>
      </c>
      <c r="S31" s="295">
        <f t="shared" si="11"/>
        <v>0.88379459532854254</v>
      </c>
      <c r="T31" s="301">
        <f t="shared" si="18"/>
        <v>1</v>
      </c>
      <c r="U31" s="302">
        <f t="shared" si="12"/>
        <v>1</v>
      </c>
      <c r="V31" s="302">
        <f t="shared" si="12"/>
        <v>1</v>
      </c>
      <c r="W31" s="302">
        <f t="shared" si="12"/>
        <v>1</v>
      </c>
      <c r="X31" s="303">
        <f t="shared" si="12"/>
        <v>0.99512590130891443</v>
      </c>
      <c r="Y31" s="301">
        <f t="shared" si="19"/>
        <v>1</v>
      </c>
      <c r="Z31" s="302">
        <f t="shared" si="13"/>
        <v>1</v>
      </c>
      <c r="AA31" s="302">
        <f t="shared" si="13"/>
        <v>1</v>
      </c>
      <c r="AB31" s="302">
        <f t="shared" si="13"/>
        <v>1</v>
      </c>
      <c r="AC31" s="303">
        <f t="shared" si="13"/>
        <v>0.90030517100016383</v>
      </c>
      <c r="AD31" s="304">
        <f t="shared" si="20"/>
        <v>9.7481973821711421E-4</v>
      </c>
      <c r="AE31" s="306">
        <f t="shared" si="21"/>
        <v>0.99902518026178289</v>
      </c>
      <c r="AF31" s="188">
        <f>AE31*GBDUS!K65/(Y31+Z31+AA31+AB31+AC31)</f>
        <v>47.093968352458781</v>
      </c>
      <c r="AG31" s="293">
        <f t="shared" si="22"/>
        <v>47.093968352458781</v>
      </c>
      <c r="AH31" s="293">
        <f t="shared" si="14"/>
        <v>47.093968352458781</v>
      </c>
      <c r="AI31" s="293">
        <f t="shared" si="14"/>
        <v>47.093968352458781</v>
      </c>
      <c r="AJ31" s="295">
        <f t="shared" si="14"/>
        <v>42.398943230636704</v>
      </c>
      <c r="AK31" s="277">
        <f>AE31*GBDUS!L65/(Y31+Z31+AA31+AB31+AC31)</f>
        <v>299.76128471705755</v>
      </c>
      <c r="AL31" s="278">
        <f t="shared" si="23"/>
        <v>299.76128471705755</v>
      </c>
      <c r="AM31" s="278">
        <f t="shared" si="15"/>
        <v>299.76128471705755</v>
      </c>
      <c r="AN31" s="278">
        <f t="shared" si="15"/>
        <v>299.76128471705755</v>
      </c>
      <c r="AO31" s="279">
        <f t="shared" si="15"/>
        <v>269.87663469641927</v>
      </c>
      <c r="AP31" s="278">
        <f>AE31*GBDUS!M65/(Y31+Z31+AA31+AB31+AC31)</f>
        <v>208.19585594403151</v>
      </c>
      <c r="AQ31" s="278">
        <f t="shared" si="24"/>
        <v>208.19585594403151</v>
      </c>
      <c r="AR31" s="278">
        <f t="shared" si="16"/>
        <v>208.19585594403151</v>
      </c>
      <c r="AS31" s="278">
        <f t="shared" si="16"/>
        <v>208.19585594403151</v>
      </c>
      <c r="AT31" s="279">
        <f t="shared" si="16"/>
        <v>187.43980568721676</v>
      </c>
      <c r="AU31" s="260">
        <f t="shared" si="25"/>
        <v>-0.2251833595281596</v>
      </c>
      <c r="AV31" s="238">
        <f t="shared" si="26"/>
        <v>-1.4333311782913825</v>
      </c>
      <c r="AW31" s="237">
        <f t="shared" si="27"/>
        <v>-0.99550417859120444</v>
      </c>
      <c r="AX31" s="237">
        <f t="shared" si="28"/>
        <v>-2.4288353568825869</v>
      </c>
    </row>
    <row r="32" spans="2:50" x14ac:dyDescent="0.2">
      <c r="B32" s="185">
        <v>2</v>
      </c>
      <c r="C32" s="297" t="s">
        <v>6</v>
      </c>
      <c r="D32" s="188">
        <f>Scenario!AL39</f>
        <v>0.63983865075854696</v>
      </c>
      <c r="E32" s="188">
        <f>Scenario!AM39</f>
        <v>1.6070196757968449</v>
      </c>
      <c r="F32" s="188">
        <f>Scenario!AN39</f>
        <v>3.0410660066573612</v>
      </c>
      <c r="G32" s="331">
        <f>Scenario!AO39</f>
        <v>5.7548035012460339</v>
      </c>
      <c r="H32" s="294">
        <f>Scenario!AP39</f>
        <v>14.453772753307545</v>
      </c>
      <c r="I32" s="191">
        <f>IF(D32+'Non-travel METs'!D33&gt;2.5, D32+'Non-travel METs'!D33, 0.1)</f>
        <v>0.1</v>
      </c>
      <c r="J32" s="191">
        <f>IF(E32+'Non-travel METs'!E33&gt;2.5, E32+'Non-travel METs'!E33, 0.1)</f>
        <v>0.1</v>
      </c>
      <c r="K32" s="191">
        <f>IF(F32+'Non-travel METs'!F33&gt;2.5, F32+'Non-travel METs'!F33, 0.1)</f>
        <v>3.0410660066573612</v>
      </c>
      <c r="L32" s="191">
        <f>IF(G32+'Non-travel METs'!G33&gt;2.5, G32+'Non-travel METs'!G33, 0.1)</f>
        <v>5.7548035012460339</v>
      </c>
      <c r="M32" s="196">
        <f>IF(H32+'Non-travel METs'!H33&gt;2.5, H32+'Non-travel METs'!H33, 0.1)</f>
        <v>14.453772753307545</v>
      </c>
      <c r="N32" s="336">
        <f>'Phy activity RRs'!$F$9</f>
        <v>0.94314906211536642</v>
      </c>
      <c r="O32" s="187">
        <f t="shared" si="17"/>
        <v>0.98166113424264856</v>
      </c>
      <c r="P32" s="187">
        <f t="shared" si="11"/>
        <v>0.98166113424264856</v>
      </c>
      <c r="Q32" s="187">
        <f t="shared" si="11"/>
        <v>0.90296628190788653</v>
      </c>
      <c r="R32" s="187">
        <f t="shared" si="11"/>
        <v>0.86900111751383724</v>
      </c>
      <c r="S32" s="265">
        <f t="shared" si="11"/>
        <v>0.80049611173653057</v>
      </c>
      <c r="T32" s="269">
        <f t="shared" si="18"/>
        <v>1</v>
      </c>
      <c r="U32" s="269">
        <f t="shared" si="12"/>
        <v>1</v>
      </c>
      <c r="V32" s="269">
        <f t="shared" si="12"/>
        <v>0.99576828003518847</v>
      </c>
      <c r="W32" s="269">
        <f t="shared" si="12"/>
        <v>0.99427948928536503</v>
      </c>
      <c r="X32" s="300">
        <f t="shared" si="12"/>
        <v>0.9911687906791895</v>
      </c>
      <c r="Y32" s="269">
        <f t="shared" si="19"/>
        <v>1</v>
      </c>
      <c r="Z32" s="269">
        <f t="shared" si="13"/>
        <v>1</v>
      </c>
      <c r="AA32" s="269">
        <f t="shared" si="13"/>
        <v>0.91983501272516499</v>
      </c>
      <c r="AB32" s="269">
        <f t="shared" si="13"/>
        <v>0.88523532938305793</v>
      </c>
      <c r="AC32" s="300">
        <f t="shared" si="13"/>
        <v>0.8154505499029594</v>
      </c>
      <c r="AD32" s="333">
        <f t="shared" si="20"/>
        <v>3.7566880000513337E-3</v>
      </c>
      <c r="AE32" s="308">
        <f t="shared" si="21"/>
        <v>0.99624331199994864</v>
      </c>
      <c r="AF32" s="384">
        <f>AE32*GBDUS!K66/(Y32+Z32+AA32+AB32+AC32)</f>
        <v>0</v>
      </c>
      <c r="AG32" s="187">
        <f t="shared" si="22"/>
        <v>0</v>
      </c>
      <c r="AH32" s="187">
        <f t="shared" si="14"/>
        <v>0</v>
      </c>
      <c r="AI32" s="187">
        <f t="shared" si="14"/>
        <v>0</v>
      </c>
      <c r="AJ32" s="265">
        <f t="shared" si="14"/>
        <v>0</v>
      </c>
      <c r="AK32" s="274">
        <f>AE32*GBDUS!L66/(Y32+Z32+AA32+AB32+AC32)</f>
        <v>0</v>
      </c>
      <c r="AL32" s="274">
        <f t="shared" si="23"/>
        <v>0</v>
      </c>
      <c r="AM32" s="274">
        <f t="shared" si="15"/>
        <v>0</v>
      </c>
      <c r="AN32" s="274">
        <f t="shared" si="15"/>
        <v>0</v>
      </c>
      <c r="AO32" s="276">
        <f t="shared" si="15"/>
        <v>0</v>
      </c>
      <c r="AP32" s="274">
        <f>AE32*GBDUS!M66/(Y32+Z32+AA32+AB32+AC32)</f>
        <v>0</v>
      </c>
      <c r="AQ32" s="274">
        <f t="shared" si="24"/>
        <v>0</v>
      </c>
      <c r="AR32" s="274">
        <f t="shared" si="16"/>
        <v>0</v>
      </c>
      <c r="AS32" s="274">
        <f t="shared" si="16"/>
        <v>0</v>
      </c>
      <c r="AT32" s="276">
        <f t="shared" si="16"/>
        <v>0</v>
      </c>
      <c r="AU32" s="235">
        <f t="shared" si="25"/>
        <v>0</v>
      </c>
      <c r="AV32" s="234">
        <f t="shared" si="26"/>
        <v>0</v>
      </c>
      <c r="AW32" s="235">
        <f t="shared" si="27"/>
        <v>0</v>
      </c>
      <c r="AX32" s="235">
        <f t="shared" si="28"/>
        <v>0</v>
      </c>
    </row>
    <row r="33" spans="2:50" x14ac:dyDescent="0.2">
      <c r="B33" s="185">
        <v>2</v>
      </c>
      <c r="C33" s="297" t="s">
        <v>7</v>
      </c>
      <c r="D33" s="188">
        <f>Scenario!AL40</f>
        <v>0.47238269054572068</v>
      </c>
      <c r="E33" s="188">
        <f>Scenario!AM40</f>
        <v>1.1864370452032824</v>
      </c>
      <c r="F33" s="188">
        <f>Scenario!AN40</f>
        <v>2.2451706233264708</v>
      </c>
      <c r="G33" s="188">
        <f>Scenario!AO40</f>
        <v>4.2486798167908608</v>
      </c>
      <c r="H33" s="294">
        <f>Scenario!AP40</f>
        <v>10.670990340532573</v>
      </c>
      <c r="I33" s="191">
        <f>IF(D33+'Non-travel METs'!D34&gt;2.5, D33+'Non-travel METs'!D34, 0.1)</f>
        <v>0.1</v>
      </c>
      <c r="J33" s="191">
        <f>IF(E33+'Non-travel METs'!E34&gt;2.5, E33+'Non-travel METs'!E34, 0.1)</f>
        <v>0.1</v>
      </c>
      <c r="K33" s="191">
        <f>IF(F33+'Non-travel METs'!F34&gt;2.5, F33+'Non-travel METs'!F34, 0.1)</f>
        <v>0.1</v>
      </c>
      <c r="L33" s="191">
        <f>IF(G33+'Non-travel METs'!G34&gt;2.5, G33+'Non-travel METs'!G34, 0.1)</f>
        <v>4.2486798167908608</v>
      </c>
      <c r="M33" s="196">
        <f>IF(H33+'Non-travel METs'!H34&gt;2.5, H33+'Non-travel METs'!H34, 0.1)</f>
        <v>10.670990340532573</v>
      </c>
      <c r="N33" s="241">
        <f>'Phy activity RRs'!$F$9</f>
        <v>0.94314906211536642</v>
      </c>
      <c r="O33" s="187">
        <f t="shared" si="17"/>
        <v>0.98166113424264856</v>
      </c>
      <c r="P33" s="187">
        <f t="shared" si="11"/>
        <v>0.98166113424264856</v>
      </c>
      <c r="Q33" s="187">
        <f t="shared" si="11"/>
        <v>0.98166113424264856</v>
      </c>
      <c r="R33" s="187">
        <f t="shared" si="11"/>
        <v>0.88634778242875389</v>
      </c>
      <c r="S33" s="265">
        <f t="shared" si="11"/>
        <v>0.82596739663854724</v>
      </c>
      <c r="T33" s="269">
        <f t="shared" si="18"/>
        <v>1</v>
      </c>
      <c r="U33" s="269">
        <f t="shared" si="12"/>
        <v>1</v>
      </c>
      <c r="V33" s="269">
        <f t="shared" si="12"/>
        <v>1</v>
      </c>
      <c r="W33" s="269">
        <f t="shared" si="12"/>
        <v>0.99565607273470424</v>
      </c>
      <c r="X33" s="300">
        <f t="shared" si="12"/>
        <v>0.99331443186208812</v>
      </c>
      <c r="Y33" s="269">
        <f t="shared" si="19"/>
        <v>1</v>
      </c>
      <c r="Z33" s="269">
        <f t="shared" si="13"/>
        <v>1</v>
      </c>
      <c r="AA33" s="269">
        <f t="shared" si="13"/>
        <v>1</v>
      </c>
      <c r="AB33" s="269">
        <f t="shared" si="13"/>
        <v>0.90290605536967816</v>
      </c>
      <c r="AC33" s="300">
        <f t="shared" si="13"/>
        <v>0.84139767566104262</v>
      </c>
      <c r="AD33" s="333">
        <f t="shared" si="20"/>
        <v>2.2058990806414157E-3</v>
      </c>
      <c r="AE33" s="306">
        <f t="shared" si="21"/>
        <v>0.99779410091935861</v>
      </c>
      <c r="AF33" s="187">
        <f>AE33*GBDUS!K67/(Y33+Z33+AA33+AB33+AC33)</f>
        <v>0</v>
      </c>
      <c r="AG33" s="187">
        <f t="shared" si="22"/>
        <v>0</v>
      </c>
      <c r="AH33" s="187">
        <f t="shared" si="14"/>
        <v>0</v>
      </c>
      <c r="AI33" s="187">
        <f t="shared" si="14"/>
        <v>0</v>
      </c>
      <c r="AJ33" s="265">
        <f t="shared" si="14"/>
        <v>0</v>
      </c>
      <c r="AK33" s="274">
        <f>AE33*GBDUS!L67/(Y33+Z33+AA33+AB33+AC33)</f>
        <v>0.88685121472994455</v>
      </c>
      <c r="AL33" s="274">
        <f t="shared" si="23"/>
        <v>0.88685121472994455</v>
      </c>
      <c r="AM33" s="274">
        <f t="shared" si="15"/>
        <v>0.88685121472994455</v>
      </c>
      <c r="AN33" s="274">
        <f t="shared" si="15"/>
        <v>0.80074333199162162</v>
      </c>
      <c r="AO33" s="276">
        <f t="shared" si="15"/>
        <v>0.74619455073094754</v>
      </c>
      <c r="AP33" s="274">
        <f>AE33*GBDUS!M67/(Y33+Z33+AA33+AB33+AC33)</f>
        <v>0</v>
      </c>
      <c r="AQ33" s="274">
        <f t="shared" si="24"/>
        <v>0</v>
      </c>
      <c r="AR33" s="274">
        <f t="shared" si="16"/>
        <v>0</v>
      </c>
      <c r="AS33" s="274">
        <f t="shared" si="16"/>
        <v>0</v>
      </c>
      <c r="AT33" s="276">
        <f t="shared" si="16"/>
        <v>0</v>
      </c>
      <c r="AU33" s="235">
        <f t="shared" si="25"/>
        <v>0</v>
      </c>
      <c r="AV33" s="234">
        <f t="shared" si="26"/>
        <v>-9.3018205684627375E-3</v>
      </c>
      <c r="AW33" s="235">
        <f t="shared" si="27"/>
        <v>0</v>
      </c>
      <c r="AX33" s="235">
        <f t="shared" si="28"/>
        <v>-9.3018205684627375E-3</v>
      </c>
    </row>
    <row r="34" spans="2:50" x14ac:dyDescent="0.2">
      <c r="B34" s="185">
        <v>2</v>
      </c>
      <c r="C34" s="297" t="s">
        <v>8</v>
      </c>
      <c r="D34" s="188">
        <f>Scenario!AL41</f>
        <v>0.46001598825921336</v>
      </c>
      <c r="E34" s="188">
        <f>Scenario!AM41</f>
        <v>1.1553768179482105</v>
      </c>
      <c r="F34" s="188">
        <f>Scenario!AN41</f>
        <v>2.1863933708216963</v>
      </c>
      <c r="G34" s="188">
        <f>Scenario!AO41</f>
        <v>4.1374518665367024</v>
      </c>
      <c r="H34" s="294">
        <f>Scenario!AP41</f>
        <v>10.391630060647827</v>
      </c>
      <c r="I34" s="191">
        <f>IF(D34+'Non-travel METs'!D35&gt;2.5, D34+'Non-travel METs'!D35, 0.1)</f>
        <v>37.960015988259215</v>
      </c>
      <c r="J34" s="191">
        <f>IF(E34+'Non-travel METs'!E35&gt;2.5, E34+'Non-travel METs'!E35, 0.1)</f>
        <v>38.655376817948209</v>
      </c>
      <c r="K34" s="191">
        <f>IF(F34+'Non-travel METs'!F35&gt;2.5, F34+'Non-travel METs'!F35, 0.1)</f>
        <v>39.686393370821698</v>
      </c>
      <c r="L34" s="191">
        <f>IF(G34+'Non-travel METs'!G35&gt;2.5, G34+'Non-travel METs'!G35, 0.1)</f>
        <v>41.637451866536701</v>
      </c>
      <c r="M34" s="196">
        <f>IF(H34+'Non-travel METs'!H35&gt;2.5, H34+'Non-travel METs'!H35, 0.1)</f>
        <v>47.891630060647827</v>
      </c>
      <c r="N34" s="241">
        <f>'Phy activity RRs'!$F$9</f>
        <v>0.94314906211536642</v>
      </c>
      <c r="O34" s="187">
        <f t="shared" si="17"/>
        <v>0.69724456198057205</v>
      </c>
      <c r="P34" s="187">
        <f t="shared" si="11"/>
        <v>0.69495581115851202</v>
      </c>
      <c r="Q34" s="187">
        <f t="shared" si="11"/>
        <v>0.69161340253672365</v>
      </c>
      <c r="R34" s="187">
        <f t="shared" si="11"/>
        <v>0.6854476885298465</v>
      </c>
      <c r="S34" s="265">
        <f t="shared" si="11"/>
        <v>0.66693932831733749</v>
      </c>
      <c r="T34" s="269">
        <f t="shared" si="18"/>
        <v>0.99981279789427924</v>
      </c>
      <c r="U34" s="269">
        <f t="shared" si="12"/>
        <v>0.99954429228659858</v>
      </c>
      <c r="V34" s="269">
        <f t="shared" si="12"/>
        <v>0.99916202765627204</v>
      </c>
      <c r="W34" s="269">
        <f t="shared" si="12"/>
        <v>0.99847579820350629</v>
      </c>
      <c r="X34" s="300">
        <f t="shared" si="12"/>
        <v>0.99650987062993801</v>
      </c>
      <c r="Y34" s="269">
        <f t="shared" si="19"/>
        <v>1</v>
      </c>
      <c r="Z34" s="269">
        <f t="shared" si="13"/>
        <v>0.99671743467520391</v>
      </c>
      <c r="AA34" s="269">
        <f t="shared" si="13"/>
        <v>0.99192369542782421</v>
      </c>
      <c r="AB34" s="269">
        <f t="shared" si="13"/>
        <v>0.98308072361695342</v>
      </c>
      <c r="AC34" s="300">
        <f t="shared" si="13"/>
        <v>0.95653571886290456</v>
      </c>
      <c r="AD34" s="333">
        <f t="shared" si="20"/>
        <v>1.2990426658811671E-3</v>
      </c>
      <c r="AE34" s="306">
        <f t="shared" si="21"/>
        <v>0.99870095733411879</v>
      </c>
      <c r="AF34" s="187">
        <f>AE34*GBDUS!K68/(Y34+Z34+AA34+AB34+AC34)</f>
        <v>0</v>
      </c>
      <c r="AG34" s="187">
        <f t="shared" si="22"/>
        <v>0</v>
      </c>
      <c r="AH34" s="187">
        <f t="shared" si="14"/>
        <v>0</v>
      </c>
      <c r="AI34" s="187">
        <f t="shared" si="14"/>
        <v>0</v>
      </c>
      <c r="AJ34" s="265">
        <f t="shared" si="14"/>
        <v>0</v>
      </c>
      <c r="AK34" s="274">
        <f>AE34*GBDUS!L68/(Y34+Z34+AA34+AB34+AC34)</f>
        <v>0.61665064710308792</v>
      </c>
      <c r="AL34" s="274">
        <f t="shared" si="23"/>
        <v>0.61462645107139424</v>
      </c>
      <c r="AM34" s="274">
        <f t="shared" si="15"/>
        <v>0.61167038866245405</v>
      </c>
      <c r="AN34" s="274">
        <f t="shared" si="15"/>
        <v>0.60621736437296625</v>
      </c>
      <c r="AO34" s="276">
        <f t="shared" si="15"/>
        <v>0.58984837001402746</v>
      </c>
      <c r="AP34" s="274">
        <f>AE34*GBDUS!M68/(Y34+Z34+AA34+AB34+AC34)</f>
        <v>0</v>
      </c>
      <c r="AQ34" s="274">
        <f t="shared" si="24"/>
        <v>0</v>
      </c>
      <c r="AR34" s="274">
        <f t="shared" si="16"/>
        <v>0</v>
      </c>
      <c r="AS34" s="274">
        <f t="shared" si="16"/>
        <v>0</v>
      </c>
      <c r="AT34" s="276">
        <f t="shared" si="16"/>
        <v>0</v>
      </c>
      <c r="AU34" s="235">
        <f t="shared" si="25"/>
        <v>0</v>
      </c>
      <c r="AV34" s="234">
        <f t="shared" si="26"/>
        <v>-3.9529428780014086E-3</v>
      </c>
      <c r="AW34" s="235">
        <f t="shared" si="27"/>
        <v>0</v>
      </c>
      <c r="AX34" s="235">
        <f t="shared" si="28"/>
        <v>-3.9529428780014086E-3</v>
      </c>
    </row>
    <row r="35" spans="2:50" x14ac:dyDescent="0.2">
      <c r="B35" s="185">
        <v>2</v>
      </c>
      <c r="C35" s="297" t="s">
        <v>9</v>
      </c>
      <c r="D35" s="188">
        <f>Scenario!AL42</f>
        <v>0.38779511810305101</v>
      </c>
      <c r="E35" s="188">
        <f>Scenario!AM42</f>
        <v>0.97398677655804244</v>
      </c>
      <c r="F35" s="188">
        <f>Scenario!AN42</f>
        <v>1.8431374063019774</v>
      </c>
      <c r="G35" s="188">
        <f>Scenario!AO42</f>
        <v>3.4878866738979131</v>
      </c>
      <c r="H35" s="294">
        <f>Scenario!AP42</f>
        <v>8.7601811882707494</v>
      </c>
      <c r="I35" s="191">
        <f>IF(D35+'Non-travel METs'!D36&gt;2.5, D35+'Non-travel METs'!D36, 0.1)</f>
        <v>37.951128451436347</v>
      </c>
      <c r="J35" s="191">
        <f>IF(E35+'Non-travel METs'!E36&gt;2.5, E35+'Non-travel METs'!E36, 0.1)</f>
        <v>38.53732010989134</v>
      </c>
      <c r="K35" s="191">
        <f>IF(F35+'Non-travel METs'!F36&gt;2.5, F35+'Non-travel METs'!F36, 0.1)</f>
        <v>39.406470739635274</v>
      </c>
      <c r="L35" s="191">
        <f>IF(G35+'Non-travel METs'!G36&gt;2.5, G35+'Non-travel METs'!G36, 0.1)</f>
        <v>41.051220007231208</v>
      </c>
      <c r="M35" s="196">
        <f>IF(H35+'Non-travel METs'!H36&gt;2.5, H35+'Non-travel METs'!H36, 0.1)</f>
        <v>46.323514521604046</v>
      </c>
      <c r="N35" s="241">
        <f>'Phy activity RRs'!$F$9</f>
        <v>0.94314906211536642</v>
      </c>
      <c r="O35" s="187">
        <f t="shared" si="17"/>
        <v>0.6972739989721517</v>
      </c>
      <c r="P35" s="187">
        <f t="shared" si="11"/>
        <v>0.69534240160931404</v>
      </c>
      <c r="Q35" s="187">
        <f t="shared" si="11"/>
        <v>0.69251494631994148</v>
      </c>
      <c r="R35" s="187">
        <f t="shared" si="11"/>
        <v>0.68727904738264756</v>
      </c>
      <c r="S35" s="265">
        <f t="shared" si="11"/>
        <v>0.6714138057451301</v>
      </c>
      <c r="T35" s="269">
        <f t="shared" si="18"/>
        <v>0.99984086695115992</v>
      </c>
      <c r="U35" s="269">
        <f t="shared" si="12"/>
        <v>0.99961200762744118</v>
      </c>
      <c r="V35" s="269">
        <f t="shared" si="12"/>
        <v>0.99928503616690179</v>
      </c>
      <c r="W35" s="269">
        <f t="shared" si="12"/>
        <v>0.99869480413747225</v>
      </c>
      <c r="X35" s="300">
        <f t="shared" si="12"/>
        <v>0.99698232625821503</v>
      </c>
      <c r="Y35" s="269">
        <f t="shared" si="19"/>
        <v>1</v>
      </c>
      <c r="Z35" s="269">
        <f t="shared" si="13"/>
        <v>0.99722978719171373</v>
      </c>
      <c r="AA35" s="269">
        <f t="shared" si="13"/>
        <v>0.99317477396371368</v>
      </c>
      <c r="AB35" s="269">
        <f t="shared" si="13"/>
        <v>0.98566567575409714</v>
      </c>
      <c r="AC35" s="300">
        <f t="shared" si="13"/>
        <v>0.96291243719808572</v>
      </c>
      <c r="AD35" s="333">
        <f t="shared" si="20"/>
        <v>1.1169917717619882E-3</v>
      </c>
      <c r="AE35" s="306">
        <f t="shared" si="21"/>
        <v>0.99888300822823806</v>
      </c>
      <c r="AF35" s="187">
        <f>AE35*GBDUS!K69/(Y35+Z35+AA35+AB35+AC35)</f>
        <v>0</v>
      </c>
      <c r="AG35" s="187">
        <f t="shared" si="22"/>
        <v>0</v>
      </c>
      <c r="AH35" s="187">
        <f t="shared" si="14"/>
        <v>0</v>
      </c>
      <c r="AI35" s="187">
        <f t="shared" si="14"/>
        <v>0</v>
      </c>
      <c r="AJ35" s="265">
        <f t="shared" si="14"/>
        <v>0</v>
      </c>
      <c r="AK35" s="274">
        <f>AE35*GBDUS!L69/(Y35+Z35+AA35+AB35+AC35)</f>
        <v>0.8994482944907608</v>
      </c>
      <c r="AL35" s="274">
        <f t="shared" si="23"/>
        <v>0.89695663130497127</v>
      </c>
      <c r="AM35" s="274">
        <f t="shared" si="15"/>
        <v>0.89330935657290911</v>
      </c>
      <c r="AN35" s="274">
        <f t="shared" si="15"/>
        <v>0.88655531099510587</v>
      </c>
      <c r="AO35" s="276">
        <f t="shared" si="15"/>
        <v>0.86608994938175998</v>
      </c>
      <c r="AP35" s="274">
        <f>AE35*GBDUS!M69/(Y35+Z35+AA35+AB35+AC35)</f>
        <v>0.20516754502366652</v>
      </c>
      <c r="AQ35" s="274">
        <f t="shared" si="24"/>
        <v>0.20459918726259732</v>
      </c>
      <c r="AR35" s="274">
        <f t="shared" si="16"/>
        <v>0.20376723015357004</v>
      </c>
      <c r="AS35" s="274">
        <f t="shared" si="16"/>
        <v>0.2022266069085614</v>
      </c>
      <c r="AT35" s="276">
        <f t="shared" si="16"/>
        <v>0.1975583808126867</v>
      </c>
      <c r="AU35" s="235">
        <f t="shared" si="25"/>
        <v>0</v>
      </c>
      <c r="AV35" s="234">
        <f t="shared" si="26"/>
        <v>-4.967627855894996E-3</v>
      </c>
      <c r="AW35" s="235">
        <f t="shared" si="27"/>
        <v>-1.1331346315601731E-3</v>
      </c>
      <c r="AX35" s="235">
        <f t="shared" si="28"/>
        <v>-6.1007624874551691E-3</v>
      </c>
    </row>
    <row r="36" spans="2:50" x14ac:dyDescent="0.2">
      <c r="B36" s="185">
        <v>2</v>
      </c>
      <c r="C36" s="297" t="s">
        <v>10</v>
      </c>
      <c r="D36" s="188">
        <f>Scenario!AL43</f>
        <v>0.2880222001316094</v>
      </c>
      <c r="E36" s="188">
        <f>Scenario!AM43</f>
        <v>0.72339697223520716</v>
      </c>
      <c r="F36" s="188">
        <f>Scenario!AN43</f>
        <v>1.3689303091404414</v>
      </c>
      <c r="G36" s="188">
        <f>Scenario!AO43</f>
        <v>2.5905142863578874</v>
      </c>
      <c r="H36" s="294">
        <f>Scenario!AP43</f>
        <v>6.5063394086533934</v>
      </c>
      <c r="I36" s="191">
        <f>IF(D36+'Non-travel METs'!D37&gt;2.5, D36+'Non-travel METs'!D37, 0.1)</f>
        <v>38.041355533464909</v>
      </c>
      <c r="J36" s="191">
        <f>IF(E36+'Non-travel METs'!E37&gt;2.5, E36+'Non-travel METs'!E37, 0.1)</f>
        <v>38.476730305568509</v>
      </c>
      <c r="K36" s="191">
        <f>IF(F36+'Non-travel METs'!F37&gt;2.5, F36+'Non-travel METs'!F37, 0.1)</f>
        <v>39.12226364247374</v>
      </c>
      <c r="L36" s="191">
        <f>IF(G36+'Non-travel METs'!G37&gt;2.5, G36+'Non-travel METs'!G37, 0.1)</f>
        <v>40.343847619691189</v>
      </c>
      <c r="M36" s="196">
        <f>IF(H36+'Non-travel METs'!H37&gt;2.5, H36+'Non-travel METs'!H37, 0.1)</f>
        <v>44.259672741986698</v>
      </c>
      <c r="N36" s="241">
        <f>'Phy activity RRs'!$F$9</f>
        <v>0.94314906211536642</v>
      </c>
      <c r="O36" s="187">
        <f t="shared" si="17"/>
        <v>0.69697536954674599</v>
      </c>
      <c r="P36" s="187">
        <f t="shared" si="11"/>
        <v>0.6955411235598663</v>
      </c>
      <c r="Q36" s="187">
        <f t="shared" si="11"/>
        <v>0.69343477982398083</v>
      </c>
      <c r="R36" s="187">
        <f t="shared" si="11"/>
        <v>0.68951293636856215</v>
      </c>
      <c r="S36" s="265">
        <f t="shared" si="11"/>
        <v>0.6774671024255674</v>
      </c>
      <c r="T36" s="269">
        <f t="shared" si="18"/>
        <v>0.9999018456584452</v>
      </c>
      <c r="U36" s="269">
        <f t="shared" si="12"/>
        <v>0.9997614235106641</v>
      </c>
      <c r="V36" s="269">
        <f t="shared" si="12"/>
        <v>0.99956075836984326</v>
      </c>
      <c r="W36" s="269">
        <f t="shared" si="12"/>
        <v>0.99919722616797213</v>
      </c>
      <c r="X36" s="300">
        <f t="shared" si="12"/>
        <v>0.99812900294998896</v>
      </c>
      <c r="Y36" s="269">
        <f t="shared" si="19"/>
        <v>1</v>
      </c>
      <c r="Z36" s="269">
        <f t="shared" si="13"/>
        <v>0.99794218554981018</v>
      </c>
      <c r="AA36" s="269">
        <f t="shared" si="13"/>
        <v>0.99492006478641037</v>
      </c>
      <c r="AB36" s="269">
        <f t="shared" si="13"/>
        <v>0.98929311779979145</v>
      </c>
      <c r="AC36" s="300">
        <f t="shared" si="13"/>
        <v>0.97201010541611377</v>
      </c>
      <c r="AD36" s="333">
        <f t="shared" si="20"/>
        <v>6.8994866861729067E-4</v>
      </c>
      <c r="AE36" s="306">
        <f t="shared" si="21"/>
        <v>0.99931005133138273</v>
      </c>
      <c r="AF36" s="187">
        <f>AE36*GBDUS!K70/(Y36+Z36+AA36+AB36+AC36)</f>
        <v>0</v>
      </c>
      <c r="AG36" s="187">
        <f t="shared" si="22"/>
        <v>0</v>
      </c>
      <c r="AH36" s="187">
        <f t="shared" si="14"/>
        <v>0</v>
      </c>
      <c r="AI36" s="187">
        <f t="shared" si="14"/>
        <v>0</v>
      </c>
      <c r="AJ36" s="265">
        <f t="shared" si="14"/>
        <v>0</v>
      </c>
      <c r="AK36" s="274">
        <f>AE36*GBDUS!L70/(Y36+Z36+AA36+AB36+AC36)</f>
        <v>8.0528609830170073</v>
      </c>
      <c r="AL36" s="274">
        <f t="shared" si="23"/>
        <v>8.0362896893207854</v>
      </c>
      <c r="AM36" s="274">
        <f t="shared" si="15"/>
        <v>8.0119529709392374</v>
      </c>
      <c r="AN36" s="274">
        <f t="shared" si="15"/>
        <v>7.9666399490971882</v>
      </c>
      <c r="AO36" s="276">
        <f t="shared" si="15"/>
        <v>7.827462253003671</v>
      </c>
      <c r="AP36" s="274">
        <f>AE36*GBDUS!M70/(Y36+Z36+AA36+AB36+AC36)</f>
        <v>16.924175123892017</v>
      </c>
      <c r="AQ36" s="274">
        <f t="shared" si="24"/>
        <v>16.889348311764529</v>
      </c>
      <c r="AR36" s="274">
        <f t="shared" si="16"/>
        <v>16.838201410719201</v>
      </c>
      <c r="AS36" s="274">
        <f t="shared" si="16"/>
        <v>16.742969974504806</v>
      </c>
      <c r="AT36" s="276">
        <f t="shared" si="16"/>
        <v>16.45046924625505</v>
      </c>
      <c r="AU36" s="235">
        <f t="shared" si="25"/>
        <v>0</v>
      </c>
      <c r="AV36" s="234">
        <f t="shared" si="26"/>
        <v>-2.7544648550815509E-2</v>
      </c>
      <c r="AW36" s="235">
        <f t="shared" si="27"/>
        <v>-5.7888799618325493E-2</v>
      </c>
      <c r="AX36" s="235">
        <f t="shared" si="28"/>
        <v>-8.5433448169141002E-2</v>
      </c>
    </row>
    <row r="37" spans="2:50" x14ac:dyDescent="0.2">
      <c r="B37" s="185">
        <v>2</v>
      </c>
      <c r="C37" s="297" t="s">
        <v>11</v>
      </c>
      <c r="D37" s="188">
        <f>Scenario!AL44</f>
        <v>0.19383056670522639</v>
      </c>
      <c r="E37" s="188">
        <f>Scenario!AM44</f>
        <v>0.48682513020567292</v>
      </c>
      <c r="F37" s="188">
        <f>Scenario!AN44</f>
        <v>0.92125029764860955</v>
      </c>
      <c r="G37" s="188">
        <f>Scenario!AO44</f>
        <v>1.7433407978735476</v>
      </c>
      <c r="H37" s="294">
        <f>Scenario!AP44</f>
        <v>4.3785772561266905</v>
      </c>
      <c r="I37" s="191">
        <f>IF(D37+'Non-travel METs'!D38&gt;2.5, D37+'Non-travel METs'!D38, 0.1)</f>
        <v>9.1938305667052269</v>
      </c>
      <c r="J37" s="191">
        <f>IF(E37+'Non-travel METs'!E38&gt;2.5, E37+'Non-travel METs'!E38, 0.1)</f>
        <v>9.4868251302056734</v>
      </c>
      <c r="K37" s="191">
        <f>IF(F37+'Non-travel METs'!F38&gt;2.5, F37+'Non-travel METs'!F38, 0.1)</f>
        <v>9.9212502976486103</v>
      </c>
      <c r="L37" s="191">
        <f>IF(G37+'Non-travel METs'!G38&gt;2.5, G37+'Non-travel METs'!G38, 0.1)</f>
        <v>10.743340797873547</v>
      </c>
      <c r="M37" s="196">
        <f>IF(H37+'Non-travel METs'!H38&gt;2.5, H37+'Non-travel METs'!H38, 0.1)</f>
        <v>13.37857725612669</v>
      </c>
      <c r="N37" s="241">
        <f>'Phy activity RRs'!$F$9</f>
        <v>0.94314906211536642</v>
      </c>
      <c r="O37" s="187">
        <f t="shared" si="17"/>
        <v>0.83738311871316362</v>
      </c>
      <c r="P37" s="187">
        <f t="shared" si="11"/>
        <v>0.83503693280972158</v>
      </c>
      <c r="Q37" s="187">
        <f t="shared" si="11"/>
        <v>0.83163566273643053</v>
      </c>
      <c r="R37" s="187">
        <f t="shared" si="11"/>
        <v>0.82543309990477665</v>
      </c>
      <c r="S37" s="265">
        <f t="shared" si="11"/>
        <v>0.80727809197483669</v>
      </c>
      <c r="T37" s="269">
        <f t="shared" si="18"/>
        <v>0.99983669890018767</v>
      </c>
      <c r="U37" s="269">
        <f t="shared" si="12"/>
        <v>0.99960480043909183</v>
      </c>
      <c r="V37" s="269">
        <f t="shared" si="12"/>
        <v>0.9992794589463212</v>
      </c>
      <c r="W37" s="269">
        <f t="shared" si="12"/>
        <v>0.99870875286590222</v>
      </c>
      <c r="X37" s="300">
        <f t="shared" si="12"/>
        <v>0.99715352957337255</v>
      </c>
      <c r="Y37" s="269">
        <f t="shared" si="19"/>
        <v>1</v>
      </c>
      <c r="Z37" s="269">
        <f t="shared" si="13"/>
        <v>0.99719819297641499</v>
      </c>
      <c r="AA37" s="269">
        <f t="shared" si="13"/>
        <v>0.99313640811679438</v>
      </c>
      <c r="AB37" s="269">
        <f t="shared" si="13"/>
        <v>0.98572932921462397</v>
      </c>
      <c r="AC37" s="300">
        <f t="shared" si="13"/>
        <v>0.96404868206014183</v>
      </c>
      <c r="AD37" s="333">
        <f t="shared" si="20"/>
        <v>1.083351855024972E-3</v>
      </c>
      <c r="AE37" s="306">
        <f t="shared" si="21"/>
        <v>0.99891664814497505</v>
      </c>
      <c r="AF37" s="187">
        <f>AE37*GBDUS!K71/(Y37+Z37+AA37+AB37+AC37)</f>
        <v>1.0110261916338765</v>
      </c>
      <c r="AG37" s="187">
        <f t="shared" si="22"/>
        <v>1.0081934913491284</v>
      </c>
      <c r="AH37" s="187">
        <f t="shared" si="14"/>
        <v>1.0040869204712699</v>
      </c>
      <c r="AI37" s="187">
        <f t="shared" si="14"/>
        <v>0.99659816969767701</v>
      </c>
      <c r="AJ37" s="265">
        <f t="shared" si="14"/>
        <v>0.97467846757292309</v>
      </c>
      <c r="AK37" s="274">
        <f>AE37*GBDUS!L71/(Y37+Z37+AA37+AB37+AC37)</f>
        <v>22.753886347492056</v>
      </c>
      <c r="AL37" s="274">
        <f t="shared" si="23"/>
        <v>22.690134348909798</v>
      </c>
      <c r="AM37" s="274">
        <f t="shared" si="15"/>
        <v>22.597712957846028</v>
      </c>
      <c r="AN37" s="274">
        <f t="shared" si="15"/>
        <v>22.429173126339133</v>
      </c>
      <c r="AO37" s="276">
        <f t="shared" si="15"/>
        <v>21.935854145045973</v>
      </c>
      <c r="AP37" s="274">
        <f>AE37*GBDUS!M71/(Y37+Z37+AA37+AB37+AC37)</f>
        <v>23.963597774742503</v>
      </c>
      <c r="AQ37" s="274">
        <f t="shared" si="24"/>
        <v>23.896456398186864</v>
      </c>
      <c r="AR37" s="274">
        <f t="shared" si="16"/>
        <v>23.799121419563377</v>
      </c>
      <c r="AS37" s="274">
        <f t="shared" si="16"/>
        <v>23.621621160065985</v>
      </c>
      <c r="AT37" s="276">
        <f t="shared" si="16"/>
        <v>23.102074852159859</v>
      </c>
      <c r="AU37" s="235">
        <f t="shared" si="25"/>
        <v>-5.4167592751257487E-3</v>
      </c>
      <c r="AV37" s="234">
        <f t="shared" si="26"/>
        <v>-0.1219081423783166</v>
      </c>
      <c r="AW37" s="235">
        <f t="shared" si="27"/>
        <v>-0.12838939444480957</v>
      </c>
      <c r="AX37" s="235">
        <f t="shared" si="28"/>
        <v>-0.25029753682312617</v>
      </c>
    </row>
    <row r="38" spans="2:50" x14ac:dyDescent="0.2">
      <c r="B38" s="185">
        <v>2</v>
      </c>
      <c r="C38" s="297" t="s">
        <v>12</v>
      </c>
      <c r="D38" s="188">
        <f>Scenario!AL45</f>
        <v>0.12325892229755643</v>
      </c>
      <c r="E38" s="188">
        <f>Scenario!AM45</f>
        <v>0.30957728657820022</v>
      </c>
      <c r="F38" s="188">
        <f>Scenario!AN45</f>
        <v>0.58583287860453281</v>
      </c>
      <c r="G38" s="188">
        <f>Scenario!AO45</f>
        <v>1.108608985651083</v>
      </c>
      <c r="H38" s="294">
        <f>Scenario!AP45</f>
        <v>2.7843839233444045</v>
      </c>
      <c r="I38" s="191">
        <f>IF(D38+'Non-travel METs'!D39&gt;2.5, D38+'Non-travel METs'!D39, 0.1)</f>
        <v>0.1</v>
      </c>
      <c r="J38" s="191">
        <f>IF(E38+'Non-travel METs'!E39&gt;2.5, E38+'Non-travel METs'!E39, 0.1)</f>
        <v>0.1</v>
      </c>
      <c r="K38" s="191">
        <f>IF(F38+'Non-travel METs'!F39&gt;2.5, F38+'Non-travel METs'!F39, 0.1)</f>
        <v>0.1</v>
      </c>
      <c r="L38" s="191">
        <f>IF(G38+'Non-travel METs'!G39&gt;2.5, G38+'Non-travel METs'!G39, 0.1)</f>
        <v>0.1</v>
      </c>
      <c r="M38" s="196">
        <f>IF(H38+'Non-travel METs'!H39&gt;2.5, H38+'Non-travel METs'!H39, 0.1)</f>
        <v>3.2843839233444045</v>
      </c>
      <c r="N38" s="241">
        <f>'Phy activity RRs'!$F$9</f>
        <v>0.94314906211536642</v>
      </c>
      <c r="O38" s="187">
        <f t="shared" si="17"/>
        <v>0.98166113424264856</v>
      </c>
      <c r="P38" s="187">
        <f t="shared" si="11"/>
        <v>0.98166113424264856</v>
      </c>
      <c r="Q38" s="187">
        <f t="shared" si="11"/>
        <v>0.98166113424264856</v>
      </c>
      <c r="R38" s="187">
        <f t="shared" si="11"/>
        <v>0.98166113424264856</v>
      </c>
      <c r="S38" s="265">
        <f t="shared" si="11"/>
        <v>0.89935732729009321</v>
      </c>
      <c r="T38" s="269">
        <f t="shared" si="18"/>
        <v>1</v>
      </c>
      <c r="U38" s="269">
        <f t="shared" si="12"/>
        <v>1</v>
      </c>
      <c r="V38" s="269">
        <f t="shared" si="12"/>
        <v>1</v>
      </c>
      <c r="W38" s="269">
        <f t="shared" si="12"/>
        <v>1</v>
      </c>
      <c r="X38" s="300">
        <f t="shared" si="12"/>
        <v>0.99595381232485858</v>
      </c>
      <c r="Y38" s="269">
        <f t="shared" si="19"/>
        <v>1</v>
      </c>
      <c r="Z38" s="269">
        <f t="shared" si="13"/>
        <v>1</v>
      </c>
      <c r="AA38" s="269">
        <f t="shared" si="13"/>
        <v>1</v>
      </c>
      <c r="AB38" s="269">
        <f t="shared" si="13"/>
        <v>1</v>
      </c>
      <c r="AC38" s="300">
        <f t="shared" si="13"/>
        <v>0.91615863755668325</v>
      </c>
      <c r="AD38" s="333">
        <f t="shared" si="20"/>
        <v>8.0923753502837314E-4</v>
      </c>
      <c r="AE38" s="306">
        <f t="shared" si="21"/>
        <v>0.99919076246497163</v>
      </c>
      <c r="AF38" s="187">
        <f>AE38*GBDUS!K72/(Y38+Z38+AA38+AB38+AC38)</f>
        <v>5.081156021043121</v>
      </c>
      <c r="AG38" s="187">
        <f t="shared" si="22"/>
        <v>5.081156021043121</v>
      </c>
      <c r="AH38" s="187">
        <f t="shared" si="14"/>
        <v>5.081156021043121</v>
      </c>
      <c r="AI38" s="187">
        <f t="shared" si="14"/>
        <v>5.081156021043121</v>
      </c>
      <c r="AJ38" s="265">
        <f t="shared" si="14"/>
        <v>4.6551449774518039</v>
      </c>
      <c r="AK38" s="274">
        <f>AE38*GBDUS!L72/(Y38+Z38+AA38+AB38+AC38)</f>
        <v>70.990880610385929</v>
      </c>
      <c r="AL38" s="274">
        <f t="shared" si="23"/>
        <v>70.990880610385929</v>
      </c>
      <c r="AM38" s="274">
        <f t="shared" si="15"/>
        <v>70.990880610385929</v>
      </c>
      <c r="AN38" s="274">
        <f t="shared" si="15"/>
        <v>70.990880610385929</v>
      </c>
      <c r="AO38" s="276">
        <f t="shared" si="15"/>
        <v>65.038908458960336</v>
      </c>
      <c r="AP38" s="274">
        <f>AE38*GBDUS!M72/(Y38+Z38+AA38+AB38+AC38)</f>
        <v>45.458618541706144</v>
      </c>
      <c r="AQ38" s="274">
        <f t="shared" si="24"/>
        <v>45.458618541706144</v>
      </c>
      <c r="AR38" s="274">
        <f t="shared" si="16"/>
        <v>45.458618541706144</v>
      </c>
      <c r="AS38" s="274">
        <f t="shared" si="16"/>
        <v>45.458618541706144</v>
      </c>
      <c r="AT38" s="276">
        <f t="shared" si="16"/>
        <v>41.64730602837848</v>
      </c>
      <c r="AU38" s="235">
        <f t="shared" si="25"/>
        <v>-2.0230938375711105E-2</v>
      </c>
      <c r="AV38" s="234">
        <f t="shared" si="26"/>
        <v>-0.2826546016138991</v>
      </c>
      <c r="AW38" s="235">
        <f t="shared" si="27"/>
        <v>-0.18099631393988602</v>
      </c>
      <c r="AX38" s="235">
        <f t="shared" si="28"/>
        <v>-0.46365091555378513</v>
      </c>
    </row>
    <row r="39" spans="2:50" x14ac:dyDescent="0.2">
      <c r="B39" s="292">
        <v>2</v>
      </c>
      <c r="C39" s="298" t="s">
        <v>13</v>
      </c>
      <c r="D39" s="293">
        <f>Scenario!AL46</f>
        <v>0.15235482657642674</v>
      </c>
      <c r="E39" s="293">
        <f>Scenario!AM46</f>
        <v>0.38265460162600734</v>
      </c>
      <c r="F39" s="293">
        <f>Scenario!AN46</f>
        <v>0.72412175085463892</v>
      </c>
      <c r="G39" s="293">
        <f>Scenario!AO46</f>
        <v>1.3703018540288463</v>
      </c>
      <c r="H39" s="295">
        <f>Scenario!AP46</f>
        <v>3.4416521080659925</v>
      </c>
      <c r="I39" s="201">
        <f>IF(D39+'Non-travel METs'!D40&gt;2.5, D39+'Non-travel METs'!D40, 0.1)</f>
        <v>0.1</v>
      </c>
      <c r="J39" s="201">
        <f>IF(E39+'Non-travel METs'!E40&gt;2.5, E39+'Non-travel METs'!E40, 0.1)</f>
        <v>0.1</v>
      </c>
      <c r="K39" s="201">
        <f>IF(F39+'Non-travel METs'!F40&gt;2.5, F39+'Non-travel METs'!F40, 0.1)</f>
        <v>0.1</v>
      </c>
      <c r="L39" s="201">
        <f>IF(G39+'Non-travel METs'!G40&gt;2.5, G39+'Non-travel METs'!G40, 0.1)</f>
        <v>0.1</v>
      </c>
      <c r="M39" s="202">
        <f>IF(H39+'Non-travel METs'!H40&gt;2.5, H39+'Non-travel METs'!H40, 0.1)</f>
        <v>3.524985441399326</v>
      </c>
      <c r="N39" s="241">
        <f>'Phy activity RRs'!$F$9</f>
        <v>0.94314906211536642</v>
      </c>
      <c r="O39" s="266">
        <f t="shared" si="17"/>
        <v>0.98166113424264856</v>
      </c>
      <c r="P39" s="267">
        <f t="shared" si="11"/>
        <v>0.98166113424264856</v>
      </c>
      <c r="Q39" s="267">
        <f t="shared" si="11"/>
        <v>0.98166113424264856</v>
      </c>
      <c r="R39" s="267">
        <f t="shared" si="11"/>
        <v>0.98166113424264856</v>
      </c>
      <c r="S39" s="268">
        <f t="shared" si="11"/>
        <v>0.8959313303953631</v>
      </c>
      <c r="T39" s="301">
        <f t="shared" si="18"/>
        <v>1</v>
      </c>
      <c r="U39" s="302">
        <f t="shared" si="12"/>
        <v>1</v>
      </c>
      <c r="V39" s="302">
        <f t="shared" si="12"/>
        <v>1</v>
      </c>
      <c r="W39" s="302">
        <f t="shared" si="12"/>
        <v>1</v>
      </c>
      <c r="X39" s="303">
        <f t="shared" si="12"/>
        <v>0.99515967941447425</v>
      </c>
      <c r="Y39" s="301">
        <f t="shared" si="19"/>
        <v>1</v>
      </c>
      <c r="Z39" s="302">
        <f t="shared" si="13"/>
        <v>1</v>
      </c>
      <c r="AA39" s="302">
        <f t="shared" si="13"/>
        <v>1</v>
      </c>
      <c r="AB39" s="302">
        <f t="shared" si="13"/>
        <v>1</v>
      </c>
      <c r="AC39" s="303">
        <f t="shared" si="13"/>
        <v>0.91266863802912401</v>
      </c>
      <c r="AD39" s="333">
        <f t="shared" si="20"/>
        <v>9.6806411710517184E-4</v>
      </c>
      <c r="AE39" s="307">
        <f t="shared" si="21"/>
        <v>0.99903193588289485</v>
      </c>
      <c r="AF39" s="188">
        <f>AE39*GBDUS!K73/(Y39+Z39+AA39+AB39+AC39)</f>
        <v>22.36941284751617</v>
      </c>
      <c r="AG39" s="293">
        <f t="shared" si="22"/>
        <v>22.36941284751617</v>
      </c>
      <c r="AH39" s="293">
        <f t="shared" si="14"/>
        <v>22.36941284751617</v>
      </c>
      <c r="AI39" s="293">
        <f t="shared" si="14"/>
        <v>22.36941284751617</v>
      </c>
      <c r="AJ39" s="295">
        <f t="shared" si="14"/>
        <v>20.41586155705377</v>
      </c>
      <c r="AK39" s="274">
        <f>AE39*GBDUS!L73/(Y39+Z39+AA39+AB39+AC39)</f>
        <v>122.48591121607605</v>
      </c>
      <c r="AL39" s="278">
        <f t="shared" si="23"/>
        <v>122.48591121607605</v>
      </c>
      <c r="AM39" s="278">
        <f t="shared" si="15"/>
        <v>122.48591121607605</v>
      </c>
      <c r="AN39" s="278">
        <f t="shared" si="15"/>
        <v>122.48591121607605</v>
      </c>
      <c r="AO39" s="279">
        <f t="shared" si="15"/>
        <v>111.78904976733233</v>
      </c>
      <c r="AP39" s="277">
        <f>AE39*GBDUS!M73/(Y39+Z39+AA39+AB39+AC39)</f>
        <v>81.382153767366006</v>
      </c>
      <c r="AQ39" s="278">
        <f t="shared" si="24"/>
        <v>81.382153767366006</v>
      </c>
      <c r="AR39" s="278">
        <f t="shared" si="16"/>
        <v>81.382153767366006</v>
      </c>
      <c r="AS39" s="278">
        <f t="shared" si="16"/>
        <v>81.382153767366006</v>
      </c>
      <c r="AT39" s="279">
        <f t="shared" si="16"/>
        <v>74.27493943873867</v>
      </c>
      <c r="AU39" s="260">
        <f t="shared" si="25"/>
        <v>-0.10648705288154758</v>
      </c>
      <c r="AV39" s="238">
        <f t="shared" si="26"/>
        <v>-0.58308028886688135</v>
      </c>
      <c r="AW39" s="237">
        <f t="shared" si="27"/>
        <v>-0.38741051322699604</v>
      </c>
      <c r="AX39" s="237">
        <f t="shared" si="28"/>
        <v>-0.97049080209387739</v>
      </c>
    </row>
    <row r="40" spans="2:50" x14ac:dyDescent="0.2">
      <c r="N40" s="261"/>
      <c r="AD40" s="261"/>
      <c r="AF40" s="261"/>
      <c r="AK40" s="261"/>
      <c r="AT40" s="309" t="s">
        <v>41</v>
      </c>
      <c r="AU40" s="235">
        <f>SUM(AU24:AU39)</f>
        <v>-0.39086389511009401</v>
      </c>
      <c r="AV40" s="234">
        <f>SUM(AV24:AV39)</f>
        <v>-3.0169569566298238</v>
      </c>
      <c r="AW40" s="235">
        <f>SUM(AW24:AW39)</f>
        <v>-2.0642813392520001</v>
      </c>
      <c r="AX40" s="235">
        <f>SUM(AX24:AX39)</f>
        <v>-5.0812382958818239</v>
      </c>
    </row>
    <row r="41" spans="2:50" x14ac:dyDescent="0.2">
      <c r="AD41" s="332"/>
      <c r="AT41" s="309" t="s">
        <v>50</v>
      </c>
      <c r="AU41" s="330">
        <f>AU40/GBDUS!K74</f>
        <v>-9.6509603730887412E-4</v>
      </c>
      <c r="AV41" s="330">
        <f>AV40/GBDUS!L74</f>
        <v>-9.888132207428969E-4</v>
      </c>
      <c r="AW41" s="330">
        <f>AW40/GBDUS!M74</f>
        <v>-9.7210090690434204E-4</v>
      </c>
      <c r="AX41" s="330">
        <f>AX40/GBDUS!N74</f>
        <v>-9.8195492653290676E-4</v>
      </c>
    </row>
    <row r="42" spans="2:50" x14ac:dyDescent="0.2">
      <c r="O42" s="187"/>
      <c r="P42" s="187"/>
      <c r="Q42" s="187"/>
      <c r="R42" s="187"/>
      <c r="S42" s="187"/>
      <c r="U42" s="335"/>
      <c r="AD42" s="332"/>
    </row>
    <row r="43" spans="2:50" x14ac:dyDescent="0.2">
      <c r="AD43" s="332"/>
    </row>
    <row r="44" spans="2:50" x14ac:dyDescent="0.2">
      <c r="O44" s="187"/>
      <c r="P44" s="187"/>
      <c r="Q44" s="187"/>
      <c r="R44" s="187"/>
      <c r="S44" s="187"/>
      <c r="U44" s="187"/>
      <c r="V44" s="334"/>
      <c r="W44" s="334"/>
      <c r="X44" s="334"/>
      <c r="Y44" s="334"/>
      <c r="AD44" s="332"/>
    </row>
    <row r="45" spans="2:50" x14ac:dyDescent="0.2">
      <c r="U45" s="335"/>
      <c r="AD45" s="332"/>
    </row>
    <row r="46" spans="2:50" x14ac:dyDescent="0.2">
      <c r="AD46" s="332"/>
    </row>
    <row r="47" spans="2:50" x14ac:dyDescent="0.2">
      <c r="AD47" s="332"/>
    </row>
    <row r="48" spans="2:50" x14ac:dyDescent="0.2">
      <c r="AD48" s="332"/>
    </row>
  </sheetData>
  <mergeCells count="12">
    <mergeCell ref="AU4:AX4"/>
    <mergeCell ref="T3:X4"/>
    <mergeCell ref="D4:H4"/>
    <mergeCell ref="I4:M4"/>
    <mergeCell ref="N4:N5"/>
    <mergeCell ref="O4:S4"/>
    <mergeCell ref="AD4:AD5"/>
    <mergeCell ref="AE4:AE5"/>
    <mergeCell ref="AF4:AJ4"/>
    <mergeCell ref="AK4:AO4"/>
    <mergeCell ref="AP4:AT4"/>
    <mergeCell ref="Y4:AC4"/>
  </mergeCells>
  <pageMargins left="0.7" right="0.7" top="0.75" bottom="0.75" header="0.3" footer="0.3"/>
  <pageSetup orientation="portrait" horizontalDpi="1200" verticalDpi="12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00B050"/>
  </sheetPr>
  <dimension ref="B2:BJ48"/>
  <sheetViews>
    <sheetView showGridLines="0" workbookViewId="0"/>
  </sheetViews>
  <sheetFormatPr defaultRowHeight="12.75" x14ac:dyDescent="0.2"/>
  <cols>
    <col min="1" max="1" width="5" style="4" customWidth="1"/>
    <col min="2" max="2" width="8.7109375" style="4" customWidth="1"/>
    <col min="3" max="3" width="6.140625" style="4" bestFit="1" customWidth="1"/>
    <col min="4" max="6" width="3.5703125" style="4" bestFit="1" customWidth="1"/>
    <col min="7" max="7" width="4.5703125" style="4" customWidth="1"/>
    <col min="8" max="13" width="4.5703125" style="4" bestFit="1" customWidth="1"/>
    <col min="14" max="14" width="6.28515625" style="4" customWidth="1"/>
    <col min="15" max="20" width="4.5703125" style="4" bestFit="1" customWidth="1"/>
    <col min="21" max="21" width="5.7109375" style="4" customWidth="1"/>
    <col min="22" max="24" width="7.5703125" style="4" bestFit="1" customWidth="1"/>
    <col min="25" max="25" width="6.42578125" style="4" customWidth="1"/>
    <col min="26" max="26" width="5.5703125" style="4" customWidth="1"/>
    <col min="27" max="27" width="5.28515625" style="4" customWidth="1"/>
    <col min="28" max="28" width="5.140625" style="4" customWidth="1"/>
    <col min="29" max="29" width="5.5703125" style="4" customWidth="1"/>
    <col min="30" max="30" width="7.28515625" style="4" customWidth="1"/>
    <col min="31" max="31" width="7.42578125" style="4" customWidth="1"/>
    <col min="32" max="36" width="4.5703125" style="4" bestFit="1" customWidth="1"/>
    <col min="37" max="46" width="5.5703125" style="4" bestFit="1" customWidth="1"/>
    <col min="47" max="47" width="8.85546875" style="4" bestFit="1" customWidth="1"/>
    <col min="48" max="48" width="7" style="4" bestFit="1" customWidth="1"/>
    <col min="49" max="49" width="6.5703125" style="4" bestFit="1" customWidth="1"/>
    <col min="50" max="50" width="7.42578125" style="4" bestFit="1" customWidth="1"/>
    <col min="51" max="16384" width="9.140625" style="4"/>
  </cols>
  <sheetData>
    <row r="2" spans="2:62" x14ac:dyDescent="0.2">
      <c r="B2" s="56" t="s">
        <v>179</v>
      </c>
    </row>
    <row r="3" spans="2:62" ht="12.75" customHeight="1" x14ac:dyDescent="0.2">
      <c r="T3" s="671" t="s">
        <v>132</v>
      </c>
      <c r="U3" s="671"/>
      <c r="V3" s="671"/>
      <c r="W3" s="671"/>
      <c r="X3" s="671"/>
      <c r="Z3" s="712"/>
      <c r="AA3" s="712"/>
      <c r="AB3" s="712"/>
      <c r="AC3" s="712"/>
    </row>
    <row r="4" spans="2:62" ht="12.75" customHeight="1" x14ac:dyDescent="0.2">
      <c r="B4" s="189" t="s">
        <v>65</v>
      </c>
      <c r="C4" s="197"/>
      <c r="D4" s="673" t="s">
        <v>141</v>
      </c>
      <c r="E4" s="674"/>
      <c r="F4" s="674"/>
      <c r="G4" s="674"/>
      <c r="H4" s="675"/>
      <c r="I4" s="673" t="s">
        <v>142</v>
      </c>
      <c r="J4" s="674"/>
      <c r="K4" s="674"/>
      <c r="L4" s="674"/>
      <c r="M4" s="675"/>
      <c r="N4" s="676" t="s">
        <v>136</v>
      </c>
      <c r="O4" s="672" t="s">
        <v>163</v>
      </c>
      <c r="P4" s="671"/>
      <c r="Q4" s="671"/>
      <c r="R4" s="671"/>
      <c r="S4" s="678"/>
      <c r="T4" s="671"/>
      <c r="U4" s="671"/>
      <c r="V4" s="671"/>
      <c r="W4" s="671"/>
      <c r="X4" s="671"/>
      <c r="Y4" s="707" t="s">
        <v>166</v>
      </c>
      <c r="Z4" s="672"/>
      <c r="AA4" s="672"/>
      <c r="AB4" s="672"/>
      <c r="AC4" s="713"/>
      <c r="AD4" s="676" t="s">
        <v>2</v>
      </c>
      <c r="AE4" s="679" t="s">
        <v>165</v>
      </c>
      <c r="AF4" s="672" t="s">
        <v>164</v>
      </c>
      <c r="AG4" s="671"/>
      <c r="AH4" s="671"/>
      <c r="AI4" s="671"/>
      <c r="AJ4" s="678"/>
      <c r="AK4" s="671" t="s">
        <v>133</v>
      </c>
      <c r="AL4" s="671"/>
      <c r="AM4" s="671"/>
      <c r="AN4" s="671"/>
      <c r="AO4" s="678"/>
      <c r="AP4" s="681" t="s">
        <v>134</v>
      </c>
      <c r="AQ4" s="681"/>
      <c r="AR4" s="681"/>
      <c r="AS4" s="681"/>
      <c r="AT4" s="682"/>
      <c r="AU4" s="670" t="s">
        <v>135</v>
      </c>
      <c r="AV4" s="670"/>
      <c r="AW4" s="670"/>
      <c r="AX4" s="670"/>
      <c r="AY4" s="186"/>
      <c r="AZ4" s="186"/>
      <c r="BA4" s="186"/>
      <c r="BB4" s="186"/>
      <c r="BC4" s="186"/>
      <c r="BD4" s="186"/>
      <c r="BE4" s="186"/>
      <c r="BF4" s="186"/>
      <c r="BG4" s="186"/>
      <c r="BH4" s="186"/>
      <c r="BI4" s="186"/>
      <c r="BJ4" s="186"/>
    </row>
    <row r="5" spans="2:62" x14ac:dyDescent="0.2">
      <c r="B5" s="192" t="s">
        <v>1</v>
      </c>
      <c r="C5" s="198" t="s">
        <v>0</v>
      </c>
      <c r="D5" s="193">
        <v>1</v>
      </c>
      <c r="E5" s="193">
        <v>2</v>
      </c>
      <c r="F5" s="193">
        <v>3</v>
      </c>
      <c r="G5" s="193">
        <v>4</v>
      </c>
      <c r="H5" s="194">
        <v>5</v>
      </c>
      <c r="I5" s="193">
        <v>1</v>
      </c>
      <c r="J5" s="193">
        <v>2</v>
      </c>
      <c r="K5" s="193">
        <v>3</v>
      </c>
      <c r="L5" s="193">
        <v>4</v>
      </c>
      <c r="M5" s="194">
        <v>5</v>
      </c>
      <c r="N5" s="677"/>
      <c r="O5" s="236">
        <v>1</v>
      </c>
      <c r="P5" s="236">
        <v>2</v>
      </c>
      <c r="Q5" s="236">
        <v>3</v>
      </c>
      <c r="R5" s="236">
        <v>4</v>
      </c>
      <c r="S5" s="243">
        <v>5</v>
      </c>
      <c r="T5" s="254">
        <v>1</v>
      </c>
      <c r="U5" s="255">
        <v>2</v>
      </c>
      <c r="V5" s="255">
        <v>3</v>
      </c>
      <c r="W5" s="255">
        <v>4</v>
      </c>
      <c r="X5" s="256">
        <v>5</v>
      </c>
      <c r="Y5" s="255">
        <v>1</v>
      </c>
      <c r="Z5" s="255">
        <v>2</v>
      </c>
      <c r="AA5" s="255">
        <v>3</v>
      </c>
      <c r="AB5" s="255">
        <v>4</v>
      </c>
      <c r="AC5" s="256">
        <v>5</v>
      </c>
      <c r="AD5" s="676"/>
      <c r="AE5" s="680"/>
      <c r="AF5" s="254">
        <v>1</v>
      </c>
      <c r="AG5" s="255">
        <v>2</v>
      </c>
      <c r="AH5" s="255">
        <v>3</v>
      </c>
      <c r="AI5" s="255">
        <v>4</v>
      </c>
      <c r="AJ5" s="256">
        <v>5</v>
      </c>
      <c r="AK5" s="270">
        <v>1</v>
      </c>
      <c r="AL5" s="193">
        <v>2</v>
      </c>
      <c r="AM5" s="193">
        <v>3</v>
      </c>
      <c r="AN5" s="193">
        <v>4</v>
      </c>
      <c r="AO5" s="194">
        <v>5</v>
      </c>
      <c r="AP5" s="255">
        <v>1</v>
      </c>
      <c r="AQ5" s="255">
        <v>2</v>
      </c>
      <c r="AR5" s="255">
        <v>3</v>
      </c>
      <c r="AS5" s="255">
        <v>4</v>
      </c>
      <c r="AT5" s="256">
        <v>5</v>
      </c>
      <c r="AU5" s="271" t="s">
        <v>137</v>
      </c>
      <c r="AV5" s="255" t="s">
        <v>138</v>
      </c>
      <c r="AW5" s="255" t="s">
        <v>139</v>
      </c>
      <c r="AX5" s="255" t="s">
        <v>140</v>
      </c>
      <c r="AY5" s="186"/>
      <c r="AZ5" s="186"/>
      <c r="BA5" s="186"/>
      <c r="BB5" s="186"/>
      <c r="BC5" s="186"/>
      <c r="BD5" s="186"/>
      <c r="BE5" s="186"/>
      <c r="BF5" s="186"/>
      <c r="BG5" s="186"/>
      <c r="BH5" s="186"/>
      <c r="BI5" s="186"/>
      <c r="BJ5" s="186"/>
    </row>
    <row r="6" spans="2:62" x14ac:dyDescent="0.2">
      <c r="B6" s="190">
        <v>1</v>
      </c>
      <c r="C6" s="197" t="s">
        <v>6</v>
      </c>
      <c r="D6" s="191">
        <f>Baseline!AL31</f>
        <v>0.32584257613541145</v>
      </c>
      <c r="E6" s="191">
        <f>Baseline!AM31</f>
        <v>0.82008604845897226</v>
      </c>
      <c r="F6" s="191">
        <f>Baseline!AN31</f>
        <v>1.5541324044470577</v>
      </c>
      <c r="G6" s="191">
        <f>Baseline!AO31</f>
        <v>2.9452123165502546</v>
      </c>
      <c r="H6" s="195">
        <f>Baseline!AP31</f>
        <v>7.4125596452093143</v>
      </c>
      <c r="I6" s="191">
        <f>IF(D6+'Non-travel METs'!D6&gt;2.5, D6+'Non-travel METs'!D6, 0.1)</f>
        <v>0.1</v>
      </c>
      <c r="J6" s="191">
        <f>IF(E6+'Non-travel METs'!E6&gt;2.5, E6+'Non-travel METs'!E6, 0.1)</f>
        <v>0.1</v>
      </c>
      <c r="K6" s="191">
        <f>IF(F6+'Non-travel METs'!F6&gt;2.5, F6+'Non-travel METs'!F6, 0.1)</f>
        <v>0.1</v>
      </c>
      <c r="L6" s="191">
        <f>IF(G6+'Non-travel METs'!G6&gt;2.5, G6+'Non-travel METs'!G6, 0.1)</f>
        <v>2.9452123165502546</v>
      </c>
      <c r="M6" s="196">
        <f>IF(H6+'Non-travel METs'!H6&gt;2.5, H6+'Non-travel METs'!H6, 0.1)</f>
        <v>7.4125596452093143</v>
      </c>
      <c r="N6" s="241">
        <f>'Phy activity RRs'!$F$6</f>
        <v>0.96065247560449929</v>
      </c>
      <c r="O6" s="234">
        <f>$N6^(I6^0.5)</f>
        <v>0.98738603830564786</v>
      </c>
      <c r="P6" s="234">
        <f t="shared" ref="P6:S21" si="0">$N6^(J6^0.5)</f>
        <v>0.98738603830564786</v>
      </c>
      <c r="Q6" s="234">
        <f t="shared" si="0"/>
        <v>0.98738603830564786</v>
      </c>
      <c r="R6" s="234">
        <f t="shared" si="0"/>
        <v>0.93342828260675292</v>
      </c>
      <c r="S6" s="244">
        <f t="shared" si="0"/>
        <v>0.89646842367397883</v>
      </c>
      <c r="T6" s="248"/>
      <c r="U6" s="248"/>
      <c r="V6" s="248"/>
      <c r="W6" s="248"/>
      <c r="X6" s="249"/>
      <c r="Y6" s="235">
        <f>O6/$O6</f>
        <v>1</v>
      </c>
      <c r="Z6" s="235">
        <f t="shared" ref="Z6:AC21" si="1">P6/$O6</f>
        <v>1</v>
      </c>
      <c r="AA6" s="235">
        <f t="shared" si="1"/>
        <v>1</v>
      </c>
      <c r="AB6" s="235">
        <f t="shared" si="1"/>
        <v>0.94535292823110373</v>
      </c>
      <c r="AC6" s="259">
        <f t="shared" si="1"/>
        <v>0.90792090316804208</v>
      </c>
      <c r="AD6" s="262"/>
      <c r="AE6" s="263"/>
      <c r="AF6" s="187">
        <f>GBDUS!K92/(Y6+Z6+AA6+AB6+AC6)</f>
        <v>0</v>
      </c>
      <c r="AG6" s="187">
        <f>$AF6*Z6</f>
        <v>0</v>
      </c>
      <c r="AH6" s="187">
        <f t="shared" ref="AH6:AJ21" si="2">$AF6*AA6</f>
        <v>0</v>
      </c>
      <c r="AI6" s="187">
        <f t="shared" si="2"/>
        <v>0</v>
      </c>
      <c r="AJ6" s="265">
        <f t="shared" si="2"/>
        <v>0</v>
      </c>
      <c r="AK6" s="274">
        <f>GBDUS!L92/(Y6+Z6+AA6+AB6+AC6)</f>
        <v>0</v>
      </c>
      <c r="AL6" s="274">
        <f>$AK6*Z6</f>
        <v>0</v>
      </c>
      <c r="AM6" s="274">
        <f t="shared" ref="AM6:AO21" si="3">$AK6*AA6</f>
        <v>0</v>
      </c>
      <c r="AN6" s="274">
        <f t="shared" si="3"/>
        <v>0</v>
      </c>
      <c r="AO6" s="276">
        <f t="shared" si="3"/>
        <v>0</v>
      </c>
      <c r="AP6" s="274">
        <f>GBDUS!M92/(Y6+Z6+AA6+AB6+AC6)</f>
        <v>4.3934541714646759E-2</v>
      </c>
      <c r="AQ6" s="274">
        <f>$AP6*Z6</f>
        <v>4.3934541714646759E-2</v>
      </c>
      <c r="AR6" s="274">
        <f t="shared" ref="AR6:AT21" si="4">$AP6*AA6</f>
        <v>4.3934541714646759E-2</v>
      </c>
      <c r="AS6" s="274">
        <f t="shared" si="4"/>
        <v>4.1533647660432889E-2</v>
      </c>
      <c r="AT6" s="275">
        <f t="shared" si="4"/>
        <v>3.9889088793836104E-2</v>
      </c>
      <c r="AU6" s="272"/>
      <c r="AV6" s="272"/>
      <c r="AW6" s="272"/>
      <c r="AX6" s="272"/>
    </row>
    <row r="7" spans="2:62" x14ac:dyDescent="0.2">
      <c r="B7" s="190">
        <v>1</v>
      </c>
      <c r="C7" s="197" t="s">
        <v>7</v>
      </c>
      <c r="D7" s="191">
        <f>Baseline!AL32</f>
        <v>0.6753691820387282</v>
      </c>
      <c r="E7" s="191">
        <f>Baseline!AM32</f>
        <v>1.6997804593802961</v>
      </c>
      <c r="F7" s="191">
        <f>Baseline!AN32</f>
        <v>3.221227695962912</v>
      </c>
      <c r="G7" s="191">
        <f>Baseline!AO32</f>
        <v>6.1044988557060549</v>
      </c>
      <c r="H7" s="196">
        <f>Baseline!AP32</f>
        <v>15.363904876316242</v>
      </c>
      <c r="I7" s="191">
        <f>IF(D7+'Non-travel METs'!D7&gt;2.5, D7+'Non-travel METs'!D7, 0.1)</f>
        <v>0.1</v>
      </c>
      <c r="J7" s="191">
        <f>IF(E7+'Non-travel METs'!E7&gt;2.5, E7+'Non-travel METs'!E7, 0.1)</f>
        <v>0.1</v>
      </c>
      <c r="K7" s="191">
        <f>IF(F7+'Non-travel METs'!F7&gt;2.5, F7+'Non-travel METs'!F7, 0.1)</f>
        <v>3.221227695962912</v>
      </c>
      <c r="L7" s="191">
        <f>IF(G7+'Non-travel METs'!G7&gt;2.5, G7+'Non-travel METs'!G7, 0.1)</f>
        <v>6.1044988557060549</v>
      </c>
      <c r="M7" s="196">
        <f>IF(H7+'Non-travel METs'!H7&gt;2.5, H7+'Non-travel METs'!H7, 0.1)</f>
        <v>15.363904876316242</v>
      </c>
      <c r="N7" s="241">
        <f>'Phy activity RRs'!$F$6</f>
        <v>0.96065247560449929</v>
      </c>
      <c r="O7" s="234">
        <f t="shared" ref="O7:O13" si="5">$N7^(I7^0.5)</f>
        <v>0.98738603830564786</v>
      </c>
      <c r="P7" s="234">
        <f t="shared" si="0"/>
        <v>0.98738603830564786</v>
      </c>
      <c r="Q7" s="234">
        <f t="shared" si="0"/>
        <v>0.93048717556893679</v>
      </c>
      <c r="R7" s="234">
        <f t="shared" si="0"/>
        <v>0.9055784470738808</v>
      </c>
      <c r="S7" s="244">
        <f t="shared" si="0"/>
        <v>0.85440832083833329</v>
      </c>
      <c r="T7" s="248"/>
      <c r="U7" s="248"/>
      <c r="V7" s="248"/>
      <c r="W7" s="248"/>
      <c r="X7" s="249"/>
      <c r="Y7" s="235">
        <f t="shared" ref="Y7:Y21" si="6">O7/$O7</f>
        <v>1</v>
      </c>
      <c r="Z7" s="235">
        <f t="shared" si="1"/>
        <v>1</v>
      </c>
      <c r="AA7" s="235">
        <f t="shared" si="1"/>
        <v>0.94237424823795424</v>
      </c>
      <c r="AB7" s="235">
        <f t="shared" si="1"/>
        <v>0.91714730808615774</v>
      </c>
      <c r="AC7" s="246">
        <f t="shared" si="1"/>
        <v>0.86532347804359877</v>
      </c>
      <c r="AD7" s="263"/>
      <c r="AE7" s="263"/>
      <c r="AF7" s="187">
        <f>GBDUS!K93/(Y7+Z7+AA7+AB7+AC7)</f>
        <v>0</v>
      </c>
      <c r="AG7" s="187">
        <f t="shared" ref="AG7:AG21" si="7">$AF7*Z7</f>
        <v>0</v>
      </c>
      <c r="AH7" s="187">
        <f t="shared" si="2"/>
        <v>0</v>
      </c>
      <c r="AI7" s="187">
        <f t="shared" si="2"/>
        <v>0</v>
      </c>
      <c r="AJ7" s="265">
        <f t="shared" si="2"/>
        <v>0</v>
      </c>
      <c r="AK7" s="274">
        <f>GBDUS!L93/(Y7+Z7+AA7+AB7+AC7)</f>
        <v>0</v>
      </c>
      <c r="AL7" s="274">
        <f t="shared" ref="AL7:AL21" si="8">$AK7*Z7</f>
        <v>0</v>
      </c>
      <c r="AM7" s="274">
        <f t="shared" si="3"/>
        <v>0</v>
      </c>
      <c r="AN7" s="274">
        <f t="shared" si="3"/>
        <v>0</v>
      </c>
      <c r="AO7" s="276">
        <f t="shared" si="3"/>
        <v>0</v>
      </c>
      <c r="AP7" s="274">
        <f>GBDUS!M93/(Y7+Z7+AA7+AB7+AC7)</f>
        <v>77.118000101812385</v>
      </c>
      <c r="AQ7" s="274">
        <f t="shared" ref="AQ7:AQ21" si="9">$AP7*Z7</f>
        <v>77.118000101812385</v>
      </c>
      <c r="AR7" s="274">
        <f t="shared" si="4"/>
        <v>72.674017371559927</v>
      </c>
      <c r="AS7" s="274">
        <f t="shared" si="4"/>
        <v>70.728566198365272</v>
      </c>
      <c r="AT7" s="276">
        <f t="shared" si="4"/>
        <v>66.732016067866894</v>
      </c>
      <c r="AU7" s="272"/>
      <c r="AV7" s="272"/>
      <c r="AW7" s="272"/>
      <c r="AX7" s="272"/>
    </row>
    <row r="8" spans="2:62" x14ac:dyDescent="0.2">
      <c r="B8" s="190">
        <v>1</v>
      </c>
      <c r="C8" s="197" t="s">
        <v>8</v>
      </c>
      <c r="D8" s="191">
        <f>Baseline!AL33</f>
        <v>0.52336012682040156</v>
      </c>
      <c r="E8" s="191">
        <f>Baseline!AM33</f>
        <v>1.3172015253978522</v>
      </c>
      <c r="F8" s="191">
        <f>Baseline!AN33</f>
        <v>2.4962082669917658</v>
      </c>
      <c r="G8" s="191">
        <f>Baseline!AO33</f>
        <v>4.7305257335744315</v>
      </c>
      <c r="H8" s="196">
        <f>Baseline!AP33</f>
        <v>11.90586632966081</v>
      </c>
      <c r="I8" s="191">
        <f>IF(D8+'Non-travel METs'!D8&gt;2.5, D8+'Non-travel METs'!D8, 0.1)</f>
        <v>65.400860126820405</v>
      </c>
      <c r="J8" s="191">
        <f>IF(E8+'Non-travel METs'!E8&gt;2.5, E8+'Non-travel METs'!E8, 0.1)</f>
        <v>66.194701525397846</v>
      </c>
      <c r="K8" s="191">
        <f>IF(F8+'Non-travel METs'!F8&gt;2.5, F8+'Non-travel METs'!F8, 0.1)</f>
        <v>67.37370826699177</v>
      </c>
      <c r="L8" s="191">
        <f>IF(G8+'Non-travel METs'!G8&gt;2.5, G8+'Non-travel METs'!G8, 0.1)</f>
        <v>69.608025733574436</v>
      </c>
      <c r="M8" s="196">
        <f>IF(H8+'Non-travel METs'!H8&gt;2.5, H8+'Non-travel METs'!H8, 0.1)</f>
        <v>76.783366329660808</v>
      </c>
      <c r="N8" s="241">
        <f>'Phy activity RRs'!$F$6</f>
        <v>0.96065247560449929</v>
      </c>
      <c r="O8" s="234">
        <f t="shared" si="5"/>
        <v>0.72279031918307945</v>
      </c>
      <c r="P8" s="234">
        <f t="shared" si="0"/>
        <v>0.7213719442145492</v>
      </c>
      <c r="Q8" s="234">
        <f t="shared" si="0"/>
        <v>0.71928606410786777</v>
      </c>
      <c r="R8" s="234">
        <f t="shared" si="0"/>
        <v>0.71539880439132242</v>
      </c>
      <c r="S8" s="244">
        <f t="shared" si="0"/>
        <v>0.70345336077818743</v>
      </c>
      <c r="T8" s="248"/>
      <c r="U8" s="248"/>
      <c r="V8" s="248"/>
      <c r="W8" s="248"/>
      <c r="X8" s="249"/>
      <c r="Y8" s="235">
        <f t="shared" si="6"/>
        <v>1</v>
      </c>
      <c r="Z8" s="235">
        <f t="shared" si="1"/>
        <v>0.99803763978170967</v>
      </c>
      <c r="AA8" s="235">
        <f t="shared" si="1"/>
        <v>0.99515176811004846</v>
      </c>
      <c r="AB8" s="235">
        <f t="shared" si="1"/>
        <v>0.98977363891631642</v>
      </c>
      <c r="AC8" s="246">
        <f t="shared" si="1"/>
        <v>0.97324679386028956</v>
      </c>
      <c r="AD8" s="263"/>
      <c r="AE8" s="263"/>
      <c r="AF8" s="187">
        <f>GBDUS!K94/(Y8+Z8+AA8+AB8+AC8)</f>
        <v>0</v>
      </c>
      <c r="AG8" s="187">
        <f t="shared" si="7"/>
        <v>0</v>
      </c>
      <c r="AH8" s="187">
        <f t="shared" si="2"/>
        <v>0</v>
      </c>
      <c r="AI8" s="187">
        <f t="shared" si="2"/>
        <v>0</v>
      </c>
      <c r="AJ8" s="265">
        <f t="shared" si="2"/>
        <v>0</v>
      </c>
      <c r="AK8" s="274">
        <f>GBDUS!L94/(Y8+Z8+AA8+AB8+AC8)</f>
        <v>0</v>
      </c>
      <c r="AL8" s="274">
        <f t="shared" si="8"/>
        <v>0</v>
      </c>
      <c r="AM8" s="274">
        <f t="shared" si="3"/>
        <v>0</v>
      </c>
      <c r="AN8" s="274">
        <f t="shared" si="3"/>
        <v>0</v>
      </c>
      <c r="AO8" s="276">
        <f t="shared" si="3"/>
        <v>0</v>
      </c>
      <c r="AP8" s="274">
        <f>GBDUS!M94/(Y8+Z8+AA8+AB8+AC8)</f>
        <v>213.77775456989366</v>
      </c>
      <c r="AQ8" s="274">
        <f t="shared" si="9"/>
        <v>213.35824560877026</v>
      </c>
      <c r="AR8" s="274">
        <f t="shared" si="4"/>
        <v>212.74131044282566</v>
      </c>
      <c r="AS8" s="274">
        <f t="shared" si="4"/>
        <v>211.59158606000284</v>
      </c>
      <c r="AT8" s="276">
        <f t="shared" si="4"/>
        <v>208.05851423380088</v>
      </c>
      <c r="AU8" s="272"/>
      <c r="AV8" s="272"/>
      <c r="AW8" s="272"/>
      <c r="AX8" s="272"/>
    </row>
    <row r="9" spans="2:62" x14ac:dyDescent="0.2">
      <c r="B9" s="190">
        <v>1</v>
      </c>
      <c r="C9" s="197" t="s">
        <v>9</v>
      </c>
      <c r="D9" s="191">
        <f>Baseline!AL34</f>
        <v>0.45100860513125557</v>
      </c>
      <c r="E9" s="191">
        <f>Baseline!AM34</f>
        <v>1.1351060048376795</v>
      </c>
      <c r="F9" s="191">
        <f>Baseline!AN34</f>
        <v>2.151121858389879</v>
      </c>
      <c r="G9" s="191">
        <f>Baseline!AO34</f>
        <v>4.0765578103909643</v>
      </c>
      <c r="H9" s="196">
        <f>Baseline!AP34</f>
        <v>10.259948916708694</v>
      </c>
      <c r="I9" s="191">
        <f>IF(D9+'Non-travel METs'!D9&gt;2.5, D9+'Non-travel METs'!D9, 0.1)</f>
        <v>68.144758605131244</v>
      </c>
      <c r="J9" s="191">
        <f>IF(E9+'Non-travel METs'!E9&gt;2.5, E9+'Non-travel METs'!E9, 0.1)</f>
        <v>68.828856004837675</v>
      </c>
      <c r="K9" s="191">
        <f>IF(F9+'Non-travel METs'!F9&gt;2.5, F9+'Non-travel METs'!F9, 0.1)</f>
        <v>69.84487185838988</v>
      </c>
      <c r="L9" s="191">
        <f>IF(G9+'Non-travel METs'!G9&gt;2.5, G9+'Non-travel METs'!G9, 0.1)</f>
        <v>71.77030781039096</v>
      </c>
      <c r="M9" s="196">
        <f>IF(H9+'Non-travel METs'!H9&gt;2.5, H9+'Non-travel METs'!H9, 0.1)</f>
        <v>77.953698916708689</v>
      </c>
      <c r="N9" s="241">
        <f>'Phy activity RRs'!$F$6</f>
        <v>0.96065247560449929</v>
      </c>
      <c r="O9" s="234">
        <f t="shared" si="5"/>
        <v>0.71793502223524819</v>
      </c>
      <c r="P9" s="234">
        <f t="shared" si="0"/>
        <v>0.71674483347759255</v>
      </c>
      <c r="Q9" s="234">
        <f t="shared" si="0"/>
        <v>0.71499164227301026</v>
      </c>
      <c r="R9" s="234">
        <f t="shared" si="0"/>
        <v>0.71171538232617404</v>
      </c>
      <c r="S9" s="244">
        <f t="shared" si="0"/>
        <v>0.70157723972215214</v>
      </c>
      <c r="T9" s="248"/>
      <c r="U9" s="248"/>
      <c r="V9" s="248"/>
      <c r="W9" s="248"/>
      <c r="X9" s="249"/>
      <c r="Y9" s="235">
        <f t="shared" si="6"/>
        <v>1</v>
      </c>
      <c r="Z9" s="235">
        <f t="shared" si="1"/>
        <v>0.99834220546317676</v>
      </c>
      <c r="AA9" s="235">
        <f t="shared" si="1"/>
        <v>0.99590021398722983</v>
      </c>
      <c r="AB9" s="235">
        <f t="shared" si="1"/>
        <v>0.99133676486528033</v>
      </c>
      <c r="AC9" s="246">
        <f t="shared" si="1"/>
        <v>0.97721551114449456</v>
      </c>
      <c r="AD9" s="263"/>
      <c r="AE9" s="263"/>
      <c r="AF9" s="187">
        <f>GBDUS!K95/(Y9+Z9+AA9+AB9+AC9)</f>
        <v>0</v>
      </c>
      <c r="AG9" s="187">
        <f t="shared" si="7"/>
        <v>0</v>
      </c>
      <c r="AH9" s="187">
        <f t="shared" si="2"/>
        <v>0</v>
      </c>
      <c r="AI9" s="187">
        <f t="shared" si="2"/>
        <v>0</v>
      </c>
      <c r="AJ9" s="265">
        <f t="shared" si="2"/>
        <v>0</v>
      </c>
      <c r="AK9" s="274">
        <f>GBDUS!L95/(Y9+Z9+AA9+AB9+AC9)</f>
        <v>0</v>
      </c>
      <c r="AL9" s="274">
        <f t="shared" si="8"/>
        <v>0</v>
      </c>
      <c r="AM9" s="274">
        <f t="shared" si="3"/>
        <v>0</v>
      </c>
      <c r="AN9" s="274">
        <f t="shared" si="3"/>
        <v>0</v>
      </c>
      <c r="AO9" s="276">
        <f t="shared" si="3"/>
        <v>0</v>
      </c>
      <c r="AP9" s="274">
        <f>GBDUS!M95/(Y9+Z9+AA9+AB9+AC9)</f>
        <v>194.93551208038048</v>
      </c>
      <c r="AQ9" s="274">
        <f t="shared" si="9"/>
        <v>194.61234905342079</v>
      </c>
      <c r="AR9" s="274">
        <f t="shared" si="4"/>
        <v>194.13631819456114</v>
      </c>
      <c r="AS9" s="274">
        <f t="shared" si="4"/>
        <v>193.24673990312115</v>
      </c>
      <c r="AT9" s="276">
        <f t="shared" si="4"/>
        <v>190.49400607784281</v>
      </c>
      <c r="AU9" s="272"/>
      <c r="AV9" s="272"/>
      <c r="AW9" s="272"/>
      <c r="AX9" s="272"/>
    </row>
    <row r="10" spans="2:62" x14ac:dyDescent="0.2">
      <c r="B10" s="190">
        <v>1</v>
      </c>
      <c r="C10" s="197" t="s">
        <v>10</v>
      </c>
      <c r="D10" s="191">
        <f>Baseline!AL35</f>
        <v>0.38443114877047524</v>
      </c>
      <c r="E10" s="191">
        <f>Baseline!AM35</f>
        <v>0.96754274852254363</v>
      </c>
      <c r="F10" s="191">
        <f>Baseline!AN35</f>
        <v>1.8335753193122197</v>
      </c>
      <c r="G10" s="191">
        <f>Baseline!AO35</f>
        <v>3.4747802685976854</v>
      </c>
      <c r="H10" s="196">
        <f>Baseline!AP35</f>
        <v>8.7453851290239513</v>
      </c>
      <c r="I10" s="191">
        <f>IF(D10+'Non-travel METs'!D10&gt;2.5, D10+'Non-travel METs'!D10, 0.1)</f>
        <v>58.159431148770473</v>
      </c>
      <c r="J10" s="191">
        <f>IF(E10+'Non-travel METs'!E10&gt;2.5, E10+'Non-travel METs'!E10, 0.1)</f>
        <v>58.742542748522546</v>
      </c>
      <c r="K10" s="191">
        <f>IF(F10+'Non-travel METs'!F10&gt;2.5, F10+'Non-travel METs'!F10, 0.1)</f>
        <v>59.608575319312216</v>
      </c>
      <c r="L10" s="191">
        <f>IF(G10+'Non-travel METs'!G10&gt;2.5, G10+'Non-travel METs'!G10, 0.1)</f>
        <v>61.249780268597682</v>
      </c>
      <c r="M10" s="196">
        <f>IF(H10+'Non-travel METs'!H10&gt;2.5, H10+'Non-travel METs'!H10, 0.1)</f>
        <v>66.52038512902395</v>
      </c>
      <c r="N10" s="241">
        <f>'Phy activity RRs'!$F$6</f>
        <v>0.96065247560449929</v>
      </c>
      <c r="O10" s="234">
        <f t="shared" si="5"/>
        <v>0.73628607673719759</v>
      </c>
      <c r="P10" s="234">
        <f t="shared" si="0"/>
        <v>0.7351597966046064</v>
      </c>
      <c r="Q10" s="234">
        <f t="shared" si="0"/>
        <v>0.73350046869558205</v>
      </c>
      <c r="R10" s="234">
        <f t="shared" si="0"/>
        <v>0.73039873063158112</v>
      </c>
      <c r="S10" s="244">
        <f t="shared" si="0"/>
        <v>0.72079330057540181</v>
      </c>
      <c r="T10" s="248"/>
      <c r="U10" s="248"/>
      <c r="V10" s="248"/>
      <c r="W10" s="248"/>
      <c r="X10" s="249"/>
      <c r="Y10" s="235">
        <f t="shared" si="6"/>
        <v>1</v>
      </c>
      <c r="Z10" s="235">
        <f t="shared" si="1"/>
        <v>0.99847032265287128</v>
      </c>
      <c r="AA10" s="235">
        <f t="shared" si="1"/>
        <v>0.99621667700962135</v>
      </c>
      <c r="AB10" s="235">
        <f t="shared" si="1"/>
        <v>0.99200399641983472</v>
      </c>
      <c r="AC10" s="246">
        <f t="shared" si="1"/>
        <v>0.97895821114742387</v>
      </c>
      <c r="AD10" s="263"/>
      <c r="AE10" s="263"/>
      <c r="AF10" s="187">
        <f>GBDUS!K96/(Y10+Z10+AA10+AB10+AC10)</f>
        <v>0</v>
      </c>
      <c r="AG10" s="187">
        <f t="shared" si="7"/>
        <v>0</v>
      </c>
      <c r="AH10" s="187">
        <f t="shared" si="2"/>
        <v>0</v>
      </c>
      <c r="AI10" s="187">
        <f t="shared" si="2"/>
        <v>0</v>
      </c>
      <c r="AJ10" s="265">
        <f t="shared" si="2"/>
        <v>0</v>
      </c>
      <c r="AK10" s="274">
        <f>GBDUS!L96/(Y10+Z10+AA10+AB10+AC10)</f>
        <v>0</v>
      </c>
      <c r="AL10" s="274">
        <f t="shared" si="8"/>
        <v>0</v>
      </c>
      <c r="AM10" s="274">
        <f t="shared" si="3"/>
        <v>0</v>
      </c>
      <c r="AN10" s="274">
        <f t="shared" si="3"/>
        <v>0</v>
      </c>
      <c r="AO10" s="276">
        <f t="shared" si="3"/>
        <v>0</v>
      </c>
      <c r="AP10" s="274">
        <f>GBDUS!M96/(Y10+Z10+AA10+AB10+AC10)</f>
        <v>181.39430430394381</v>
      </c>
      <c r="AQ10" s="274">
        <f t="shared" si="9"/>
        <v>181.1168295457519</v>
      </c>
      <c r="AR10" s="274">
        <f t="shared" si="4"/>
        <v>180.70803106214697</v>
      </c>
      <c r="AS10" s="274">
        <f t="shared" si="4"/>
        <v>179.9438747973079</v>
      </c>
      <c r="AT10" s="276">
        <f t="shared" si="4"/>
        <v>177.57744365372028</v>
      </c>
      <c r="AU10" s="272"/>
      <c r="AV10" s="272"/>
      <c r="AW10" s="272"/>
      <c r="AX10" s="272"/>
    </row>
    <row r="11" spans="2:62" x14ac:dyDescent="0.2">
      <c r="B11" s="190">
        <v>1</v>
      </c>
      <c r="C11" s="197" t="s">
        <v>11</v>
      </c>
      <c r="D11" s="191">
        <f>Baseline!AL36</f>
        <v>0.31197165587745512</v>
      </c>
      <c r="E11" s="191">
        <f>Baseline!AM36</f>
        <v>0.78517548422960748</v>
      </c>
      <c r="F11" s="191">
        <f>Baseline!AN36</f>
        <v>1.4879739333593738</v>
      </c>
      <c r="G11" s="191">
        <f>Baseline!AO36</f>
        <v>2.8198364197900889</v>
      </c>
      <c r="H11" s="196">
        <f>Baseline!AP36</f>
        <v>7.0970114901293062</v>
      </c>
      <c r="I11" s="191">
        <f>IF(D11+'Non-travel METs'!D11&gt;2.5, D11+'Non-travel METs'!D11, 0.1)</f>
        <v>23.395304989210754</v>
      </c>
      <c r="J11" s="191">
        <f>IF(E11+'Non-travel METs'!E11&gt;2.5, E11+'Non-travel METs'!E11, 0.1)</f>
        <v>23.868508817562908</v>
      </c>
      <c r="K11" s="191">
        <f>IF(F11+'Non-travel METs'!F11&gt;2.5, F11+'Non-travel METs'!F11, 0.1)</f>
        <v>24.571307266692674</v>
      </c>
      <c r="L11" s="191">
        <f>IF(G11+'Non-travel METs'!G11&gt;2.5, G11+'Non-travel METs'!G11, 0.1)</f>
        <v>25.90316975312339</v>
      </c>
      <c r="M11" s="196">
        <f>IF(H11+'Non-travel METs'!H11&gt;2.5, H11+'Non-travel METs'!H11, 0.1)</f>
        <v>30.180344823462605</v>
      </c>
      <c r="N11" s="241">
        <f>'Phy activity RRs'!$F$6</f>
        <v>0.96065247560449929</v>
      </c>
      <c r="O11" s="234">
        <f t="shared" si="5"/>
        <v>0.82352256076293184</v>
      </c>
      <c r="P11" s="234">
        <f t="shared" si="0"/>
        <v>0.82191513575055009</v>
      </c>
      <c r="Q11" s="234">
        <f t="shared" si="0"/>
        <v>0.81956260240882861</v>
      </c>
      <c r="R11" s="234">
        <f t="shared" si="0"/>
        <v>0.81521271081409308</v>
      </c>
      <c r="S11" s="244">
        <f t="shared" si="0"/>
        <v>0.80209377033217588</v>
      </c>
      <c r="T11" s="248"/>
      <c r="U11" s="248"/>
      <c r="V11" s="248"/>
      <c r="W11" s="248"/>
      <c r="X11" s="249"/>
      <c r="Y11" s="235">
        <f t="shared" si="6"/>
        <v>1</v>
      </c>
      <c r="Z11" s="235">
        <f t="shared" si="1"/>
        <v>0.99804811053276721</v>
      </c>
      <c r="AA11" s="235">
        <f t="shared" si="1"/>
        <v>0.99519143913867447</v>
      </c>
      <c r="AB11" s="235">
        <f t="shared" si="1"/>
        <v>0.98990938397468997</v>
      </c>
      <c r="AC11" s="246">
        <f t="shared" si="1"/>
        <v>0.97397910943580734</v>
      </c>
      <c r="AD11" s="263"/>
      <c r="AE11" s="263"/>
      <c r="AF11" s="187">
        <f>GBDUS!K97/(Y11+Z11+AA11+AB11+AC11)</f>
        <v>0</v>
      </c>
      <c r="AG11" s="187">
        <f t="shared" si="7"/>
        <v>0</v>
      </c>
      <c r="AH11" s="187">
        <f t="shared" si="2"/>
        <v>0</v>
      </c>
      <c r="AI11" s="187">
        <f t="shared" si="2"/>
        <v>0</v>
      </c>
      <c r="AJ11" s="265">
        <f t="shared" si="2"/>
        <v>0</v>
      </c>
      <c r="AK11" s="274">
        <f>GBDUS!L97/(Y11+Z11+AA11+AB11+AC11)</f>
        <v>0</v>
      </c>
      <c r="AL11" s="274">
        <f t="shared" si="8"/>
        <v>0</v>
      </c>
      <c r="AM11" s="274">
        <f t="shared" si="3"/>
        <v>0</v>
      </c>
      <c r="AN11" s="274">
        <f t="shared" si="3"/>
        <v>0</v>
      </c>
      <c r="AO11" s="276">
        <f t="shared" si="3"/>
        <v>0</v>
      </c>
      <c r="AP11" s="274">
        <f>GBDUS!M97/(Y11+Z11+AA11+AB11+AC11)</f>
        <v>62.308890271625721</v>
      </c>
      <c r="AQ11" s="274">
        <f t="shared" si="9"/>
        <v>62.187270204989574</v>
      </c>
      <c r="AR11" s="274">
        <f t="shared" si="4"/>
        <v>62.009274180552957</v>
      </c>
      <c r="AS11" s="274">
        <f t="shared" si="4"/>
        <v>61.680155184931571</v>
      </c>
      <c r="AT11" s="276">
        <f t="shared" si="4"/>
        <v>60.687557456691458</v>
      </c>
      <c r="AU11" s="272"/>
      <c r="AV11" s="272"/>
      <c r="AW11" s="272"/>
      <c r="AX11" s="272"/>
    </row>
    <row r="12" spans="2:62" x14ac:dyDescent="0.2">
      <c r="B12" s="190">
        <v>1</v>
      </c>
      <c r="C12" s="197" t="s">
        <v>12</v>
      </c>
      <c r="D12" s="191">
        <f>Baseline!AL37</f>
        <v>0.18042378449691091</v>
      </c>
      <c r="E12" s="191">
        <f>Baseline!AM37</f>
        <v>0.45409360013958189</v>
      </c>
      <c r="F12" s="191">
        <f>Baseline!AN37</f>
        <v>0.86054576828257767</v>
      </c>
      <c r="G12" s="191">
        <f>Baseline!AO37</f>
        <v>1.6308069945963135</v>
      </c>
      <c r="H12" s="196">
        <f>Baseline!AP37</f>
        <v>4.1044423348836867</v>
      </c>
      <c r="I12" s="191">
        <f>IF(D12+'Non-travel METs'!D12&gt;2.5, D12+'Non-travel METs'!D12, 0.1)</f>
        <v>0.1</v>
      </c>
      <c r="J12" s="191">
        <f>IF(E12+'Non-travel METs'!E12&gt;2.5, E12+'Non-travel METs'!E12, 0.1)</f>
        <v>0.1</v>
      </c>
      <c r="K12" s="191">
        <f>IF(F12+'Non-travel METs'!F12&gt;2.5, F12+'Non-travel METs'!F12, 0.1)</f>
        <v>2.7355457682825777</v>
      </c>
      <c r="L12" s="191">
        <f>IF(G12+'Non-travel METs'!G12&gt;2.5, G12+'Non-travel METs'!G12, 0.1)</f>
        <v>3.5058069945963135</v>
      </c>
      <c r="M12" s="196">
        <f>IF(H12+'Non-travel METs'!H12&gt;2.5, H12+'Non-travel METs'!H12, 0.1)</f>
        <v>5.9794423348836867</v>
      </c>
      <c r="N12" s="241">
        <f>'Phy activity RRs'!$F$6</f>
        <v>0.96065247560449929</v>
      </c>
      <c r="O12" s="234">
        <f t="shared" si="5"/>
        <v>0.98738603830564786</v>
      </c>
      <c r="P12" s="234">
        <f t="shared" si="0"/>
        <v>0.98738603830564786</v>
      </c>
      <c r="Q12" s="234">
        <f t="shared" si="0"/>
        <v>0.93576235038700484</v>
      </c>
      <c r="R12" s="234">
        <f t="shared" si="0"/>
        <v>0.9275930797006674</v>
      </c>
      <c r="S12" s="244">
        <f t="shared" si="0"/>
        <v>0.90650366874977761</v>
      </c>
      <c r="T12" s="248"/>
      <c r="U12" s="248"/>
      <c r="V12" s="248"/>
      <c r="W12" s="248"/>
      <c r="X12" s="249"/>
      <c r="Y12" s="235">
        <f t="shared" si="6"/>
        <v>1</v>
      </c>
      <c r="Z12" s="235">
        <f t="shared" si="1"/>
        <v>1</v>
      </c>
      <c r="AA12" s="235">
        <f t="shared" si="1"/>
        <v>0.94771681397558638</v>
      </c>
      <c r="AB12" s="235">
        <f t="shared" si="1"/>
        <v>0.9394431799870443</v>
      </c>
      <c r="AC12" s="246">
        <f t="shared" si="1"/>
        <v>0.91808434956740503</v>
      </c>
      <c r="AD12" s="263"/>
      <c r="AE12" s="263"/>
      <c r="AF12" s="187">
        <f>GBDUS!K98/(Y12+Z12+AA12+AB12+AC12)</f>
        <v>0</v>
      </c>
      <c r="AG12" s="187">
        <f t="shared" si="7"/>
        <v>0</v>
      </c>
      <c r="AH12" s="187">
        <f t="shared" si="2"/>
        <v>0</v>
      </c>
      <c r="AI12" s="187">
        <f t="shared" si="2"/>
        <v>0</v>
      </c>
      <c r="AJ12" s="265">
        <f t="shared" si="2"/>
        <v>0</v>
      </c>
      <c r="AK12" s="274">
        <f>GBDUS!L98/(Y12+Z12+AA12+AB12+AC12)</f>
        <v>0</v>
      </c>
      <c r="AL12" s="274">
        <f t="shared" si="8"/>
        <v>0</v>
      </c>
      <c r="AM12" s="274">
        <f t="shared" si="3"/>
        <v>0</v>
      </c>
      <c r="AN12" s="274">
        <f t="shared" si="3"/>
        <v>0</v>
      </c>
      <c r="AO12" s="276">
        <f t="shared" si="3"/>
        <v>0</v>
      </c>
      <c r="AP12" s="274">
        <f>GBDUS!M98/(Y12+Z12+AA12+AB12+AC12)</f>
        <v>29.201570894819252</v>
      </c>
      <c r="AQ12" s="274">
        <f t="shared" si="9"/>
        <v>29.201570894819252</v>
      </c>
      <c r="AR12" s="274">
        <f t="shared" si="4"/>
        <v>27.674819731520316</v>
      </c>
      <c r="AS12" s="274">
        <f t="shared" si="4"/>
        <v>27.433216622046118</v>
      </c>
      <c r="AT12" s="276">
        <f t="shared" si="4"/>
        <v>26.809505221316599</v>
      </c>
      <c r="AU12" s="272"/>
      <c r="AV12" s="272"/>
      <c r="AW12" s="272"/>
      <c r="AX12" s="272"/>
    </row>
    <row r="13" spans="2:62" x14ac:dyDescent="0.2">
      <c r="B13" s="199">
        <v>1</v>
      </c>
      <c r="C13" s="200" t="s">
        <v>13</v>
      </c>
      <c r="D13" s="201">
        <f>Baseline!AL38</f>
        <v>0.16596673213865387</v>
      </c>
      <c r="E13" s="201">
        <f>Baseline!AM38</f>
        <v>0.41770784883150103</v>
      </c>
      <c r="F13" s="201">
        <f>Baseline!AN38</f>
        <v>0.79159169294584864</v>
      </c>
      <c r="G13" s="201">
        <f>Baseline!AO38</f>
        <v>1.5001331914010683</v>
      </c>
      <c r="H13" s="202">
        <f>Baseline!AP38</f>
        <v>3.7755603202295913</v>
      </c>
      <c r="I13" s="203">
        <f>IF(D13+'Non-travel METs'!D13&gt;2.5, D13+'Non-travel METs'!D13, 0.1)</f>
        <v>0.1</v>
      </c>
      <c r="J13" s="201">
        <f>IF(E13+'Non-travel METs'!E13&gt;2.5, E13+'Non-travel METs'!E13, 0.1)</f>
        <v>0.1</v>
      </c>
      <c r="K13" s="201">
        <f>IF(F13+'Non-travel METs'!F13&gt;2.5, F13+'Non-travel METs'!F13, 0.1)</f>
        <v>0.1</v>
      </c>
      <c r="L13" s="201">
        <f>IF(G13+'Non-travel METs'!G13&gt;2.5, G13+'Non-travel METs'!G13, 0.1)</f>
        <v>0.1</v>
      </c>
      <c r="M13" s="202">
        <f>IF(H13+'Non-travel METs'!H13&gt;2.5, H13+'Non-travel METs'!H13, 0.1)</f>
        <v>4.1088936535629239</v>
      </c>
      <c r="N13" s="241">
        <f>'Phy activity RRs'!$F$6</f>
        <v>0.96065247560449929</v>
      </c>
      <c r="O13" s="238">
        <f t="shared" si="5"/>
        <v>0.98738603830564786</v>
      </c>
      <c r="P13" s="238">
        <f t="shared" si="0"/>
        <v>0.98738603830564786</v>
      </c>
      <c r="Q13" s="238">
        <f t="shared" si="0"/>
        <v>0.98738603830564786</v>
      </c>
      <c r="R13" s="238">
        <f t="shared" si="0"/>
        <v>0.98738603830564786</v>
      </c>
      <c r="S13" s="245">
        <f t="shared" si="0"/>
        <v>0.92185198408468227</v>
      </c>
      <c r="T13" s="248"/>
      <c r="U13" s="248"/>
      <c r="V13" s="248"/>
      <c r="W13" s="248"/>
      <c r="X13" s="249"/>
      <c r="Y13" s="260">
        <f t="shared" si="6"/>
        <v>1</v>
      </c>
      <c r="Z13" s="237">
        <f t="shared" si="1"/>
        <v>1</v>
      </c>
      <c r="AA13" s="237">
        <f t="shared" si="1"/>
        <v>1</v>
      </c>
      <c r="AB13" s="237">
        <f t="shared" si="1"/>
        <v>1</v>
      </c>
      <c r="AC13" s="247">
        <f t="shared" si="1"/>
        <v>0.93362874126372919</v>
      </c>
      <c r="AD13" s="263"/>
      <c r="AE13" s="263"/>
      <c r="AF13" s="187">
        <f>GBDUS!K99/(Y13+Z13+AA13+AB13+AC13)</f>
        <v>0</v>
      </c>
      <c r="AG13" s="267">
        <f t="shared" si="7"/>
        <v>0</v>
      </c>
      <c r="AH13" s="267">
        <f t="shared" si="2"/>
        <v>0</v>
      </c>
      <c r="AI13" s="267">
        <f t="shared" si="2"/>
        <v>0</v>
      </c>
      <c r="AJ13" s="268">
        <f t="shared" si="2"/>
        <v>0</v>
      </c>
      <c r="AK13" s="274">
        <f>GBDUS!L99/(Y13+Z13+AA13+AB13+AC13)</f>
        <v>0</v>
      </c>
      <c r="AL13" s="278">
        <f t="shared" si="8"/>
        <v>0</v>
      </c>
      <c r="AM13" s="278">
        <f t="shared" si="3"/>
        <v>0</v>
      </c>
      <c r="AN13" s="278">
        <f t="shared" si="3"/>
        <v>0</v>
      </c>
      <c r="AO13" s="279">
        <f t="shared" si="3"/>
        <v>0</v>
      </c>
      <c r="AP13" s="277">
        <f>GBDUS!M99/(Y13+Z13+AA13+AB13+AC13)</f>
        <v>17.162721500952035</v>
      </c>
      <c r="AQ13" s="278">
        <f t="shared" si="9"/>
        <v>17.162721500952035</v>
      </c>
      <c r="AR13" s="278">
        <f t="shared" si="4"/>
        <v>17.162721500952035</v>
      </c>
      <c r="AS13" s="278">
        <f t="shared" si="4"/>
        <v>17.162721500952035</v>
      </c>
      <c r="AT13" s="279">
        <f t="shared" si="4"/>
        <v>16.02361007159379</v>
      </c>
      <c r="AU13" s="272"/>
      <c r="AV13" s="272"/>
      <c r="AW13" s="272"/>
      <c r="AX13" s="272"/>
    </row>
    <row r="14" spans="2:62" x14ac:dyDescent="0.2">
      <c r="B14" s="190">
        <v>2</v>
      </c>
      <c r="C14" s="197" t="s">
        <v>6</v>
      </c>
      <c r="D14" s="191">
        <f>Baseline!AL39</f>
        <v>0.58571636315218234</v>
      </c>
      <c r="E14" s="191">
        <f>Baseline!AM39</f>
        <v>1.4741407445036221</v>
      </c>
      <c r="F14" s="191">
        <f>Baseline!AN39</f>
        <v>2.7936213572390822</v>
      </c>
      <c r="G14" s="191">
        <f>Baseline!AO39</f>
        <v>5.2941486874445172</v>
      </c>
      <c r="H14" s="196">
        <f>Baseline!AP39</f>
        <v>13.324402011959144</v>
      </c>
      <c r="I14" s="191">
        <f>IF(D14+'Non-travel METs'!D14&gt;2.5, D14+'Non-travel METs'!D14, 0.1)</f>
        <v>0.1</v>
      </c>
      <c r="J14" s="191">
        <f>IF(E14+'Non-travel METs'!E14&gt;2.5, E14+'Non-travel METs'!E14, 0.1)</f>
        <v>0.1</v>
      </c>
      <c r="K14" s="191">
        <f>IF(F14+'Non-travel METs'!F14&gt;2.5, F14+'Non-travel METs'!F14, 0.1)</f>
        <v>2.7936213572390822</v>
      </c>
      <c r="L14" s="191">
        <f>IF(G14+'Non-travel METs'!G14&gt;2.5, G14+'Non-travel METs'!G14, 0.1)</f>
        <v>5.2941486874445172</v>
      </c>
      <c r="M14" s="196">
        <f>IF(H14+'Non-travel METs'!H14&gt;2.5, H14+'Non-travel METs'!H14, 0.1)</f>
        <v>13.324402011959144</v>
      </c>
      <c r="N14" s="336">
        <f>'Phy activity RRs'!$F$7</f>
        <v>0.97288384048792509</v>
      </c>
      <c r="O14" s="235">
        <f>$N14^(I14^0.5)</f>
        <v>0.99134439051762713</v>
      </c>
      <c r="P14" s="235">
        <f t="shared" si="0"/>
        <v>0.99134439051762713</v>
      </c>
      <c r="Q14" s="235">
        <f t="shared" si="0"/>
        <v>0.95509150759542605</v>
      </c>
      <c r="R14" s="235">
        <f t="shared" si="0"/>
        <v>0.93870582134453129</v>
      </c>
      <c r="S14" s="246">
        <f t="shared" si="0"/>
        <v>0.9045227665735025</v>
      </c>
      <c r="T14" s="248"/>
      <c r="U14" s="248"/>
      <c r="V14" s="248"/>
      <c r="W14" s="248"/>
      <c r="X14" s="249"/>
      <c r="Y14" s="235">
        <f t="shared" si="6"/>
        <v>1</v>
      </c>
      <c r="Z14" s="235">
        <f t="shared" si="1"/>
        <v>1</v>
      </c>
      <c r="AA14" s="235">
        <f t="shared" si="1"/>
        <v>0.96343058651567925</v>
      </c>
      <c r="AB14" s="235">
        <f t="shared" si="1"/>
        <v>0.94690183383636151</v>
      </c>
      <c r="AC14" s="246">
        <f t="shared" si="1"/>
        <v>0.91242032055198197</v>
      </c>
      <c r="AD14" s="263"/>
      <c r="AE14" s="263"/>
      <c r="AF14" s="384">
        <f>GBDUS!K100/(Y14+Z14+AA14+AB14+AC14)</f>
        <v>0</v>
      </c>
      <c r="AG14" s="187">
        <f t="shared" si="7"/>
        <v>0</v>
      </c>
      <c r="AH14" s="187">
        <f t="shared" si="2"/>
        <v>0</v>
      </c>
      <c r="AI14" s="187">
        <f t="shared" si="2"/>
        <v>0</v>
      </c>
      <c r="AJ14" s="265">
        <f t="shared" si="2"/>
        <v>0</v>
      </c>
      <c r="AK14" s="382">
        <f>GBDUS!L100/(Y14+Z14+AA14+AB14+AC14)</f>
        <v>0</v>
      </c>
      <c r="AL14" s="274">
        <f t="shared" si="8"/>
        <v>0</v>
      </c>
      <c r="AM14" s="274">
        <f t="shared" si="3"/>
        <v>0</v>
      </c>
      <c r="AN14" s="274">
        <f t="shared" si="3"/>
        <v>0</v>
      </c>
      <c r="AO14" s="276">
        <f t="shared" si="3"/>
        <v>0</v>
      </c>
      <c r="AP14" s="274">
        <f>GBDUS!M100/(Y14+Z14+AA14+AB14+AC14)</f>
        <v>7.4224367768958133E-2</v>
      </c>
      <c r="AQ14" s="274">
        <f t="shared" si="9"/>
        <v>7.4224367768958133E-2</v>
      </c>
      <c r="AR14" s="274">
        <f t="shared" si="4"/>
        <v>7.151002617340281E-2</v>
      </c>
      <c r="AS14" s="274">
        <f t="shared" si="4"/>
        <v>7.0283189955770986E-2</v>
      </c>
      <c r="AT14" s="276">
        <f t="shared" si="4"/>
        <v>6.7723821432520981E-2</v>
      </c>
      <c r="AU14" s="272"/>
      <c r="AV14" s="272"/>
      <c r="AW14" s="272"/>
      <c r="AX14" s="272"/>
    </row>
    <row r="15" spans="2:62" x14ac:dyDescent="0.2">
      <c r="B15" s="190">
        <v>2</v>
      </c>
      <c r="C15" s="197" t="s">
        <v>7</v>
      </c>
      <c r="D15" s="191">
        <f>Baseline!AL40</f>
        <v>0.43674060992104319</v>
      </c>
      <c r="E15" s="191">
        <f>Baseline!AM40</f>
        <v>1.099196075723591</v>
      </c>
      <c r="F15" s="191">
        <f>Baseline!AN40</f>
        <v>2.0830695063440512</v>
      </c>
      <c r="G15" s="191">
        <f>Baseline!AO40</f>
        <v>3.9475928490774548</v>
      </c>
      <c r="H15" s="196">
        <f>Baseline!AP40</f>
        <v>9.9353677438993167</v>
      </c>
      <c r="I15" s="191">
        <f>IF(D15+'Non-travel METs'!D15&gt;2.5, D15+'Non-travel METs'!D15, 0.1)</f>
        <v>0.1</v>
      </c>
      <c r="J15" s="191">
        <f>IF(E15+'Non-travel METs'!E15&gt;2.5, E15+'Non-travel METs'!E15, 0.1)</f>
        <v>0.1</v>
      </c>
      <c r="K15" s="191">
        <f>IF(F15+'Non-travel METs'!F15&gt;2.5, F15+'Non-travel METs'!F15, 0.1)</f>
        <v>0.1</v>
      </c>
      <c r="L15" s="191">
        <f>IF(G15+'Non-travel METs'!G15&gt;2.5, G15+'Non-travel METs'!G15, 0.1)</f>
        <v>3.9475928490774548</v>
      </c>
      <c r="M15" s="196">
        <f>IF(H15+'Non-travel METs'!H15&gt;2.5, H15+'Non-travel METs'!H15, 0.1)</f>
        <v>9.9353677438993167</v>
      </c>
      <c r="N15" s="241">
        <f>'Phy activity RRs'!$F$7</f>
        <v>0.97288384048792509</v>
      </c>
      <c r="O15" s="235">
        <f t="shared" ref="O15:O21" si="10">$N15^(I15^0.5)</f>
        <v>0.99134439051762713</v>
      </c>
      <c r="P15" s="235">
        <f t="shared" si="0"/>
        <v>0.99134439051762713</v>
      </c>
      <c r="Q15" s="235">
        <f t="shared" si="0"/>
        <v>0.99134439051762713</v>
      </c>
      <c r="R15" s="235">
        <f t="shared" si="0"/>
        <v>0.94684506038266092</v>
      </c>
      <c r="S15" s="246">
        <f t="shared" si="0"/>
        <v>0.91699663194750414</v>
      </c>
      <c r="T15" s="248"/>
      <c r="U15" s="248"/>
      <c r="V15" s="248"/>
      <c r="W15" s="248"/>
      <c r="X15" s="249"/>
      <c r="Y15" s="235">
        <f t="shared" si="6"/>
        <v>1</v>
      </c>
      <c r="Z15" s="235">
        <f t="shared" si="1"/>
        <v>1</v>
      </c>
      <c r="AA15" s="235">
        <f t="shared" si="1"/>
        <v>1</v>
      </c>
      <c r="AB15" s="235">
        <f t="shared" si="1"/>
        <v>0.95511213806159634</v>
      </c>
      <c r="AC15" s="246">
        <f t="shared" si="1"/>
        <v>0.92500309752970655</v>
      </c>
      <c r="AD15" s="263"/>
      <c r="AE15" s="263"/>
      <c r="AF15" s="187">
        <f>GBDUS!K101/(Y15+Z15+AA15+AB15+AC15)</f>
        <v>0</v>
      </c>
      <c r="AG15" s="187">
        <f t="shared" si="7"/>
        <v>0</v>
      </c>
      <c r="AH15" s="187">
        <f t="shared" si="2"/>
        <v>0</v>
      </c>
      <c r="AI15" s="187">
        <f t="shared" si="2"/>
        <v>0</v>
      </c>
      <c r="AJ15" s="265">
        <f t="shared" si="2"/>
        <v>0</v>
      </c>
      <c r="AK15" s="274">
        <f>GBDUS!L101/(Y15+Z15+AA15+AB15+AC15)</f>
        <v>0</v>
      </c>
      <c r="AL15" s="274">
        <f t="shared" si="8"/>
        <v>0</v>
      </c>
      <c r="AM15" s="274">
        <f t="shared" si="3"/>
        <v>0</v>
      </c>
      <c r="AN15" s="274">
        <f t="shared" si="3"/>
        <v>0</v>
      </c>
      <c r="AO15" s="276">
        <f t="shared" si="3"/>
        <v>0</v>
      </c>
      <c r="AP15" s="274">
        <f>GBDUS!M101/(Y15+Z15+AA15+AB15+AC15)</f>
        <v>117.15101263836445</v>
      </c>
      <c r="AQ15" s="274">
        <f t="shared" si="9"/>
        <v>117.15101263836445</v>
      </c>
      <c r="AR15" s="274">
        <f t="shared" si="4"/>
        <v>117.15101263836445</v>
      </c>
      <c r="AS15" s="274">
        <f t="shared" si="4"/>
        <v>111.89235415710937</v>
      </c>
      <c r="AT15" s="276">
        <f t="shared" si="4"/>
        <v>108.36504956922892</v>
      </c>
      <c r="AU15" s="272"/>
      <c r="AV15" s="272"/>
      <c r="AW15" s="272"/>
      <c r="AX15" s="272"/>
    </row>
    <row r="16" spans="2:62" x14ac:dyDescent="0.2">
      <c r="B16" s="190">
        <v>2</v>
      </c>
      <c r="C16" s="197" t="s">
        <v>8</v>
      </c>
      <c r="D16" s="191">
        <f>Baseline!AL41</f>
        <v>0.42061144034593556</v>
      </c>
      <c r="E16" s="191">
        <f>Baseline!AM41</f>
        <v>1.0586019118219474</v>
      </c>
      <c r="F16" s="191">
        <f>Baseline!AN41</f>
        <v>2.0061401332989548</v>
      </c>
      <c r="G16" s="191">
        <f>Baseline!AO41</f>
        <v>3.8018051823712069</v>
      </c>
      <c r="H16" s="196">
        <f>Baseline!AP41</f>
        <v>9.568446904636458</v>
      </c>
      <c r="I16" s="191">
        <f>IF(D16+'Non-travel METs'!D16&gt;2.5, D16+'Non-travel METs'!D16, 0.1)</f>
        <v>37.920611440345937</v>
      </c>
      <c r="J16" s="191">
        <f>IF(E16+'Non-travel METs'!E16&gt;2.5, E16+'Non-travel METs'!E16, 0.1)</f>
        <v>38.558601911821945</v>
      </c>
      <c r="K16" s="191">
        <f>IF(F16+'Non-travel METs'!F16&gt;2.5, F16+'Non-travel METs'!F16, 0.1)</f>
        <v>39.506140133298956</v>
      </c>
      <c r="L16" s="191">
        <f>IF(G16+'Non-travel METs'!G16&gt;2.5, G16+'Non-travel METs'!G16, 0.1)</f>
        <v>41.301805182371204</v>
      </c>
      <c r="M16" s="196">
        <f>IF(H16+'Non-travel METs'!H16&gt;2.5, H16+'Non-travel METs'!H16, 0.1)</f>
        <v>47.06844690463646</v>
      </c>
      <c r="N16" s="241">
        <f>'Phy activity RRs'!$F$7</f>
        <v>0.97288384048792509</v>
      </c>
      <c r="O16" s="235">
        <f t="shared" si="10"/>
        <v>0.84426720035653635</v>
      </c>
      <c r="P16" s="235">
        <f t="shared" si="0"/>
        <v>0.84307077037545886</v>
      </c>
      <c r="Q16" s="235">
        <f t="shared" si="0"/>
        <v>0.84131504047815808</v>
      </c>
      <c r="R16" s="235">
        <f t="shared" si="0"/>
        <v>0.83805434822316949</v>
      </c>
      <c r="S16" s="246">
        <f t="shared" si="0"/>
        <v>0.82811507825844721</v>
      </c>
      <c r="T16" s="248"/>
      <c r="U16" s="248"/>
      <c r="V16" s="248"/>
      <c r="W16" s="248"/>
      <c r="X16" s="249"/>
      <c r="Y16" s="235">
        <f t="shared" si="6"/>
        <v>1</v>
      </c>
      <c r="Z16" s="235">
        <f t="shared" si="1"/>
        <v>0.99858287757646835</v>
      </c>
      <c r="AA16" s="235">
        <f t="shared" si="1"/>
        <v>0.99650328725653259</v>
      </c>
      <c r="AB16" s="235">
        <f t="shared" si="1"/>
        <v>0.99264113052035763</v>
      </c>
      <c r="AC16" s="246">
        <f t="shared" si="1"/>
        <v>0.98086847139001954</v>
      </c>
      <c r="AD16" s="263"/>
      <c r="AE16" s="263"/>
      <c r="AF16" s="187">
        <f>GBDUS!K102/(Y16+Z16+AA16+AB16+AC16)</f>
        <v>0</v>
      </c>
      <c r="AG16" s="187">
        <f t="shared" si="7"/>
        <v>0</v>
      </c>
      <c r="AH16" s="187">
        <f t="shared" si="2"/>
        <v>0</v>
      </c>
      <c r="AI16" s="187">
        <f t="shared" si="2"/>
        <v>0</v>
      </c>
      <c r="AJ16" s="265">
        <f t="shared" si="2"/>
        <v>0</v>
      </c>
      <c r="AK16" s="274">
        <f>GBDUS!L102/(Y16+Z16+AA16+AB16+AC16)</f>
        <v>0</v>
      </c>
      <c r="AL16" s="274">
        <f t="shared" si="8"/>
        <v>0</v>
      </c>
      <c r="AM16" s="274">
        <f t="shared" si="3"/>
        <v>0</v>
      </c>
      <c r="AN16" s="274">
        <f t="shared" si="3"/>
        <v>0</v>
      </c>
      <c r="AO16" s="276">
        <f t="shared" si="3"/>
        <v>0</v>
      </c>
      <c r="AP16" s="274">
        <f>GBDUS!M102/(Y16+Z16+AA16+AB16+AC16)</f>
        <v>334.08189488604796</v>
      </c>
      <c r="AQ16" s="274">
        <f t="shared" si="9"/>
        <v>333.60845994150901</v>
      </c>
      <c r="AR16" s="274">
        <f t="shared" si="4"/>
        <v>332.91370646683816</v>
      </c>
      <c r="AS16" s="274">
        <f t="shared" si="4"/>
        <v>331.62342982606992</v>
      </c>
      <c r="AT16" s="276">
        <f t="shared" si="4"/>
        <v>327.69039755595907</v>
      </c>
      <c r="AU16" s="272"/>
      <c r="AV16" s="272"/>
      <c r="AW16" s="272"/>
      <c r="AX16" s="272"/>
    </row>
    <row r="17" spans="2:50" x14ac:dyDescent="0.2">
      <c r="B17" s="190">
        <v>2</v>
      </c>
      <c r="C17" s="197" t="s">
        <v>9</v>
      </c>
      <c r="D17" s="191">
        <f>Baseline!AL42</f>
        <v>0.35430197088303461</v>
      </c>
      <c r="E17" s="191">
        <f>Baseline!AM42</f>
        <v>0.89171312941604497</v>
      </c>
      <c r="F17" s="191">
        <f>Baseline!AN42</f>
        <v>1.6898717793096323</v>
      </c>
      <c r="G17" s="191">
        <f>Baseline!AO42</f>
        <v>3.2024499093976431</v>
      </c>
      <c r="H17" s="196">
        <f>Baseline!AP42</f>
        <v>8.0599795236528315</v>
      </c>
      <c r="I17" s="191">
        <f>IF(D17+'Non-travel METs'!D17&gt;2.5, D17+'Non-travel METs'!D17, 0.1)</f>
        <v>37.917635304216333</v>
      </c>
      <c r="J17" s="191">
        <f>IF(E17+'Non-travel METs'!E17&gt;2.5, E17+'Non-travel METs'!E17, 0.1)</f>
        <v>38.455046462749344</v>
      </c>
      <c r="K17" s="191">
        <f>IF(F17+'Non-travel METs'!F17&gt;2.5, F17+'Non-travel METs'!F17, 0.1)</f>
        <v>39.253205112642931</v>
      </c>
      <c r="L17" s="191">
        <f>IF(G17+'Non-travel METs'!G17&gt;2.5, G17+'Non-travel METs'!G17, 0.1)</f>
        <v>40.76578324273094</v>
      </c>
      <c r="M17" s="196">
        <f>IF(H17+'Non-travel METs'!H17&gt;2.5, H17+'Non-travel METs'!H17, 0.1)</f>
        <v>45.623312856986132</v>
      </c>
      <c r="N17" s="241">
        <f>'Phy activity RRs'!$F$7</f>
        <v>0.97288384048792509</v>
      </c>
      <c r="O17" s="235">
        <f t="shared" si="10"/>
        <v>0.84427280901535096</v>
      </c>
      <c r="P17" s="235">
        <f t="shared" si="0"/>
        <v>0.84326417731840952</v>
      </c>
      <c r="Q17" s="235">
        <f t="shared" si="0"/>
        <v>0.84178127717258855</v>
      </c>
      <c r="R17" s="235">
        <f t="shared" si="0"/>
        <v>0.83901882111433967</v>
      </c>
      <c r="S17" s="246">
        <f t="shared" si="0"/>
        <v>0.83053496052867248</v>
      </c>
      <c r="T17" s="248"/>
      <c r="U17" s="248"/>
      <c r="V17" s="248"/>
      <c r="W17" s="248"/>
      <c r="X17" s="249"/>
      <c r="Y17" s="235">
        <f t="shared" si="6"/>
        <v>1</v>
      </c>
      <c r="Z17" s="235">
        <f t="shared" si="1"/>
        <v>0.99880532490662854</v>
      </c>
      <c r="AA17" s="235">
        <f t="shared" si="1"/>
        <v>0.99704890194714646</v>
      </c>
      <c r="AB17" s="235">
        <f t="shared" si="1"/>
        <v>0.99377690736346369</v>
      </c>
      <c r="AC17" s="246">
        <f t="shared" si="1"/>
        <v>0.98372818792695638</v>
      </c>
      <c r="AD17" s="263"/>
      <c r="AE17" s="263"/>
      <c r="AF17" s="187">
        <f>GBDUS!K103/(Y17+Z17+AA17+AB17+AC17)</f>
        <v>0</v>
      </c>
      <c r="AG17" s="187">
        <f t="shared" si="7"/>
        <v>0</v>
      </c>
      <c r="AH17" s="187">
        <f t="shared" si="2"/>
        <v>0</v>
      </c>
      <c r="AI17" s="187">
        <f t="shared" si="2"/>
        <v>0</v>
      </c>
      <c r="AJ17" s="265">
        <f t="shared" si="2"/>
        <v>0</v>
      </c>
      <c r="AK17" s="274">
        <f>GBDUS!L103/(Y17+Z17+AA17+AB17+AC17)</f>
        <v>0</v>
      </c>
      <c r="AL17" s="274">
        <f t="shared" si="8"/>
        <v>0</v>
      </c>
      <c r="AM17" s="274">
        <f t="shared" si="3"/>
        <v>0</v>
      </c>
      <c r="AN17" s="274">
        <f t="shared" si="3"/>
        <v>0</v>
      </c>
      <c r="AO17" s="276">
        <f t="shared" si="3"/>
        <v>0</v>
      </c>
      <c r="AP17" s="274">
        <f>GBDUS!M103/(Y17+Z17+AA17+AB17+AC17)</f>
        <v>321.8685756183973</v>
      </c>
      <c r="AQ17" s="274">
        <f t="shared" si="9"/>
        <v>321.48404724776708</v>
      </c>
      <c r="AR17" s="274">
        <f t="shared" si="4"/>
        <v>320.91870989161509</v>
      </c>
      <c r="AS17" s="274">
        <f t="shared" si="4"/>
        <v>319.86555765553402</v>
      </c>
      <c r="AT17" s="276">
        <f t="shared" si="4"/>
        <v>316.63119064371654</v>
      </c>
      <c r="AU17" s="272"/>
      <c r="AV17" s="272"/>
      <c r="AW17" s="272"/>
      <c r="AX17" s="272"/>
    </row>
    <row r="18" spans="2:50" x14ac:dyDescent="0.2">
      <c r="B18" s="190">
        <v>2</v>
      </c>
      <c r="C18" s="197" t="s">
        <v>10</v>
      </c>
      <c r="D18" s="191">
        <f>Baseline!AL43</f>
        <v>0.26733773499708668</v>
      </c>
      <c r="E18" s="191">
        <f>Baseline!AM43</f>
        <v>0.67284008522760486</v>
      </c>
      <c r="F18" s="191">
        <f>Baseline!AN43</f>
        <v>1.2750888536978389</v>
      </c>
      <c r="G18" s="191">
        <f>Baseline!AO43</f>
        <v>2.4164011932708851</v>
      </c>
      <c r="H18" s="196">
        <f>Baseline!AP43</f>
        <v>6.0816389607033488</v>
      </c>
      <c r="I18" s="191">
        <f>IF(D18+'Non-travel METs'!D18&gt;2.5, D18+'Non-travel METs'!D18, 0.1)</f>
        <v>38.020671068330387</v>
      </c>
      <c r="J18" s="191">
        <f>IF(E18+'Non-travel METs'!E18&gt;2.5, E18+'Non-travel METs'!E18, 0.1)</f>
        <v>38.426173418560907</v>
      </c>
      <c r="K18" s="191">
        <f>IF(F18+'Non-travel METs'!F18&gt;2.5, F18+'Non-travel METs'!F18, 0.1)</f>
        <v>39.02842218703114</v>
      </c>
      <c r="L18" s="191">
        <f>IF(G18+'Non-travel METs'!G18&gt;2.5, G18+'Non-travel METs'!G18, 0.1)</f>
        <v>40.169734526604188</v>
      </c>
      <c r="M18" s="196">
        <f>IF(H18+'Non-travel METs'!H18&gt;2.5, H18+'Non-travel METs'!H18, 0.1)</f>
        <v>43.834972294036653</v>
      </c>
      <c r="N18" s="241">
        <f>'Phy activity RRs'!$F$7</f>
        <v>0.97288384048792509</v>
      </c>
      <c r="O18" s="235">
        <f t="shared" si="10"/>
        <v>0.84407878318591245</v>
      </c>
      <c r="P18" s="235">
        <f t="shared" si="0"/>
        <v>0.84331815683779909</v>
      </c>
      <c r="Q18" s="235">
        <f t="shared" si="0"/>
        <v>0.84219710099167244</v>
      </c>
      <c r="R18" s="235">
        <f t="shared" si="0"/>
        <v>0.8401000945581234</v>
      </c>
      <c r="S18" s="246">
        <f t="shared" si="0"/>
        <v>0.833593308989662</v>
      </c>
      <c r="T18" s="248"/>
      <c r="U18" s="248"/>
      <c r="V18" s="248"/>
      <c r="W18" s="248"/>
      <c r="X18" s="249"/>
      <c r="Y18" s="235">
        <f t="shared" si="6"/>
        <v>1</v>
      </c>
      <c r="Z18" s="235">
        <f t="shared" si="1"/>
        <v>0.99909886806389991</v>
      </c>
      <c r="AA18" s="235">
        <f t="shared" si="1"/>
        <v>0.99777072681872447</v>
      </c>
      <c r="AB18" s="235">
        <f t="shared" si="1"/>
        <v>0.99528635394344145</v>
      </c>
      <c r="AC18" s="246">
        <f t="shared" si="1"/>
        <v>0.9875776119420111</v>
      </c>
      <c r="AD18" s="263"/>
      <c r="AE18" s="263"/>
      <c r="AF18" s="187">
        <f>GBDUS!K104/(Y18+Z18+AA18+AB18+AC18)</f>
        <v>0</v>
      </c>
      <c r="AG18" s="187">
        <f t="shared" si="7"/>
        <v>0</v>
      </c>
      <c r="AH18" s="187">
        <f t="shared" si="2"/>
        <v>0</v>
      </c>
      <c r="AI18" s="187">
        <f t="shared" si="2"/>
        <v>0</v>
      </c>
      <c r="AJ18" s="265">
        <f t="shared" si="2"/>
        <v>0</v>
      </c>
      <c r="AK18" s="274">
        <f>GBDUS!L104/(Y18+Z18+AA18+AB18+AC18)</f>
        <v>0</v>
      </c>
      <c r="AL18" s="274">
        <f t="shared" si="8"/>
        <v>0</v>
      </c>
      <c r="AM18" s="274">
        <f t="shared" si="3"/>
        <v>0</v>
      </c>
      <c r="AN18" s="274">
        <f t="shared" si="3"/>
        <v>0</v>
      </c>
      <c r="AO18" s="276">
        <f t="shared" si="3"/>
        <v>0</v>
      </c>
      <c r="AP18" s="274">
        <f>GBDUS!M104/(Y18+Z18+AA18+AB18+AC18)</f>
        <v>315.9366628080445</v>
      </c>
      <c r="AQ18" s="274">
        <f t="shared" si="9"/>
        <v>315.6519621914033</v>
      </c>
      <c r="AR18" s="274">
        <f t="shared" si="4"/>
        <v>315.23235367866482</v>
      </c>
      <c r="AS18" s="274">
        <f t="shared" si="4"/>
        <v>314.44744920327707</v>
      </c>
      <c r="AT18" s="276">
        <f t="shared" si="4"/>
        <v>312.01197498089698</v>
      </c>
      <c r="AU18" s="272"/>
      <c r="AV18" s="272"/>
      <c r="AW18" s="272"/>
      <c r="AX18" s="272"/>
    </row>
    <row r="19" spans="2:50" x14ac:dyDescent="0.2">
      <c r="B19" s="190">
        <v>2</v>
      </c>
      <c r="C19" s="197" t="s">
        <v>11</v>
      </c>
      <c r="D19" s="191">
        <f>Baseline!AL44</f>
        <v>0.17691769036532026</v>
      </c>
      <c r="E19" s="191">
        <f>Baseline!AM44</f>
        <v>0.44526940375615254</v>
      </c>
      <c r="F19" s="191">
        <f>Baseline!AN44</f>
        <v>0.84382317000345575</v>
      </c>
      <c r="G19" s="191">
        <f>Baseline!AO44</f>
        <v>1.5991162568731561</v>
      </c>
      <c r="H19" s="196">
        <f>Baseline!AP44</f>
        <v>4.0246825558505925</v>
      </c>
      <c r="I19" s="191">
        <f>IF(D19+'Non-travel METs'!D19&gt;2.5, D19+'Non-travel METs'!D19, 0.1)</f>
        <v>9.17691769036532</v>
      </c>
      <c r="J19" s="191">
        <f>IF(E19+'Non-travel METs'!E19&gt;2.5, E19+'Non-travel METs'!E19, 0.1)</f>
        <v>9.4452694037561518</v>
      </c>
      <c r="K19" s="191">
        <f>IF(F19+'Non-travel METs'!F19&gt;2.5, F19+'Non-travel METs'!F19, 0.1)</f>
        <v>9.8438231700034553</v>
      </c>
      <c r="L19" s="191">
        <f>IF(G19+'Non-travel METs'!G19&gt;2.5, G19+'Non-travel METs'!G19, 0.1)</f>
        <v>10.599116256873156</v>
      </c>
      <c r="M19" s="196">
        <f>IF(H19+'Non-travel METs'!H19&gt;2.5, H19+'Non-travel METs'!H19, 0.1)</f>
        <v>13.024682555850593</v>
      </c>
      <c r="N19" s="241">
        <f>'Phy activity RRs'!$F$7</f>
        <v>0.97288384048792509</v>
      </c>
      <c r="O19" s="235">
        <f t="shared" si="10"/>
        <v>0.92009494736372255</v>
      </c>
      <c r="P19" s="235">
        <f t="shared" si="0"/>
        <v>0.91898337051939594</v>
      </c>
      <c r="Q19" s="235">
        <f t="shared" si="0"/>
        <v>0.91736362103550373</v>
      </c>
      <c r="R19" s="235">
        <f t="shared" si="0"/>
        <v>0.91438905613076227</v>
      </c>
      <c r="S19" s="246">
        <f t="shared" si="0"/>
        <v>0.90555001196449314</v>
      </c>
      <c r="T19" s="248"/>
      <c r="U19" s="248"/>
      <c r="V19" s="248"/>
      <c r="W19" s="248"/>
      <c r="X19" s="249"/>
      <c r="Y19" s="235">
        <f t="shared" si="6"/>
        <v>1</v>
      </c>
      <c r="Z19" s="235">
        <f t="shared" si="1"/>
        <v>0.99879188898111926</v>
      </c>
      <c r="AA19" s="235">
        <f t="shared" si="1"/>
        <v>0.99703147339734377</v>
      </c>
      <c r="AB19" s="235">
        <f t="shared" si="1"/>
        <v>0.99379858432077151</v>
      </c>
      <c r="AC19" s="246">
        <f t="shared" si="1"/>
        <v>0.984191919061284</v>
      </c>
      <c r="AD19" s="263"/>
      <c r="AE19" s="263"/>
      <c r="AF19" s="187">
        <f>GBDUS!K105/(Y19+Z19+AA19+AB19+AC19)</f>
        <v>0</v>
      </c>
      <c r="AG19" s="187">
        <f t="shared" si="7"/>
        <v>0</v>
      </c>
      <c r="AH19" s="187">
        <f t="shared" si="2"/>
        <v>0</v>
      </c>
      <c r="AI19" s="187">
        <f t="shared" si="2"/>
        <v>0</v>
      </c>
      <c r="AJ19" s="265">
        <f t="shared" si="2"/>
        <v>0</v>
      </c>
      <c r="AK19" s="274">
        <f>GBDUS!L105/(Y19+Z19+AA19+AB19+AC19)</f>
        <v>0</v>
      </c>
      <c r="AL19" s="274">
        <f t="shared" si="8"/>
        <v>0</v>
      </c>
      <c r="AM19" s="274">
        <f t="shared" si="3"/>
        <v>0</v>
      </c>
      <c r="AN19" s="274">
        <f t="shared" si="3"/>
        <v>0</v>
      </c>
      <c r="AO19" s="276">
        <f t="shared" si="3"/>
        <v>0</v>
      </c>
      <c r="AP19" s="274">
        <f>GBDUS!M105/(Y19+Z19+AA19+AB19+AC19)</f>
        <v>116.51505199630935</v>
      </c>
      <c r="AQ19" s="274">
        <f t="shared" si="9"/>
        <v>116.37428887812715</v>
      </c>
      <c r="AR19" s="274">
        <f t="shared" si="4"/>
        <v>116.16917396484844</v>
      </c>
      <c r="AS19" s="274">
        <f t="shared" si="4"/>
        <v>115.79249372599331</v>
      </c>
      <c r="AT19" s="276">
        <f t="shared" si="4"/>
        <v>114.673172623773</v>
      </c>
      <c r="AU19" s="272"/>
      <c r="AV19" s="272"/>
      <c r="AW19" s="272"/>
      <c r="AX19" s="272"/>
    </row>
    <row r="20" spans="2:50" x14ac:dyDescent="0.2">
      <c r="B20" s="190">
        <v>2</v>
      </c>
      <c r="C20" s="197" t="s">
        <v>12</v>
      </c>
      <c r="D20" s="191">
        <f>Baseline!AL45</f>
        <v>0.11157070141951282</v>
      </c>
      <c r="E20" s="191">
        <f>Baseline!AM45</f>
        <v>0.28080300842238665</v>
      </c>
      <c r="F20" s="191">
        <f>Baseline!AN45</f>
        <v>0.5321454443414837</v>
      </c>
      <c r="G20" s="191">
        <f>Baseline!AO45</f>
        <v>1.0084606127418505</v>
      </c>
      <c r="H20" s="196">
        <f>Baseline!AP45</f>
        <v>2.5381105463218789</v>
      </c>
      <c r="I20" s="191">
        <f>IF(D20+'Non-travel METs'!D20&gt;2.5, D20+'Non-travel METs'!D20, 0.1)</f>
        <v>0.1</v>
      </c>
      <c r="J20" s="191">
        <f>IF(E20+'Non-travel METs'!E20&gt;2.5, E20+'Non-travel METs'!E20, 0.1)</f>
        <v>0.1</v>
      </c>
      <c r="K20" s="191">
        <f>IF(F20+'Non-travel METs'!F20&gt;2.5, F20+'Non-travel METs'!F20, 0.1)</f>
        <v>0.1</v>
      </c>
      <c r="L20" s="191">
        <f>IF(G20+'Non-travel METs'!G20&gt;2.5, G20+'Non-travel METs'!G20, 0.1)</f>
        <v>0.1</v>
      </c>
      <c r="M20" s="196">
        <f>IF(H20+'Non-travel METs'!H20&gt;2.5, H20+'Non-travel METs'!H20, 0.1)</f>
        <v>3.0381105463218789</v>
      </c>
      <c r="N20" s="241">
        <f>'Phy activity RRs'!$F$7</f>
        <v>0.97288384048792509</v>
      </c>
      <c r="O20" s="235">
        <f t="shared" si="10"/>
        <v>0.99134439051762713</v>
      </c>
      <c r="P20" s="235">
        <f t="shared" si="0"/>
        <v>0.99134439051762713</v>
      </c>
      <c r="Q20" s="235">
        <f t="shared" si="0"/>
        <v>0.99134439051762713</v>
      </c>
      <c r="R20" s="235">
        <f t="shared" si="0"/>
        <v>0.99134439051762713</v>
      </c>
      <c r="S20" s="246">
        <f t="shared" si="0"/>
        <v>0.95321330263039272</v>
      </c>
      <c r="T20" s="248"/>
      <c r="U20" s="248"/>
      <c r="V20" s="248"/>
      <c r="W20" s="248"/>
      <c r="X20" s="249"/>
      <c r="Y20" s="235">
        <f t="shared" si="6"/>
        <v>1</v>
      </c>
      <c r="Z20" s="235">
        <f t="shared" si="1"/>
        <v>1</v>
      </c>
      <c r="AA20" s="235">
        <f t="shared" si="1"/>
        <v>1</v>
      </c>
      <c r="AB20" s="235">
        <f t="shared" si="1"/>
        <v>1</v>
      </c>
      <c r="AC20" s="246">
        <f t="shared" si="1"/>
        <v>0.96153598259901951</v>
      </c>
      <c r="AD20" s="263"/>
      <c r="AE20" s="263"/>
      <c r="AF20" s="187">
        <f>GBDUS!K106/(Y20+Z20+AA20+AB20+AC20)</f>
        <v>0</v>
      </c>
      <c r="AG20" s="187">
        <f t="shared" si="7"/>
        <v>0</v>
      </c>
      <c r="AH20" s="187">
        <f t="shared" si="2"/>
        <v>0</v>
      </c>
      <c r="AI20" s="187">
        <f t="shared" si="2"/>
        <v>0</v>
      </c>
      <c r="AJ20" s="265">
        <f t="shared" si="2"/>
        <v>0</v>
      </c>
      <c r="AK20" s="274">
        <f>GBDUS!L106/(Y20+Z20+AA20+AB20+AC20)</f>
        <v>0</v>
      </c>
      <c r="AL20" s="274">
        <f t="shared" si="8"/>
        <v>0</v>
      </c>
      <c r="AM20" s="274">
        <f t="shared" si="3"/>
        <v>0</v>
      </c>
      <c r="AN20" s="274">
        <f t="shared" si="3"/>
        <v>0</v>
      </c>
      <c r="AO20" s="276">
        <f t="shared" si="3"/>
        <v>0</v>
      </c>
      <c r="AP20" s="274">
        <f>GBDUS!M106/(Y20+Z20+AA20+AB20+AC20)</f>
        <v>58.667477689266192</v>
      </c>
      <c r="AQ20" s="274">
        <f t="shared" si="9"/>
        <v>58.667477689266192</v>
      </c>
      <c r="AR20" s="274">
        <f t="shared" si="4"/>
        <v>58.667477689266192</v>
      </c>
      <c r="AS20" s="274">
        <f t="shared" si="4"/>
        <v>58.667477689266192</v>
      </c>
      <c r="AT20" s="276">
        <f t="shared" si="4"/>
        <v>56.410890806554626</v>
      </c>
      <c r="AU20" s="272"/>
      <c r="AV20" s="272"/>
      <c r="AW20" s="272"/>
      <c r="AX20" s="272"/>
    </row>
    <row r="21" spans="2:50" x14ac:dyDescent="0.2">
      <c r="B21" s="199">
        <v>2</v>
      </c>
      <c r="C21" s="200" t="s">
        <v>13</v>
      </c>
      <c r="D21" s="201">
        <f>Baseline!AL46</f>
        <v>0.1379075408816644</v>
      </c>
      <c r="E21" s="201">
        <f>Baseline!AM46</f>
        <v>0.3470880067168956</v>
      </c>
      <c r="F21" s="201">
        <f>Baseline!AN46</f>
        <v>0.65776112085712712</v>
      </c>
      <c r="G21" s="201">
        <f>Baseline!AO46</f>
        <v>1.2465129412095104</v>
      </c>
      <c r="H21" s="202">
        <f>Baseline!AP46</f>
        <v>3.1372446303170025</v>
      </c>
      <c r="I21" s="203">
        <f>IF(D21+'Non-travel METs'!D21&gt;2.5, D21+'Non-travel METs'!D21, 0.1)</f>
        <v>0.1</v>
      </c>
      <c r="J21" s="201">
        <f>IF(E21+'Non-travel METs'!E21&gt;2.5, E21+'Non-travel METs'!E21, 0.1)</f>
        <v>0.1</v>
      </c>
      <c r="K21" s="201">
        <f>IF(F21+'Non-travel METs'!F21&gt;2.5, F21+'Non-travel METs'!F21, 0.1)</f>
        <v>0.1</v>
      </c>
      <c r="L21" s="201">
        <f>IF(G21+'Non-travel METs'!G21&gt;2.5, G21+'Non-travel METs'!G21, 0.1)</f>
        <v>0.1</v>
      </c>
      <c r="M21" s="202">
        <f>IF(H21+'Non-travel METs'!H21&gt;2.5, H21+'Non-travel METs'!H21, 0.1)</f>
        <v>3.220577963650336</v>
      </c>
      <c r="N21" s="337">
        <f>'Phy activity RRs'!$F$7</f>
        <v>0.97288384048792509</v>
      </c>
      <c r="O21" s="237">
        <f t="shared" si="10"/>
        <v>0.99134439051762713</v>
      </c>
      <c r="P21" s="237">
        <f t="shared" si="0"/>
        <v>0.99134439051762713</v>
      </c>
      <c r="Q21" s="237">
        <f t="shared" si="0"/>
        <v>0.99134439051762713</v>
      </c>
      <c r="R21" s="237">
        <f t="shared" si="0"/>
        <v>0.99134439051762713</v>
      </c>
      <c r="S21" s="247">
        <f t="shared" si="0"/>
        <v>0.95186265813322524</v>
      </c>
      <c r="T21" s="250"/>
      <c r="U21" s="251"/>
      <c r="V21" s="251"/>
      <c r="W21" s="251"/>
      <c r="X21" s="252"/>
      <c r="Y21" s="260">
        <f t="shared" si="6"/>
        <v>1</v>
      </c>
      <c r="Z21" s="237">
        <f t="shared" si="1"/>
        <v>1</v>
      </c>
      <c r="AA21" s="237">
        <f t="shared" si="1"/>
        <v>1</v>
      </c>
      <c r="AB21" s="237">
        <f t="shared" si="1"/>
        <v>1</v>
      </c>
      <c r="AC21" s="247">
        <f t="shared" si="1"/>
        <v>0.9601735453773167</v>
      </c>
      <c r="AD21" s="263"/>
      <c r="AE21" s="264"/>
      <c r="AF21" s="266">
        <f>GBDUS!K107/(Y21+Z21+AA21+AB21+AC21)</f>
        <v>0.40321169848259036</v>
      </c>
      <c r="AG21" s="267">
        <f t="shared" si="7"/>
        <v>0.40321169848259036</v>
      </c>
      <c r="AH21" s="267">
        <f t="shared" si="2"/>
        <v>0.40321169848259036</v>
      </c>
      <c r="AI21" s="267">
        <f t="shared" si="2"/>
        <v>0.40321169848259036</v>
      </c>
      <c r="AJ21" s="268">
        <f t="shared" si="2"/>
        <v>0.38715320606963843</v>
      </c>
      <c r="AK21" s="277">
        <f>GBDUS!L107/(Y21+Z21+AA21+AB21+AC21)</f>
        <v>0</v>
      </c>
      <c r="AL21" s="278">
        <f t="shared" si="8"/>
        <v>0</v>
      </c>
      <c r="AM21" s="278">
        <f t="shared" si="3"/>
        <v>0</v>
      </c>
      <c r="AN21" s="278">
        <f t="shared" si="3"/>
        <v>0</v>
      </c>
      <c r="AO21" s="279">
        <f t="shared" si="3"/>
        <v>0</v>
      </c>
      <c r="AP21" s="277">
        <f>GBDUS!M107/(Y21+Z21+AA21+AB21+AC21)</f>
        <v>53.413778621781056</v>
      </c>
      <c r="AQ21" s="278">
        <f t="shared" si="9"/>
        <v>53.413778621781056</v>
      </c>
      <c r="AR21" s="278">
        <f t="shared" si="4"/>
        <v>53.413778621781056</v>
      </c>
      <c r="AS21" s="278">
        <f t="shared" si="4"/>
        <v>53.413778621781056</v>
      </c>
      <c r="AT21" s="279">
        <f t="shared" si="4"/>
        <v>51.286497191274641</v>
      </c>
      <c r="AU21" s="273"/>
      <c r="AV21" s="273"/>
      <c r="AW21" s="273"/>
      <c r="AX21" s="273"/>
    </row>
    <row r="22" spans="2:50" x14ac:dyDescent="0.2">
      <c r="B22" s="185"/>
      <c r="C22" s="185"/>
      <c r="AD22" s="261"/>
      <c r="AK22" s="188"/>
      <c r="AL22" s="188"/>
      <c r="AM22" s="188"/>
      <c r="AN22" s="188"/>
      <c r="AO22" s="188"/>
    </row>
    <row r="23" spans="2:50" x14ac:dyDescent="0.2">
      <c r="B23" s="310" t="s">
        <v>37</v>
      </c>
      <c r="C23" s="292"/>
      <c r="D23" s="253"/>
      <c r="E23" s="253"/>
      <c r="F23" s="253"/>
      <c r="G23" s="253"/>
      <c r="H23" s="253"/>
      <c r="I23" s="253"/>
      <c r="J23" s="253"/>
      <c r="K23" s="253"/>
      <c r="L23" s="253"/>
      <c r="M23" s="253"/>
      <c r="N23" s="253"/>
      <c r="O23" s="253"/>
      <c r="P23" s="253"/>
      <c r="Q23" s="253"/>
      <c r="R23" s="253"/>
      <c r="S23" s="253"/>
      <c r="T23" s="253"/>
      <c r="U23" s="253"/>
      <c r="V23" s="253"/>
      <c r="W23" s="253"/>
      <c r="X23" s="253"/>
      <c r="Y23" s="253"/>
      <c r="Z23" s="253"/>
      <c r="AA23" s="253"/>
      <c r="AB23" s="253"/>
      <c r="AC23" s="253"/>
      <c r="AD23" s="253"/>
      <c r="AE23" s="253"/>
      <c r="AF23" s="253"/>
      <c r="AG23" s="253"/>
      <c r="AH23" s="253"/>
      <c r="AI23" s="253"/>
      <c r="AJ23" s="253"/>
      <c r="AK23" s="293"/>
      <c r="AL23" s="293"/>
      <c r="AM23" s="293"/>
      <c r="AN23" s="293"/>
      <c r="AO23" s="293"/>
      <c r="AP23" s="253"/>
      <c r="AQ23" s="253"/>
      <c r="AR23" s="253"/>
      <c r="AS23" s="253"/>
      <c r="AT23" s="253"/>
      <c r="AU23" s="253"/>
      <c r="AV23" s="253"/>
      <c r="AW23" s="253"/>
      <c r="AX23" s="253"/>
    </row>
    <row r="24" spans="2:50" x14ac:dyDescent="0.2">
      <c r="B24" s="185">
        <v>1</v>
      </c>
      <c r="C24" s="297" t="s">
        <v>6</v>
      </c>
      <c r="D24" s="188">
        <f>Scenario!AL31</f>
        <v>0.35885603949224421</v>
      </c>
      <c r="E24" s="188">
        <f>Scenario!AM31</f>
        <v>0.9013033450837723</v>
      </c>
      <c r="F24" s="188">
        <f>Scenario!AN31</f>
        <v>1.7055939051037041</v>
      </c>
      <c r="G24" s="188">
        <f>Scenario!AO31</f>
        <v>3.2276043187840591</v>
      </c>
      <c r="H24" s="294">
        <f>Scenario!AP31</f>
        <v>8.1064556506921353</v>
      </c>
      <c r="I24" s="191">
        <f>IF(D24+'Non-travel METs'!D25&gt;2.5, D24+'Non-travel METs'!D25, 0.1)</f>
        <v>0.1</v>
      </c>
      <c r="J24" s="191">
        <f>IF(E24+'Non-travel METs'!E25&gt;2.5, E24+'Non-travel METs'!E25, 0.1)</f>
        <v>0.1</v>
      </c>
      <c r="K24" s="191">
        <f>IF(F24+'Non-travel METs'!F25&gt;2.5, F24+'Non-travel METs'!F25, 0.1)</f>
        <v>0.1</v>
      </c>
      <c r="L24" s="191">
        <f>IF(G24+'Non-travel METs'!G25&gt;2.5, G24+'Non-travel METs'!G25, 0.1)</f>
        <v>3.2276043187840591</v>
      </c>
      <c r="M24" s="196">
        <f>IF(H24+'Non-travel METs'!H25&gt;2.5, H24+'Non-travel METs'!H25, 0.1)</f>
        <v>8.1064556506921353</v>
      </c>
      <c r="N24" s="241">
        <f>'Phy activity RRs'!$F$6</f>
        <v>0.96065247560449929</v>
      </c>
      <c r="O24" s="188">
        <f>$N24^(I24^0.5)</f>
        <v>0.98738603830564786</v>
      </c>
      <c r="P24" s="188">
        <f t="shared" ref="P24:S39" si="11">$N24^(J24^0.5)</f>
        <v>0.98738603830564786</v>
      </c>
      <c r="Q24" s="188">
        <f t="shared" si="11"/>
        <v>0.98738603830564786</v>
      </c>
      <c r="R24" s="188">
        <f t="shared" si="11"/>
        <v>0.93042085698142785</v>
      </c>
      <c r="S24" s="294">
        <f t="shared" si="11"/>
        <v>0.89199633394900735</v>
      </c>
      <c r="T24" s="269">
        <f>O24/O6</f>
        <v>1</v>
      </c>
      <c r="U24" s="269">
        <f t="shared" ref="U24:X39" si="12">P24/P6</f>
        <v>1</v>
      </c>
      <c r="V24" s="269">
        <f t="shared" si="12"/>
        <v>1</v>
      </c>
      <c r="W24" s="269">
        <f t="shared" si="12"/>
        <v>0.99677808602828455</v>
      </c>
      <c r="X24" s="300">
        <f t="shared" si="12"/>
        <v>0.99501143642444911</v>
      </c>
      <c r="Y24" s="269">
        <f>O24/$O24</f>
        <v>1</v>
      </c>
      <c r="Z24" s="269">
        <f t="shared" ref="Z24:AC39" si="13">P24/$O24</f>
        <v>1</v>
      </c>
      <c r="AA24" s="269">
        <f t="shared" si="13"/>
        <v>1</v>
      </c>
      <c r="AB24" s="269">
        <f t="shared" si="13"/>
        <v>0.94230708242343375</v>
      </c>
      <c r="AC24" s="300">
        <f t="shared" si="13"/>
        <v>0.90339168202101683</v>
      </c>
      <c r="AD24" s="305">
        <f>(5-SUM(T24:X24))/5</f>
        <v>1.642095509453334E-3</v>
      </c>
      <c r="AE24" s="306">
        <f>1-AD24</f>
        <v>0.99835790449054662</v>
      </c>
      <c r="AF24" s="187">
        <f>AE24*GBDUS!K92/(Y24+Z24+AA24+AB24+AC24)</f>
        <v>0</v>
      </c>
      <c r="AG24" s="187">
        <f>$AF24*Z24</f>
        <v>0</v>
      </c>
      <c r="AH24" s="187">
        <f t="shared" ref="AH24:AJ39" si="14">$AF24*AA24</f>
        <v>0</v>
      </c>
      <c r="AI24" s="187">
        <f t="shared" si="14"/>
        <v>0</v>
      </c>
      <c r="AJ24" s="265">
        <f t="shared" si="14"/>
        <v>0</v>
      </c>
      <c r="AK24" s="274">
        <f>AE24*GBDUS!L92/(Y24+Z24+AA24+AB24+AC24)</f>
        <v>0</v>
      </c>
      <c r="AL24" s="274">
        <f>$AK24*Z24</f>
        <v>0</v>
      </c>
      <c r="AM24" s="274">
        <f t="shared" ref="AM24:AO39" si="15">$AK24*AA24</f>
        <v>0</v>
      </c>
      <c r="AN24" s="274">
        <f t="shared" si="15"/>
        <v>0</v>
      </c>
      <c r="AO24" s="276">
        <f t="shared" si="15"/>
        <v>0</v>
      </c>
      <c r="AP24" s="274">
        <f>AE24*GBDUS!M92/(Y24+Z24+AA24+AB24+AC24)</f>
        <v>4.3930965149819333E-2</v>
      </c>
      <c r="AQ24" s="274">
        <f>$AP24*Z24</f>
        <v>4.3930965149819333E-2</v>
      </c>
      <c r="AR24" s="274">
        <f t="shared" ref="AR24:AT39" si="16">$AP24*AA24</f>
        <v>4.3930965149819333E-2</v>
      </c>
      <c r="AS24" s="274">
        <f t="shared" si="16"/>
        <v>4.13964595983718E-2</v>
      </c>
      <c r="AT24" s="276">
        <f t="shared" si="16"/>
        <v>3.9686868499501961E-2</v>
      </c>
      <c r="AU24" s="338">
        <f>SUM(AF24:AJ24)-SUM(AF6:AJ6)</f>
        <v>0</v>
      </c>
      <c r="AV24" s="338">
        <f>SUM(AK24:AO24)-SUM(AK6:AO6)</f>
        <v>0</v>
      </c>
      <c r="AW24" s="338">
        <f>SUM(AP24:AT24)-SUM(AP6:AT6)</f>
        <v>-3.5013805087752425E-4</v>
      </c>
      <c r="AX24" s="338">
        <f>AV24+AW24</f>
        <v>-3.5013805087752425E-4</v>
      </c>
    </row>
    <row r="25" spans="2:50" x14ac:dyDescent="0.2">
      <c r="B25" s="185">
        <v>1</v>
      </c>
      <c r="C25" s="297" t="s">
        <v>7</v>
      </c>
      <c r="D25" s="188">
        <f>Scenario!AL32</f>
        <v>0.72455011766948996</v>
      </c>
      <c r="E25" s="188">
        <f>Scenario!AM32</f>
        <v>1.8197811179668499</v>
      </c>
      <c r="F25" s="188">
        <f>Scenario!AN32</f>
        <v>3.4436880772239649</v>
      </c>
      <c r="G25" s="331">
        <f>Scenario!AO32</f>
        <v>6.5167109693191785</v>
      </c>
      <c r="H25" s="294">
        <f>Scenario!AP32</f>
        <v>16.36738064629516</v>
      </c>
      <c r="I25" s="191">
        <f>IF(D25+'Non-travel METs'!D26&gt;2.5, D25+'Non-travel METs'!D26, 0.1)</f>
        <v>0.1</v>
      </c>
      <c r="J25" s="191">
        <f>IF(E25+'Non-travel METs'!E26&gt;2.5, E25+'Non-travel METs'!E26, 0.1)</f>
        <v>0.1</v>
      </c>
      <c r="K25" s="191">
        <f>IF(F25+'Non-travel METs'!F26&gt;2.5, F25+'Non-travel METs'!F26, 0.1)</f>
        <v>3.4436880772239649</v>
      </c>
      <c r="L25" s="191">
        <f>IF(G25+'Non-travel METs'!G26&gt;2.5, G25+'Non-travel METs'!G26, 0.1)</f>
        <v>6.5167109693191785</v>
      </c>
      <c r="M25" s="196">
        <f>IF(H25+'Non-travel METs'!H26&gt;2.5, H25+'Non-travel METs'!H26, 0.1)</f>
        <v>16.36738064629516</v>
      </c>
      <c r="N25" s="241">
        <f>'Phy activity RRs'!$F$6</f>
        <v>0.96065247560449929</v>
      </c>
      <c r="O25" s="188">
        <f t="shared" ref="O25:O39" si="17">$N25^(I25^0.5)</f>
        <v>0.98738603830564786</v>
      </c>
      <c r="P25" s="188">
        <f t="shared" si="11"/>
        <v>0.98738603830564786</v>
      </c>
      <c r="Q25" s="188">
        <f t="shared" si="11"/>
        <v>0.92821372639179456</v>
      </c>
      <c r="R25" s="188">
        <f t="shared" si="11"/>
        <v>0.90260041555404613</v>
      </c>
      <c r="S25" s="294">
        <f t="shared" si="11"/>
        <v>0.85009834085054981</v>
      </c>
      <c r="T25" s="269">
        <f t="shared" ref="T25:T39" si="18">O25/O7</f>
        <v>1</v>
      </c>
      <c r="U25" s="269">
        <f t="shared" si="12"/>
        <v>1</v>
      </c>
      <c r="V25" s="269">
        <f t="shared" si="12"/>
        <v>0.99755671089636222</v>
      </c>
      <c r="W25" s="269">
        <f t="shared" si="12"/>
        <v>0.99671145936670935</v>
      </c>
      <c r="X25" s="300">
        <f t="shared" si="12"/>
        <v>0.99495559689358526</v>
      </c>
      <c r="Y25" s="269">
        <f t="shared" ref="Y25:Y39" si="19">O25/$O25</f>
        <v>1</v>
      </c>
      <c r="Z25" s="269">
        <f t="shared" si="13"/>
        <v>1</v>
      </c>
      <c r="AA25" s="269">
        <f t="shared" si="13"/>
        <v>0.94007175550568567</v>
      </c>
      <c r="AB25" s="269">
        <f t="shared" si="13"/>
        <v>0.91413123189680334</v>
      </c>
      <c r="AC25" s="300">
        <f t="shared" si="13"/>
        <v>0.86095843760290203</v>
      </c>
      <c r="AD25" s="305">
        <f t="shared" ref="AD25:AD39" si="20">(5-SUM(T25:X25))/5</f>
        <v>2.155246568668545E-3</v>
      </c>
      <c r="AE25" s="306">
        <f t="shared" ref="AE25:AE39" si="21">1-AD25</f>
        <v>0.9978447534313315</v>
      </c>
      <c r="AF25" s="187">
        <f>AE25*GBDUS!K93/(Y25+Z25+AA25+AB25+AC25)</f>
        <v>0</v>
      </c>
      <c r="AG25" s="187">
        <f t="shared" ref="AG25:AG39" si="22">$AF25*Z25</f>
        <v>0</v>
      </c>
      <c r="AH25" s="187">
        <f t="shared" si="14"/>
        <v>0</v>
      </c>
      <c r="AI25" s="187">
        <f t="shared" si="14"/>
        <v>0</v>
      </c>
      <c r="AJ25" s="265">
        <f t="shared" si="14"/>
        <v>0</v>
      </c>
      <c r="AK25" s="274">
        <f>AE25*GBDUS!L93/(Y25+Z25+AA25+AB25+AC25)</f>
        <v>0</v>
      </c>
      <c r="AL25" s="274">
        <f t="shared" ref="AL25:AL39" si="23">$AK25*Z25</f>
        <v>0</v>
      </c>
      <c r="AM25" s="274">
        <f t="shared" si="15"/>
        <v>0</v>
      </c>
      <c r="AN25" s="274">
        <f t="shared" si="15"/>
        <v>0</v>
      </c>
      <c r="AO25" s="276">
        <f t="shared" si="15"/>
        <v>0</v>
      </c>
      <c r="AP25" s="274">
        <f>AE25*GBDUS!M93/(Y25+Z25+AA25+AB25+AC25)</f>
        <v>77.109829035380102</v>
      </c>
      <c r="AQ25" s="274">
        <f t="shared" ref="AQ25:AQ39" si="24">$AP25*Z25</f>
        <v>77.109829035380102</v>
      </c>
      <c r="AR25" s="274">
        <f t="shared" si="16"/>
        <v>72.488772348033066</v>
      </c>
      <c r="AS25" s="274">
        <f t="shared" si="16"/>
        <v>70.488503007463905</v>
      </c>
      <c r="AT25" s="276">
        <f t="shared" si="16"/>
        <v>66.388357930127739</v>
      </c>
      <c r="AU25" s="338">
        <f t="shared" ref="AU25:AU39" si="25">SUM(AF25:AJ25)-SUM(AF7:AJ7)</f>
        <v>0</v>
      </c>
      <c r="AV25" s="338">
        <f t="shared" ref="AV25:AV39" si="26">SUM(AK25:AO25)-SUM(AK7:AO7)</f>
        <v>0</v>
      </c>
      <c r="AW25" s="338">
        <f t="shared" ref="AW25:AW39" si="27">SUM(AP25:AT25)-SUM(AP7:AT7)</f>
        <v>-0.78530848503191919</v>
      </c>
      <c r="AX25" s="338">
        <f t="shared" ref="AX25:AX39" si="28">AV25+AW25</f>
        <v>-0.78530848503191919</v>
      </c>
    </row>
    <row r="26" spans="2:50" x14ac:dyDescent="0.2">
      <c r="B26" s="185">
        <v>1</v>
      </c>
      <c r="C26" s="297" t="s">
        <v>8</v>
      </c>
      <c r="D26" s="188">
        <f>Scenario!AL33</f>
        <v>0.55835336477175823</v>
      </c>
      <c r="E26" s="188">
        <f>Scenario!AM33</f>
        <v>1.4023611142775319</v>
      </c>
      <c r="F26" s="188">
        <f>Scenario!AN33</f>
        <v>2.6537775348474759</v>
      </c>
      <c r="G26" s="188">
        <f>Scenario!AO33</f>
        <v>5.0219127817796902</v>
      </c>
      <c r="H26" s="294">
        <f>Scenario!AP33</f>
        <v>12.613043367867888</v>
      </c>
      <c r="I26" s="191">
        <f>IF(D26+'Non-travel METs'!D27&gt;2.5, D26+'Non-travel METs'!D27, 0.1)</f>
        <v>65.435853364771759</v>
      </c>
      <c r="J26" s="191">
        <f>IF(E26+'Non-travel METs'!E27&gt;2.5, E26+'Non-travel METs'!E27, 0.1)</f>
        <v>66.279861114277523</v>
      </c>
      <c r="K26" s="191">
        <f>IF(F26+'Non-travel METs'!F27&gt;2.5, F26+'Non-travel METs'!F27, 0.1)</f>
        <v>67.531277534847476</v>
      </c>
      <c r="L26" s="191">
        <f>IF(G26+'Non-travel METs'!G27&gt;2.5, G26+'Non-travel METs'!G27, 0.1)</f>
        <v>69.899412781779688</v>
      </c>
      <c r="M26" s="196">
        <f>IF(H26+'Non-travel METs'!H27&gt;2.5, H26+'Non-travel METs'!H27, 0.1)</f>
        <v>77.490543367867886</v>
      </c>
      <c r="N26" s="241">
        <f>'Phy activity RRs'!$F$6</f>
        <v>0.96065247560449929</v>
      </c>
      <c r="O26" s="188">
        <f t="shared" si="17"/>
        <v>0.72272755629868313</v>
      </c>
      <c r="P26" s="188">
        <f t="shared" si="11"/>
        <v>0.72122045870994722</v>
      </c>
      <c r="Q26" s="188">
        <f t="shared" si="11"/>
        <v>0.7190091368379562</v>
      </c>
      <c r="R26" s="188">
        <f t="shared" si="11"/>
        <v>0.71489801161020439</v>
      </c>
      <c r="S26" s="294">
        <f t="shared" si="11"/>
        <v>0.70231741507762324</v>
      </c>
      <c r="T26" s="269">
        <f t="shared" si="18"/>
        <v>0.99991316584806056</v>
      </c>
      <c r="U26" s="269">
        <f t="shared" si="12"/>
        <v>0.999790003609349</v>
      </c>
      <c r="V26" s="269">
        <f t="shared" si="12"/>
        <v>0.99961499703145917</v>
      </c>
      <c r="W26" s="269">
        <f t="shared" si="12"/>
        <v>0.99929998096440187</v>
      </c>
      <c r="X26" s="300">
        <f t="shared" si="12"/>
        <v>0.998385186902359</v>
      </c>
      <c r="Y26" s="269">
        <f t="shared" si="19"/>
        <v>1</v>
      </c>
      <c r="Z26" s="269">
        <f t="shared" si="13"/>
        <v>0.99791470855704711</v>
      </c>
      <c r="AA26" s="269">
        <f t="shared" si="13"/>
        <v>0.9948550191170652</v>
      </c>
      <c r="AB26" s="269">
        <f t="shared" si="13"/>
        <v>0.98916667197722985</v>
      </c>
      <c r="AC26" s="300">
        <f t="shared" si="13"/>
        <v>0.97175956410796527</v>
      </c>
      <c r="AD26" s="305">
        <f t="shared" si="20"/>
        <v>5.9933312887405776E-4</v>
      </c>
      <c r="AE26" s="306">
        <f t="shared" si="21"/>
        <v>0.99940066687112594</v>
      </c>
      <c r="AF26" s="187">
        <f>AE26*GBDUS!K94/(Y26+Z26+AA26+AB26+AC26)</f>
        <v>0</v>
      </c>
      <c r="AG26" s="187">
        <f t="shared" si="22"/>
        <v>0</v>
      </c>
      <c r="AH26" s="187">
        <f t="shared" si="14"/>
        <v>0</v>
      </c>
      <c r="AI26" s="187">
        <f t="shared" si="14"/>
        <v>0</v>
      </c>
      <c r="AJ26" s="265">
        <f t="shared" si="14"/>
        <v>0</v>
      </c>
      <c r="AK26" s="274">
        <f>AE26*GBDUS!L94/(Y26+Z26+AA26+AB26+AC26)</f>
        <v>0</v>
      </c>
      <c r="AL26" s="274">
        <f t="shared" si="23"/>
        <v>0</v>
      </c>
      <c r="AM26" s="274">
        <f t="shared" si="15"/>
        <v>0</v>
      </c>
      <c r="AN26" s="274">
        <f t="shared" si="15"/>
        <v>0</v>
      </c>
      <c r="AO26" s="276">
        <f t="shared" si="15"/>
        <v>0</v>
      </c>
      <c r="AP26" s="274">
        <f>AE26*GBDUS!M94/(Y26+Z26+AA26+AB26+AC26)</f>
        <v>213.7580523277411</v>
      </c>
      <c r="AQ26" s="274">
        <f t="shared" si="24"/>
        <v>213.31230449035979</v>
      </c>
      <c r="AR26" s="274">
        <f t="shared" si="16"/>
        <v>212.65827123494148</v>
      </c>
      <c r="AS26" s="274">
        <f t="shared" si="16"/>
        <v>211.44234122936621</v>
      </c>
      <c r="AT26" s="276">
        <f t="shared" si="16"/>
        <v>207.72143175457333</v>
      </c>
      <c r="AU26" s="338">
        <f t="shared" si="25"/>
        <v>0</v>
      </c>
      <c r="AV26" s="338">
        <f t="shared" si="26"/>
        <v>0</v>
      </c>
      <c r="AW26" s="338">
        <f t="shared" si="27"/>
        <v>-0.63500987831139355</v>
      </c>
      <c r="AX26" s="338">
        <f t="shared" si="28"/>
        <v>-0.63500987831139355</v>
      </c>
    </row>
    <row r="27" spans="2:50" x14ac:dyDescent="0.2">
      <c r="B27" s="185">
        <v>1</v>
      </c>
      <c r="C27" s="297" t="s">
        <v>9</v>
      </c>
      <c r="D27" s="188">
        <f>Scenario!AL34</f>
        <v>0.48139446095649707</v>
      </c>
      <c r="E27" s="188">
        <f>Scenario!AM34</f>
        <v>1.2090710207324453</v>
      </c>
      <c r="F27" s="188">
        <f>Scenario!AN34</f>
        <v>2.2880023413283812</v>
      </c>
      <c r="G27" s="188">
        <f>Scenario!AO34</f>
        <v>4.3297330133285801</v>
      </c>
      <c r="H27" s="294">
        <f>Scenario!AP34</f>
        <v>10.874563665569944</v>
      </c>
      <c r="I27" s="191">
        <f>IF(D27+'Non-travel METs'!D28&gt;2.5, D27+'Non-travel METs'!D28, 0.1)</f>
        <v>68.175144460956489</v>
      </c>
      <c r="J27" s="191">
        <f>IF(E27+'Non-travel METs'!E28&gt;2.5, E27+'Non-travel METs'!E28, 0.1)</f>
        <v>68.902821020732446</v>
      </c>
      <c r="K27" s="191">
        <f>IF(F27+'Non-travel METs'!F28&gt;2.5, F27+'Non-travel METs'!F28, 0.1)</f>
        <v>69.981752341328374</v>
      </c>
      <c r="L27" s="191">
        <f>IF(G27+'Non-travel METs'!G28&gt;2.5, G27+'Non-travel METs'!G28, 0.1)</f>
        <v>72.023483013328573</v>
      </c>
      <c r="M27" s="196">
        <f>IF(H27+'Non-travel METs'!H28&gt;2.5, H27+'Non-travel METs'!H28, 0.1)</f>
        <v>78.568313665569946</v>
      </c>
      <c r="N27" s="241">
        <f>'Phy activity RRs'!$F$6</f>
        <v>0.96065247560449929</v>
      </c>
      <c r="O27" s="188">
        <f t="shared" si="17"/>
        <v>0.71788198864329722</v>
      </c>
      <c r="P27" s="188">
        <f t="shared" si="11"/>
        <v>0.71661662247957081</v>
      </c>
      <c r="Q27" s="188">
        <f t="shared" si="11"/>
        <v>0.71475675127931315</v>
      </c>
      <c r="R27" s="188">
        <f t="shared" si="11"/>
        <v>0.7112889819345537</v>
      </c>
      <c r="S27" s="294">
        <f t="shared" si="11"/>
        <v>0.70059959979626851</v>
      </c>
      <c r="T27" s="269">
        <f t="shared" si="18"/>
        <v>0.99992613037348999</v>
      </c>
      <c r="U27" s="269">
        <f t="shared" si="12"/>
        <v>0.99982112044338056</v>
      </c>
      <c r="V27" s="269">
        <f t="shared" si="12"/>
        <v>0.99967147728755212</v>
      </c>
      <c r="W27" s="269">
        <f t="shared" si="12"/>
        <v>0.99940088355231738</v>
      </c>
      <c r="X27" s="300">
        <f t="shared" si="12"/>
        <v>0.99860651134254186</v>
      </c>
      <c r="Y27" s="269">
        <f t="shared" si="19"/>
        <v>1</v>
      </c>
      <c r="Z27" s="269">
        <f t="shared" si="13"/>
        <v>0.998237361873199</v>
      </c>
      <c r="AA27" s="269">
        <f t="shared" si="13"/>
        <v>0.99564658618906099</v>
      </c>
      <c r="AB27" s="269">
        <f t="shared" si="13"/>
        <v>0.99081602991432693</v>
      </c>
      <c r="AC27" s="300">
        <f t="shared" si="13"/>
        <v>0.97592586369287504</v>
      </c>
      <c r="AD27" s="305">
        <f t="shared" si="20"/>
        <v>5.1477540014364107E-4</v>
      </c>
      <c r="AE27" s="306">
        <f t="shared" si="21"/>
        <v>0.99948522459985634</v>
      </c>
      <c r="AF27" s="187">
        <f>AE27*GBDUS!K95/(Y27+Z27+AA27+AB27+AC27)</f>
        <v>0</v>
      </c>
      <c r="AG27" s="187">
        <f t="shared" si="22"/>
        <v>0</v>
      </c>
      <c r="AH27" s="187">
        <f t="shared" si="14"/>
        <v>0</v>
      </c>
      <c r="AI27" s="187">
        <f t="shared" si="14"/>
        <v>0</v>
      </c>
      <c r="AJ27" s="265">
        <f t="shared" si="14"/>
        <v>0</v>
      </c>
      <c r="AK27" s="274">
        <f>AE27*GBDUS!L95/(Y27+Z27+AA27+AB27+AC27)</f>
        <v>0</v>
      </c>
      <c r="AL27" s="274">
        <f t="shared" si="23"/>
        <v>0</v>
      </c>
      <c r="AM27" s="274">
        <f t="shared" si="15"/>
        <v>0</v>
      </c>
      <c r="AN27" s="274">
        <f t="shared" si="15"/>
        <v>0</v>
      </c>
      <c r="AO27" s="276">
        <f t="shared" si="15"/>
        <v>0</v>
      </c>
      <c r="AP27" s="274">
        <f>AE27*GBDUS!M95/(Y27+Z27+AA27+AB27+AC27)</f>
        <v>194.92034868545522</v>
      </c>
      <c r="AQ27" s="274">
        <f t="shared" si="24"/>
        <v>194.5767746471729</v>
      </c>
      <c r="AR27" s="274">
        <f t="shared" si="16"/>
        <v>194.07177974745491</v>
      </c>
      <c r="AS27" s="274">
        <f t="shared" si="16"/>
        <v>193.13020603403905</v>
      </c>
      <c r="AT27" s="276">
        <f t="shared" si="16"/>
        <v>190.22780964216926</v>
      </c>
      <c r="AU27" s="338">
        <f t="shared" si="25"/>
        <v>0</v>
      </c>
      <c r="AV27" s="338">
        <f t="shared" si="26"/>
        <v>0</v>
      </c>
      <c r="AW27" s="338">
        <f t="shared" si="27"/>
        <v>-0.49800655303488384</v>
      </c>
      <c r="AX27" s="338">
        <f t="shared" si="28"/>
        <v>-0.49800655303488384</v>
      </c>
    </row>
    <row r="28" spans="2:50" x14ac:dyDescent="0.2">
      <c r="B28" s="185">
        <v>1</v>
      </c>
      <c r="C28" s="297" t="s">
        <v>10</v>
      </c>
      <c r="D28" s="188">
        <f>Scenario!AL35</f>
        <v>0.40591226731191066</v>
      </c>
      <c r="E28" s="188">
        <f>Scenario!AM35</f>
        <v>1.0194898345766048</v>
      </c>
      <c r="F28" s="188">
        <f>Scenario!AN35</f>
        <v>1.9292457502278801</v>
      </c>
      <c r="G28" s="188">
        <f>Scenario!AO35</f>
        <v>3.6508349946599323</v>
      </c>
      <c r="H28" s="294">
        <f>Scenario!AP35</f>
        <v>9.1694424251344167</v>
      </c>
      <c r="I28" s="191">
        <f>IF(D28+'Non-travel METs'!D29&gt;2.5, D28+'Non-travel METs'!D29, 0.1)</f>
        <v>58.180912267311911</v>
      </c>
      <c r="J28" s="191">
        <f>IF(E28+'Non-travel METs'!E29&gt;2.5, E28+'Non-travel METs'!E29, 0.1)</f>
        <v>58.794489834576602</v>
      </c>
      <c r="K28" s="191">
        <f>IF(F28+'Non-travel METs'!F29&gt;2.5, F28+'Non-travel METs'!F29, 0.1)</f>
        <v>59.704245750227876</v>
      </c>
      <c r="L28" s="191">
        <f>IF(G28+'Non-travel METs'!G29&gt;2.5, G28+'Non-travel METs'!G29, 0.1)</f>
        <v>61.42583499465993</v>
      </c>
      <c r="M28" s="196">
        <f>IF(H28+'Non-travel METs'!H29&gt;2.5, H28+'Non-travel METs'!H29, 0.1)</f>
        <v>66.944442425134412</v>
      </c>
      <c r="N28" s="241">
        <f>'Phy activity RRs'!$F$6</f>
        <v>0.96065247560449929</v>
      </c>
      <c r="O28" s="188">
        <f t="shared" si="17"/>
        <v>0.73624445538950223</v>
      </c>
      <c r="P28" s="188">
        <f t="shared" si="11"/>
        <v>0.73505981590780223</v>
      </c>
      <c r="Q28" s="188">
        <f t="shared" si="11"/>
        <v>0.73331813340985674</v>
      </c>
      <c r="R28" s="188">
        <f t="shared" si="11"/>
        <v>0.73006925688137692</v>
      </c>
      <c r="S28" s="294">
        <f t="shared" si="11"/>
        <v>0.72004268721815567</v>
      </c>
      <c r="T28" s="269">
        <f t="shared" si="18"/>
        <v>0.99994347122808591</v>
      </c>
      <c r="U28" s="269">
        <f t="shared" si="12"/>
        <v>0.99986400140858367</v>
      </c>
      <c r="V28" s="269">
        <f t="shared" si="12"/>
        <v>0.99975141762888087</v>
      </c>
      <c r="W28" s="269">
        <f t="shared" si="12"/>
        <v>0.99954891248247479</v>
      </c>
      <c r="X28" s="300">
        <f t="shared" si="12"/>
        <v>0.99895862883763353</v>
      </c>
      <c r="Y28" s="269">
        <f t="shared" si="19"/>
        <v>1</v>
      </c>
      <c r="Z28" s="269">
        <f t="shared" si="13"/>
        <v>0.99839096991083853</v>
      </c>
      <c r="AA28" s="269">
        <f t="shared" si="13"/>
        <v>0.99602533919512193</v>
      </c>
      <c r="AB28" s="269">
        <f t="shared" si="13"/>
        <v>0.99161257044053608</v>
      </c>
      <c r="AC28" s="300">
        <f t="shared" si="13"/>
        <v>0.97799403709902955</v>
      </c>
      <c r="AD28" s="305">
        <f t="shared" si="20"/>
        <v>3.867136828681339E-4</v>
      </c>
      <c r="AE28" s="306">
        <f t="shared" si="21"/>
        <v>0.99961328631713187</v>
      </c>
      <c r="AF28" s="187">
        <f>AE28*GBDUS!K96/(Y28+Z28+AA28+AB28+AC28)</f>
        <v>0</v>
      </c>
      <c r="AG28" s="187">
        <f t="shared" si="22"/>
        <v>0</v>
      </c>
      <c r="AH28" s="187">
        <f t="shared" si="14"/>
        <v>0</v>
      </c>
      <c r="AI28" s="187">
        <f t="shared" si="14"/>
        <v>0</v>
      </c>
      <c r="AJ28" s="265">
        <f t="shared" si="14"/>
        <v>0</v>
      </c>
      <c r="AK28" s="274">
        <f>AE28*GBDUS!L96/(Y28+Z28+AA28+AB28+AC28)</f>
        <v>0</v>
      </c>
      <c r="AL28" s="274">
        <f t="shared" si="23"/>
        <v>0</v>
      </c>
      <c r="AM28" s="274">
        <f t="shared" si="15"/>
        <v>0</v>
      </c>
      <c r="AN28" s="274">
        <f t="shared" si="15"/>
        <v>0</v>
      </c>
      <c r="AO28" s="276">
        <f t="shared" si="15"/>
        <v>0</v>
      </c>
      <c r="AP28" s="274">
        <f>AE28*GBDUS!M96/(Y28+Z28+AA28+AB28+AC28)</f>
        <v>181.38356123901366</v>
      </c>
      <c r="AQ28" s="274">
        <f t="shared" si="24"/>
        <v>181.09170963130083</v>
      </c>
      <c r="AR28" s="274">
        <f t="shared" si="16"/>
        <v>180.66262310750776</v>
      </c>
      <c r="AS28" s="274">
        <f t="shared" si="16"/>
        <v>179.86221939587674</v>
      </c>
      <c r="AT28" s="276">
        <f t="shared" si="16"/>
        <v>177.39204131954202</v>
      </c>
      <c r="AU28" s="338">
        <f t="shared" si="25"/>
        <v>0</v>
      </c>
      <c r="AV28" s="338">
        <f t="shared" si="26"/>
        <v>0</v>
      </c>
      <c r="AW28" s="338">
        <f t="shared" si="27"/>
        <v>-0.34832866962972275</v>
      </c>
      <c r="AX28" s="338">
        <f t="shared" si="28"/>
        <v>-0.34832866962972275</v>
      </c>
    </row>
    <row r="29" spans="2:50" x14ac:dyDescent="0.2">
      <c r="B29" s="185">
        <v>1</v>
      </c>
      <c r="C29" s="297" t="s">
        <v>11</v>
      </c>
      <c r="D29" s="188">
        <f>Scenario!AL36</f>
        <v>0.33207313165469332</v>
      </c>
      <c r="E29" s="188">
        <f>Scenario!AM36</f>
        <v>0.83403535522574834</v>
      </c>
      <c r="F29" s="188">
        <f>Scenario!AN36</f>
        <v>1.5782983900740115</v>
      </c>
      <c r="G29" s="188">
        <f>Scenario!AO36</f>
        <v>2.9867148826514303</v>
      </c>
      <c r="H29" s="294">
        <f>Scenario!AP36</f>
        <v>7.5014373963278462</v>
      </c>
      <c r="I29" s="191">
        <f>IF(D29+'Non-travel METs'!D30&gt;2.5, D29+'Non-travel METs'!D30, 0.1)</f>
        <v>23.415406464987992</v>
      </c>
      <c r="J29" s="191">
        <f>IF(E29+'Non-travel METs'!E30&gt;2.5, E29+'Non-travel METs'!E30, 0.1)</f>
        <v>23.917368688559048</v>
      </c>
      <c r="K29" s="191">
        <f>IF(F29+'Non-travel METs'!F30&gt;2.5, F29+'Non-travel METs'!F30, 0.1)</f>
        <v>24.661631723407311</v>
      </c>
      <c r="L29" s="191">
        <f>IF(G29+'Non-travel METs'!G30&gt;2.5, G29+'Non-travel METs'!G30, 0.1)</f>
        <v>26.07004821598473</v>
      </c>
      <c r="M29" s="196">
        <f>IF(H29+'Non-travel METs'!H30&gt;2.5, H29+'Non-travel METs'!H30, 0.1)</f>
        <v>30.584770729661145</v>
      </c>
      <c r="N29" s="241">
        <f>'Phy activity RRs'!$F$6</f>
        <v>0.96065247560449929</v>
      </c>
      <c r="O29" s="188">
        <f t="shared" si="17"/>
        <v>0.82345388510523354</v>
      </c>
      <c r="P29" s="188">
        <f t="shared" si="11"/>
        <v>0.82175025266503487</v>
      </c>
      <c r="Q29" s="188">
        <f t="shared" si="11"/>
        <v>0.81926318947789734</v>
      </c>
      <c r="R29" s="188">
        <f t="shared" si="11"/>
        <v>0.81467724786858442</v>
      </c>
      <c r="S29" s="294">
        <f t="shared" si="11"/>
        <v>0.80091342331151993</v>
      </c>
      <c r="T29" s="269">
        <f t="shared" si="18"/>
        <v>0.99991660743618893</v>
      </c>
      <c r="U29" s="269">
        <f t="shared" si="12"/>
        <v>0.99979939159367759</v>
      </c>
      <c r="V29" s="269">
        <f t="shared" si="12"/>
        <v>0.99963466740667373</v>
      </c>
      <c r="W29" s="269">
        <f t="shared" si="12"/>
        <v>0.99934316168233694</v>
      </c>
      <c r="X29" s="300">
        <f t="shared" si="12"/>
        <v>0.99852841766846401</v>
      </c>
      <c r="Y29" s="269">
        <f t="shared" si="19"/>
        <v>1</v>
      </c>
      <c r="Z29" s="269">
        <f t="shared" si="13"/>
        <v>0.99793111372596055</v>
      </c>
      <c r="AA29" s="269">
        <f t="shared" si="13"/>
        <v>0.99491083143435455</v>
      </c>
      <c r="AB29" s="269">
        <f t="shared" si="13"/>
        <v>0.98934167729923639</v>
      </c>
      <c r="AC29" s="300">
        <f t="shared" si="13"/>
        <v>0.97262692884030411</v>
      </c>
      <c r="AD29" s="305">
        <f t="shared" si="20"/>
        <v>5.5555084253171576E-4</v>
      </c>
      <c r="AE29" s="306">
        <f t="shared" si="21"/>
        <v>0.99944444915746833</v>
      </c>
      <c r="AF29" s="187">
        <f>AE29*GBDUS!K97/(Y29+Z29+AA29+AB29+AC29)</f>
        <v>0</v>
      </c>
      <c r="AG29" s="187">
        <f t="shared" si="22"/>
        <v>0</v>
      </c>
      <c r="AH29" s="187">
        <f t="shared" si="14"/>
        <v>0</v>
      </c>
      <c r="AI29" s="187">
        <f t="shared" si="14"/>
        <v>0</v>
      </c>
      <c r="AJ29" s="265">
        <f t="shared" si="14"/>
        <v>0</v>
      </c>
      <c r="AK29" s="274">
        <f>AE29*GBDUS!L97/(Y29+Z29+AA29+AB29+AC29)</f>
        <v>0</v>
      </c>
      <c r="AL29" s="274">
        <f t="shared" si="23"/>
        <v>0</v>
      </c>
      <c r="AM29" s="274">
        <f t="shared" si="15"/>
        <v>0</v>
      </c>
      <c r="AN29" s="274">
        <f t="shared" si="15"/>
        <v>0</v>
      </c>
      <c r="AO29" s="276">
        <f t="shared" si="15"/>
        <v>0</v>
      </c>
      <c r="AP29" s="274">
        <f>AE29*GBDUS!M97/(Y29+Z29+AA29+AB29+AC29)</f>
        <v>62.303401788104402</v>
      </c>
      <c r="AQ29" s="274">
        <f t="shared" si="24"/>
        <v>62.174503135319029</v>
      </c>
      <c r="AR29" s="274">
        <f t="shared" si="16"/>
        <v>61.986329274191604</v>
      </c>
      <c r="AS29" s="274">
        <f t="shared" si="16"/>
        <v>61.639352026491451</v>
      </c>
      <c r="AT29" s="276">
        <f t="shared" si="16"/>
        <v>60.597966337467497</v>
      </c>
      <c r="AU29" s="338">
        <f t="shared" si="25"/>
        <v>0</v>
      </c>
      <c r="AV29" s="338">
        <f t="shared" si="26"/>
        <v>0</v>
      </c>
      <c r="AW29" s="338">
        <f t="shared" si="27"/>
        <v>-0.1715947372173332</v>
      </c>
      <c r="AX29" s="338">
        <f t="shared" si="28"/>
        <v>-0.1715947372173332</v>
      </c>
    </row>
    <row r="30" spans="2:50" x14ac:dyDescent="0.2">
      <c r="B30" s="185">
        <v>1</v>
      </c>
      <c r="C30" s="297" t="s">
        <v>12</v>
      </c>
      <c r="D30" s="188">
        <f>Scenario!AL37</f>
        <v>0.19177331888346999</v>
      </c>
      <c r="E30" s="188">
        <f>Scenario!AM37</f>
        <v>0.48165814361673631</v>
      </c>
      <c r="F30" s="188">
        <f>Scenario!AN37</f>
        <v>0.91147247880225446</v>
      </c>
      <c r="G30" s="188">
        <f>Scenario!AO37</f>
        <v>1.7248376065556441</v>
      </c>
      <c r="H30" s="294">
        <f>Scenario!AP37</f>
        <v>4.3321046141916462</v>
      </c>
      <c r="I30" s="191">
        <f>IF(D30+'Non-travel METs'!D31&gt;2.5, D30+'Non-travel METs'!D31, 0.1)</f>
        <v>0.1</v>
      </c>
      <c r="J30" s="191">
        <f>IF(E30+'Non-travel METs'!E31&gt;2.5, E30+'Non-travel METs'!E31, 0.1)</f>
        <v>0.1</v>
      </c>
      <c r="K30" s="191">
        <f>IF(F30+'Non-travel METs'!F31&gt;2.5, F30+'Non-travel METs'!F31, 0.1)</f>
        <v>2.7864724788022546</v>
      </c>
      <c r="L30" s="191">
        <f>IF(G30+'Non-travel METs'!G31&gt;2.5, G30+'Non-travel METs'!G31, 0.1)</f>
        <v>3.5998376065556439</v>
      </c>
      <c r="M30" s="196">
        <f>IF(H30+'Non-travel METs'!H31&gt;2.5, H30+'Non-travel METs'!H31, 0.1)</f>
        <v>6.2071046141916462</v>
      </c>
      <c r="N30" s="241">
        <f>'Phy activity RRs'!$F$6</f>
        <v>0.96065247560449929</v>
      </c>
      <c r="O30" s="188">
        <f t="shared" si="17"/>
        <v>0.98738603830564786</v>
      </c>
      <c r="P30" s="188">
        <f t="shared" si="11"/>
        <v>0.98738603830564786</v>
      </c>
      <c r="Q30" s="188">
        <f t="shared" si="11"/>
        <v>0.9351868794173599</v>
      </c>
      <c r="R30" s="188">
        <f t="shared" si="11"/>
        <v>0.92666473936855376</v>
      </c>
      <c r="S30" s="294">
        <f t="shared" si="11"/>
        <v>0.90482707656595829</v>
      </c>
      <c r="T30" s="269">
        <f t="shared" si="18"/>
        <v>1</v>
      </c>
      <c r="U30" s="269">
        <f t="shared" si="12"/>
        <v>1</v>
      </c>
      <c r="V30" s="269">
        <f t="shared" si="12"/>
        <v>0.99938502444621014</v>
      </c>
      <c r="W30" s="269">
        <f t="shared" si="12"/>
        <v>0.99899919441786567</v>
      </c>
      <c r="X30" s="300">
        <f t="shared" si="12"/>
        <v>0.9981504849438374</v>
      </c>
      <c r="Y30" s="269">
        <f t="shared" si="19"/>
        <v>1</v>
      </c>
      <c r="Z30" s="269">
        <f t="shared" si="13"/>
        <v>1</v>
      </c>
      <c r="AA30" s="269">
        <f t="shared" si="13"/>
        <v>0.94713399130307574</v>
      </c>
      <c r="AB30" s="269">
        <f t="shared" si="13"/>
        <v>0.93850298000841526</v>
      </c>
      <c r="AC30" s="300">
        <f t="shared" si="13"/>
        <v>0.91638633874005293</v>
      </c>
      <c r="AD30" s="305">
        <f t="shared" si="20"/>
        <v>6.930592384172485E-4</v>
      </c>
      <c r="AE30" s="306">
        <f t="shared" si="21"/>
        <v>0.99930694076158277</v>
      </c>
      <c r="AF30" s="187">
        <f>AE30*GBDUS!K98/(Y30+Z30+AA30+AB30+AC30)</f>
        <v>0</v>
      </c>
      <c r="AG30" s="187">
        <f t="shared" si="22"/>
        <v>0</v>
      </c>
      <c r="AH30" s="187">
        <f t="shared" si="14"/>
        <v>0</v>
      </c>
      <c r="AI30" s="187">
        <f t="shared" si="14"/>
        <v>0</v>
      </c>
      <c r="AJ30" s="265">
        <f t="shared" si="14"/>
        <v>0</v>
      </c>
      <c r="AK30" s="274">
        <f>AE30*GBDUS!L98/(Y30+Z30+AA30+AB30+AC30)</f>
        <v>0</v>
      </c>
      <c r="AL30" s="274">
        <f t="shared" si="23"/>
        <v>0</v>
      </c>
      <c r="AM30" s="274">
        <f t="shared" si="15"/>
        <v>0</v>
      </c>
      <c r="AN30" s="274">
        <f t="shared" si="15"/>
        <v>0</v>
      </c>
      <c r="AO30" s="276">
        <f t="shared" si="15"/>
        <v>0</v>
      </c>
      <c r="AP30" s="274">
        <f>AE30*GBDUS!M98/(Y30+Z30+AA30+AB30+AC30)</f>
        <v>29.200906319021932</v>
      </c>
      <c r="AQ30" s="274">
        <f t="shared" si="24"/>
        <v>29.200906319021932</v>
      </c>
      <c r="AR30" s="274">
        <f t="shared" si="16"/>
        <v>27.657170951602449</v>
      </c>
      <c r="AS30" s="274">
        <f t="shared" si="16"/>
        <v>27.405137599348649</v>
      </c>
      <c r="AT30" s="276">
        <f t="shared" si="16"/>
        <v>26.759311629579784</v>
      </c>
      <c r="AU30" s="338">
        <f t="shared" si="25"/>
        <v>0</v>
      </c>
      <c r="AV30" s="338">
        <f t="shared" si="26"/>
        <v>0</v>
      </c>
      <c r="AW30" s="338">
        <f t="shared" si="27"/>
        <v>-9.7250545946792499E-2</v>
      </c>
      <c r="AX30" s="338">
        <f t="shared" si="28"/>
        <v>-9.7250545946792499E-2</v>
      </c>
    </row>
    <row r="31" spans="2:50" x14ac:dyDescent="0.2">
      <c r="B31" s="292">
        <v>1</v>
      </c>
      <c r="C31" s="298" t="s">
        <v>13</v>
      </c>
      <c r="D31" s="293">
        <f>Scenario!AL38</f>
        <v>0.18242608873991903</v>
      </c>
      <c r="E31" s="293">
        <f>Scenario!AM38</f>
        <v>0.45818162694010256</v>
      </c>
      <c r="F31" s="293">
        <f>Scenario!AN38</f>
        <v>0.86704636635616106</v>
      </c>
      <c r="G31" s="293">
        <f>Scenario!AO38</f>
        <v>1.6407672355436893</v>
      </c>
      <c r="H31" s="295">
        <f>Scenario!AP38</f>
        <v>4.1209533494038997</v>
      </c>
      <c r="I31" s="203">
        <f>IF(D31+'Non-travel METs'!D32&gt;2.5, D31+'Non-travel METs'!D32, 0.1)</f>
        <v>0.1</v>
      </c>
      <c r="J31" s="201">
        <f>IF(E31+'Non-travel METs'!E32&gt;2.5, E31+'Non-travel METs'!E32, 0.1)</f>
        <v>0.1</v>
      </c>
      <c r="K31" s="201">
        <f>IF(F31+'Non-travel METs'!F32&gt;2.5, F31+'Non-travel METs'!F32, 0.1)</f>
        <v>0.1</v>
      </c>
      <c r="L31" s="201">
        <f>IF(G31+'Non-travel METs'!G32&gt;2.5, G31+'Non-travel METs'!G32, 0.1)</f>
        <v>0.1</v>
      </c>
      <c r="M31" s="202">
        <f>IF(H31+'Non-travel METs'!H32&gt;2.5, H31+'Non-travel METs'!H32, 0.1)</f>
        <v>4.4542866827372327</v>
      </c>
      <c r="N31" s="241">
        <f>'Phy activity RRs'!$F$6</f>
        <v>0.96065247560449929</v>
      </c>
      <c r="O31" s="299">
        <f t="shared" si="17"/>
        <v>0.98738603830564786</v>
      </c>
      <c r="P31" s="293">
        <f t="shared" si="11"/>
        <v>0.98738603830564786</v>
      </c>
      <c r="Q31" s="293">
        <f t="shared" si="11"/>
        <v>0.98738603830564786</v>
      </c>
      <c r="R31" s="293">
        <f t="shared" si="11"/>
        <v>0.98738603830564786</v>
      </c>
      <c r="S31" s="295">
        <f t="shared" si="11"/>
        <v>0.91876802763871801</v>
      </c>
      <c r="T31" s="301">
        <f t="shared" si="18"/>
        <v>1</v>
      </c>
      <c r="U31" s="302">
        <f t="shared" si="12"/>
        <v>1</v>
      </c>
      <c r="V31" s="302">
        <f t="shared" si="12"/>
        <v>1</v>
      </c>
      <c r="W31" s="302">
        <f t="shared" si="12"/>
        <v>1</v>
      </c>
      <c r="X31" s="303">
        <f t="shared" si="12"/>
        <v>0.99665460779039672</v>
      </c>
      <c r="Y31" s="301">
        <f t="shared" si="19"/>
        <v>1</v>
      </c>
      <c r="Z31" s="302">
        <f t="shared" si="13"/>
        <v>1</v>
      </c>
      <c r="AA31" s="302">
        <f t="shared" si="13"/>
        <v>1</v>
      </c>
      <c r="AB31" s="302">
        <f t="shared" si="13"/>
        <v>1</v>
      </c>
      <c r="AC31" s="303">
        <f t="shared" si="13"/>
        <v>0.93050538694604368</v>
      </c>
      <c r="AD31" s="304">
        <f t="shared" si="20"/>
        <v>6.6907844192058978E-4</v>
      </c>
      <c r="AE31" s="306">
        <f t="shared" si="21"/>
        <v>0.99933092155807945</v>
      </c>
      <c r="AF31" s="187">
        <f>AE31*GBDUS!K99/(Y31+Z31+AA31+AB31+AC31)</f>
        <v>0</v>
      </c>
      <c r="AG31" s="267">
        <f t="shared" si="22"/>
        <v>0</v>
      </c>
      <c r="AH31" s="267">
        <f t="shared" si="14"/>
        <v>0</v>
      </c>
      <c r="AI31" s="267">
        <f t="shared" si="14"/>
        <v>0</v>
      </c>
      <c r="AJ31" s="268">
        <f t="shared" si="14"/>
        <v>0</v>
      </c>
      <c r="AK31" s="274">
        <f>AE31*GBDUS!L99/(Y31+Z31+AA31+AB31+AC31)</f>
        <v>0</v>
      </c>
      <c r="AL31" s="278">
        <f t="shared" si="23"/>
        <v>0</v>
      </c>
      <c r="AM31" s="278">
        <f t="shared" si="15"/>
        <v>0</v>
      </c>
      <c r="AN31" s="278">
        <f t="shared" si="15"/>
        <v>0</v>
      </c>
      <c r="AO31" s="279">
        <f t="shared" si="15"/>
        <v>0</v>
      </c>
      <c r="AP31" s="274">
        <f>AE31*GBDUS!M99/(Y31+Z31+AA31+AB31+AC31)</f>
        <v>17.16210318307952</v>
      </c>
      <c r="AQ31" s="278">
        <f t="shared" si="24"/>
        <v>17.16210318307952</v>
      </c>
      <c r="AR31" s="278">
        <f t="shared" si="16"/>
        <v>17.16210318307952</v>
      </c>
      <c r="AS31" s="278">
        <f t="shared" si="16"/>
        <v>17.16210318307952</v>
      </c>
      <c r="AT31" s="279">
        <f t="shared" si="16"/>
        <v>15.969429463179337</v>
      </c>
      <c r="AU31" s="339">
        <f t="shared" si="25"/>
        <v>0</v>
      </c>
      <c r="AV31" s="340">
        <f t="shared" si="26"/>
        <v>0</v>
      </c>
      <c r="AW31" s="340">
        <f t="shared" si="27"/>
        <v>-5.6653879904516202E-2</v>
      </c>
      <c r="AX31" s="340">
        <f t="shared" si="28"/>
        <v>-5.6653879904516202E-2</v>
      </c>
    </row>
    <row r="32" spans="2:50" x14ac:dyDescent="0.2">
      <c r="B32" s="185">
        <v>2</v>
      </c>
      <c r="C32" s="297" t="s">
        <v>6</v>
      </c>
      <c r="D32" s="188">
        <f>Scenario!AL39</f>
        <v>0.63983865075854696</v>
      </c>
      <c r="E32" s="188">
        <f>Scenario!AM39</f>
        <v>1.6070196757968449</v>
      </c>
      <c r="F32" s="188">
        <f>Scenario!AN39</f>
        <v>3.0410660066573612</v>
      </c>
      <c r="G32" s="331">
        <f>Scenario!AO39</f>
        <v>5.7548035012460339</v>
      </c>
      <c r="H32" s="294">
        <f>Scenario!AP39</f>
        <v>14.453772753307545</v>
      </c>
      <c r="I32" s="191">
        <f>IF(D32+'Non-travel METs'!D33&gt;2.5, D32+'Non-travel METs'!D33, 0.1)</f>
        <v>0.1</v>
      </c>
      <c r="J32" s="191">
        <f>IF(E32+'Non-travel METs'!E33&gt;2.5, E32+'Non-travel METs'!E33, 0.1)</f>
        <v>0.1</v>
      </c>
      <c r="K32" s="191">
        <f>IF(F32+'Non-travel METs'!F33&gt;2.5, F32+'Non-travel METs'!F33, 0.1)</f>
        <v>3.0410660066573612</v>
      </c>
      <c r="L32" s="191">
        <f>IF(G32+'Non-travel METs'!G33&gt;2.5, G32+'Non-travel METs'!G33, 0.1)</f>
        <v>5.7548035012460339</v>
      </c>
      <c r="M32" s="196">
        <f>IF(H32+'Non-travel METs'!H33&gt;2.5, H32+'Non-travel METs'!H33, 0.1)</f>
        <v>14.453772753307545</v>
      </c>
      <c r="N32" s="336">
        <f>'Phy activity RRs'!$F$7</f>
        <v>0.97288384048792509</v>
      </c>
      <c r="O32" s="187">
        <f t="shared" si="17"/>
        <v>0.99134439051762713</v>
      </c>
      <c r="P32" s="187">
        <f t="shared" si="11"/>
        <v>0.99134439051762713</v>
      </c>
      <c r="Q32" s="187">
        <f t="shared" si="11"/>
        <v>0.95319109220807396</v>
      </c>
      <c r="R32" s="187">
        <f t="shared" si="11"/>
        <v>0.9361798812743537</v>
      </c>
      <c r="S32" s="265">
        <f t="shared" si="11"/>
        <v>0.9007621538410594</v>
      </c>
      <c r="T32" s="269">
        <f t="shared" si="18"/>
        <v>1</v>
      </c>
      <c r="U32" s="269">
        <f t="shared" si="12"/>
        <v>1</v>
      </c>
      <c r="V32" s="269">
        <f t="shared" si="12"/>
        <v>0.99801022690261731</v>
      </c>
      <c r="W32" s="269">
        <f t="shared" si="12"/>
        <v>0.99730912495401425</v>
      </c>
      <c r="X32" s="300">
        <f t="shared" si="12"/>
        <v>0.99584243440694253</v>
      </c>
      <c r="Y32" s="269">
        <f t="shared" si="19"/>
        <v>1</v>
      </c>
      <c r="Z32" s="269">
        <f t="shared" si="13"/>
        <v>1</v>
      </c>
      <c r="AA32" s="269">
        <f t="shared" si="13"/>
        <v>0.96151357825343464</v>
      </c>
      <c r="AB32" s="269">
        <f t="shared" si="13"/>
        <v>0.94435383932069317</v>
      </c>
      <c r="AC32" s="300">
        <f t="shared" si="13"/>
        <v>0.90862687322084856</v>
      </c>
      <c r="AD32" s="333">
        <f t="shared" si="20"/>
        <v>1.7676427472851585E-3</v>
      </c>
      <c r="AE32" s="308">
        <f t="shared" si="21"/>
        <v>0.99823235725271486</v>
      </c>
      <c r="AF32" s="384">
        <f>AE32*GBDUS!K100/(Y32+Z32+AA32+AB32+AC32)</f>
        <v>0</v>
      </c>
      <c r="AG32" s="187">
        <f t="shared" si="22"/>
        <v>0</v>
      </c>
      <c r="AH32" s="187">
        <f t="shared" si="14"/>
        <v>0</v>
      </c>
      <c r="AI32" s="187">
        <f t="shared" si="14"/>
        <v>0</v>
      </c>
      <c r="AJ32" s="265">
        <f t="shared" si="14"/>
        <v>0</v>
      </c>
      <c r="AK32" s="382">
        <f>AE32*GBDUS!L100/(Y32+Z32+AA32+AB32+AC32)</f>
        <v>0</v>
      </c>
      <c r="AL32" s="274">
        <f t="shared" si="23"/>
        <v>0</v>
      </c>
      <c r="AM32" s="274">
        <f t="shared" si="15"/>
        <v>0</v>
      </c>
      <c r="AN32" s="274">
        <f t="shared" si="15"/>
        <v>0</v>
      </c>
      <c r="AO32" s="276">
        <f t="shared" si="15"/>
        <v>0</v>
      </c>
      <c r="AP32" s="382">
        <f>AE32*GBDUS!M100/(Y32+Z32+AA32+AB32+AC32)</f>
        <v>7.4220259889021881E-2</v>
      </c>
      <c r="AQ32" s="274">
        <f t="shared" si="24"/>
        <v>7.4220259889021881E-2</v>
      </c>
      <c r="AR32" s="274">
        <f t="shared" si="16"/>
        <v>7.1363787664793302E-2</v>
      </c>
      <c r="AS32" s="274">
        <f t="shared" si="16"/>
        <v>7.0090187381577462E-2</v>
      </c>
      <c r="AT32" s="276">
        <f t="shared" si="16"/>
        <v>6.7438522672600712E-2</v>
      </c>
      <c r="AU32" s="338">
        <f t="shared" si="25"/>
        <v>0</v>
      </c>
      <c r="AV32" s="338">
        <f t="shared" si="26"/>
        <v>0</v>
      </c>
      <c r="AW32" s="338">
        <f t="shared" si="27"/>
        <v>-6.3275560259579144E-4</v>
      </c>
      <c r="AX32" s="338">
        <f t="shared" si="28"/>
        <v>-6.3275560259579144E-4</v>
      </c>
    </row>
    <row r="33" spans="2:50" x14ac:dyDescent="0.2">
      <c r="B33" s="185">
        <v>2</v>
      </c>
      <c r="C33" s="297" t="s">
        <v>7</v>
      </c>
      <c r="D33" s="188">
        <f>Scenario!AL40</f>
        <v>0.47238269054572068</v>
      </c>
      <c r="E33" s="188">
        <f>Scenario!AM40</f>
        <v>1.1864370452032824</v>
      </c>
      <c r="F33" s="188">
        <f>Scenario!AN40</f>
        <v>2.2451706233264708</v>
      </c>
      <c r="G33" s="188">
        <f>Scenario!AO40</f>
        <v>4.2486798167908608</v>
      </c>
      <c r="H33" s="294">
        <f>Scenario!AP40</f>
        <v>10.670990340532573</v>
      </c>
      <c r="I33" s="191">
        <f>IF(D33+'Non-travel METs'!D34&gt;2.5, D33+'Non-travel METs'!D34, 0.1)</f>
        <v>0.1</v>
      </c>
      <c r="J33" s="191">
        <f>IF(E33+'Non-travel METs'!E34&gt;2.5, E33+'Non-travel METs'!E34, 0.1)</f>
        <v>0.1</v>
      </c>
      <c r="K33" s="191">
        <f>IF(F33+'Non-travel METs'!F34&gt;2.5, F33+'Non-travel METs'!F34, 0.1)</f>
        <v>0.1</v>
      </c>
      <c r="L33" s="191">
        <f>IF(G33+'Non-travel METs'!G34&gt;2.5, G33+'Non-travel METs'!G34, 0.1)</f>
        <v>4.2486798167908608</v>
      </c>
      <c r="M33" s="196">
        <f>IF(H33+'Non-travel METs'!H34&gt;2.5, H33+'Non-travel METs'!H34, 0.1)</f>
        <v>10.670990340532573</v>
      </c>
      <c r="N33" s="241">
        <f>'Phy activity RRs'!$F$7</f>
        <v>0.97288384048792509</v>
      </c>
      <c r="O33" s="187">
        <f t="shared" si="17"/>
        <v>0.99134439051762713</v>
      </c>
      <c r="P33" s="187">
        <f t="shared" si="11"/>
        <v>0.99134439051762713</v>
      </c>
      <c r="Q33" s="187">
        <f t="shared" si="11"/>
        <v>0.99134439051762713</v>
      </c>
      <c r="R33" s="187">
        <f t="shared" si="11"/>
        <v>0.94491103993886383</v>
      </c>
      <c r="S33" s="265">
        <f t="shared" si="11"/>
        <v>0.91411209274609173</v>
      </c>
      <c r="T33" s="269">
        <f t="shared" si="18"/>
        <v>1</v>
      </c>
      <c r="U33" s="269">
        <f t="shared" si="12"/>
        <v>1</v>
      </c>
      <c r="V33" s="269">
        <f t="shared" si="12"/>
        <v>1</v>
      </c>
      <c r="W33" s="269">
        <f t="shared" si="12"/>
        <v>0.99795740557276025</v>
      </c>
      <c r="X33" s="300">
        <f t="shared" si="12"/>
        <v>0.99685436227253499</v>
      </c>
      <c r="Y33" s="269">
        <f t="shared" si="19"/>
        <v>1</v>
      </c>
      <c r="Z33" s="269">
        <f t="shared" si="13"/>
        <v>1</v>
      </c>
      <c r="AA33" s="269">
        <f t="shared" si="13"/>
        <v>1</v>
      </c>
      <c r="AB33" s="269">
        <f t="shared" si="13"/>
        <v>0.95316123133100261</v>
      </c>
      <c r="AC33" s="300">
        <f t="shared" si="13"/>
        <v>0.92209337288809512</v>
      </c>
      <c r="AD33" s="333">
        <f t="shared" si="20"/>
        <v>1.0376464309409528E-3</v>
      </c>
      <c r="AE33" s="306">
        <f t="shared" si="21"/>
        <v>0.99896235356905905</v>
      </c>
      <c r="AF33" s="187">
        <f>AE33*GBDUS!K101/(Y33+Z33+AA33+AB33+AC33)</f>
        <v>0</v>
      </c>
      <c r="AG33" s="187">
        <f t="shared" si="22"/>
        <v>0</v>
      </c>
      <c r="AH33" s="187">
        <f t="shared" si="14"/>
        <v>0</v>
      </c>
      <c r="AI33" s="187">
        <f t="shared" si="14"/>
        <v>0</v>
      </c>
      <c r="AJ33" s="265">
        <f t="shared" si="14"/>
        <v>0</v>
      </c>
      <c r="AK33" s="274">
        <f>AE33*GBDUS!L101/(Y33+Z33+AA33+AB33+AC33)</f>
        <v>0</v>
      </c>
      <c r="AL33" s="274">
        <f t="shared" si="23"/>
        <v>0</v>
      </c>
      <c r="AM33" s="274">
        <f t="shared" si="15"/>
        <v>0</v>
      </c>
      <c r="AN33" s="274">
        <f t="shared" si="15"/>
        <v>0</v>
      </c>
      <c r="AO33" s="276">
        <f t="shared" si="15"/>
        <v>0</v>
      </c>
      <c r="AP33" s="274">
        <f>AE33*GBDUS!M101/(Y33+Z33+AA33+AB33+AC33)</f>
        <v>117.14612973194872</v>
      </c>
      <c r="AQ33" s="274">
        <f t="shared" si="24"/>
        <v>117.14612973194872</v>
      </c>
      <c r="AR33" s="274">
        <f t="shared" si="16"/>
        <v>117.14612973194872</v>
      </c>
      <c r="AS33" s="274">
        <f t="shared" si="16"/>
        <v>111.65914926096562</v>
      </c>
      <c r="AT33" s="276">
        <f t="shared" si="16"/>
        <v>108.01966988531896</v>
      </c>
      <c r="AU33" s="338">
        <f t="shared" si="25"/>
        <v>0</v>
      </c>
      <c r="AV33" s="338">
        <f t="shared" si="26"/>
        <v>0</v>
      </c>
      <c r="AW33" s="338">
        <f t="shared" si="27"/>
        <v>-0.59323329930077762</v>
      </c>
      <c r="AX33" s="338">
        <f t="shared" si="28"/>
        <v>-0.59323329930077762</v>
      </c>
    </row>
    <row r="34" spans="2:50" x14ac:dyDescent="0.2">
      <c r="B34" s="185">
        <v>2</v>
      </c>
      <c r="C34" s="297" t="s">
        <v>8</v>
      </c>
      <c r="D34" s="188">
        <f>Scenario!AL41</f>
        <v>0.46001598825921336</v>
      </c>
      <c r="E34" s="188">
        <f>Scenario!AM41</f>
        <v>1.1553768179482105</v>
      </c>
      <c r="F34" s="188">
        <f>Scenario!AN41</f>
        <v>2.1863933708216963</v>
      </c>
      <c r="G34" s="188">
        <f>Scenario!AO41</f>
        <v>4.1374518665367024</v>
      </c>
      <c r="H34" s="294">
        <f>Scenario!AP41</f>
        <v>10.391630060647827</v>
      </c>
      <c r="I34" s="191">
        <f>IF(D34+'Non-travel METs'!D35&gt;2.5, D34+'Non-travel METs'!D35, 0.1)</f>
        <v>37.960015988259215</v>
      </c>
      <c r="J34" s="191">
        <f>IF(E34+'Non-travel METs'!E35&gt;2.5, E34+'Non-travel METs'!E35, 0.1)</f>
        <v>38.655376817948209</v>
      </c>
      <c r="K34" s="191">
        <f>IF(F34+'Non-travel METs'!F35&gt;2.5, F34+'Non-travel METs'!F35, 0.1)</f>
        <v>39.686393370821698</v>
      </c>
      <c r="L34" s="191">
        <f>IF(G34+'Non-travel METs'!G35&gt;2.5, G34+'Non-travel METs'!G35, 0.1)</f>
        <v>41.637451866536701</v>
      </c>
      <c r="M34" s="196">
        <f>IF(H34+'Non-travel METs'!H35&gt;2.5, H34+'Non-travel METs'!H35, 0.1)</f>
        <v>47.891630060647827</v>
      </c>
      <c r="N34" s="241">
        <f>'Phy activity RRs'!$F$7</f>
        <v>0.97288384048792509</v>
      </c>
      <c r="O34" s="187">
        <f t="shared" si="17"/>
        <v>0.84419296500964236</v>
      </c>
      <c r="P34" s="187">
        <f t="shared" si="11"/>
        <v>0.84289030186426017</v>
      </c>
      <c r="Q34" s="187">
        <f t="shared" si="11"/>
        <v>0.84098384575811602</v>
      </c>
      <c r="R34" s="187">
        <f t="shared" si="11"/>
        <v>0.83745415814110646</v>
      </c>
      <c r="S34" s="265">
        <f t="shared" si="11"/>
        <v>0.82675634814136201</v>
      </c>
      <c r="T34" s="269">
        <f t="shared" si="18"/>
        <v>0.99991207126504189</v>
      </c>
      <c r="U34" s="269">
        <f t="shared" si="12"/>
        <v>0.99978593907232927</v>
      </c>
      <c r="V34" s="269">
        <f t="shared" si="12"/>
        <v>0.99960633686062017</v>
      </c>
      <c r="W34" s="269">
        <f t="shared" si="12"/>
        <v>0.99928382916533331</v>
      </c>
      <c r="X34" s="300">
        <f t="shared" si="12"/>
        <v>0.99835924963479394</v>
      </c>
      <c r="Y34" s="269">
        <f t="shared" si="19"/>
        <v>1</v>
      </c>
      <c r="Z34" s="269">
        <f t="shared" si="13"/>
        <v>0.99845691305261319</v>
      </c>
      <c r="AA34" s="269">
        <f t="shared" si="13"/>
        <v>0.99619859512630538</v>
      </c>
      <c r="AB34" s="269">
        <f t="shared" si="13"/>
        <v>0.99201745673341535</v>
      </c>
      <c r="AC34" s="300">
        <f t="shared" si="13"/>
        <v>0.97934522367397225</v>
      </c>
      <c r="AD34" s="333">
        <f t="shared" si="20"/>
        <v>6.1051480037619397E-4</v>
      </c>
      <c r="AE34" s="306">
        <f t="shared" si="21"/>
        <v>0.99938948519962378</v>
      </c>
      <c r="AF34" s="187">
        <f>AE34*GBDUS!K102/(Y34+Z34+AA34+AB34+AC34)</f>
        <v>0</v>
      </c>
      <c r="AG34" s="187">
        <f t="shared" si="22"/>
        <v>0</v>
      </c>
      <c r="AH34" s="187">
        <f t="shared" si="14"/>
        <v>0</v>
      </c>
      <c r="AI34" s="187">
        <f t="shared" si="14"/>
        <v>0</v>
      </c>
      <c r="AJ34" s="265">
        <f t="shared" si="14"/>
        <v>0</v>
      </c>
      <c r="AK34" s="274">
        <f>AE34*GBDUS!L102/(Y34+Z34+AA34+AB34+AC34)</f>
        <v>0</v>
      </c>
      <c r="AL34" s="274">
        <f t="shared" si="23"/>
        <v>0</v>
      </c>
      <c r="AM34" s="274">
        <f t="shared" si="15"/>
        <v>0</v>
      </c>
      <c r="AN34" s="274">
        <f t="shared" si="15"/>
        <v>0</v>
      </c>
      <c r="AO34" s="276">
        <f t="shared" si="15"/>
        <v>0</v>
      </c>
      <c r="AP34" s="274">
        <f>AE34*GBDUS!M102/(Y34+Z34+AA34+AB34+AC34)</f>
        <v>334.05123002785945</v>
      </c>
      <c r="AQ34" s="274">
        <f t="shared" si="24"/>
        <v>333.53575993504495</v>
      </c>
      <c r="AR34" s="274">
        <f t="shared" si="16"/>
        <v>332.78136605396787</v>
      </c>
      <c r="AS34" s="274">
        <f t="shared" si="16"/>
        <v>331.38465163090626</v>
      </c>
      <c r="AT34" s="276">
        <f t="shared" si="16"/>
        <v>327.15147659019959</v>
      </c>
      <c r="AU34" s="338">
        <f t="shared" si="25"/>
        <v>0</v>
      </c>
      <c r="AV34" s="338">
        <f t="shared" si="26"/>
        <v>0</v>
      </c>
      <c r="AW34" s="338">
        <f t="shared" si="27"/>
        <v>-1.0134044384462868</v>
      </c>
      <c r="AX34" s="338">
        <f t="shared" si="28"/>
        <v>-1.0134044384462868</v>
      </c>
    </row>
    <row r="35" spans="2:50" x14ac:dyDescent="0.2">
      <c r="B35" s="185">
        <v>2</v>
      </c>
      <c r="C35" s="297" t="s">
        <v>9</v>
      </c>
      <c r="D35" s="188">
        <f>Scenario!AL42</f>
        <v>0.38779511810305101</v>
      </c>
      <c r="E35" s="188">
        <f>Scenario!AM42</f>
        <v>0.97398677655804244</v>
      </c>
      <c r="F35" s="188">
        <f>Scenario!AN42</f>
        <v>1.8431374063019774</v>
      </c>
      <c r="G35" s="188">
        <f>Scenario!AO42</f>
        <v>3.4878866738979131</v>
      </c>
      <c r="H35" s="294">
        <f>Scenario!AP42</f>
        <v>8.7601811882707494</v>
      </c>
      <c r="I35" s="191">
        <f>IF(D35+'Non-travel METs'!D36&gt;2.5, D35+'Non-travel METs'!D36, 0.1)</f>
        <v>37.951128451436347</v>
      </c>
      <c r="J35" s="191">
        <f>IF(E35+'Non-travel METs'!E36&gt;2.5, E35+'Non-travel METs'!E36, 0.1)</f>
        <v>38.53732010989134</v>
      </c>
      <c r="K35" s="191">
        <f>IF(F35+'Non-travel METs'!F36&gt;2.5, F35+'Non-travel METs'!F36, 0.1)</f>
        <v>39.406470739635274</v>
      </c>
      <c r="L35" s="191">
        <f>IF(G35+'Non-travel METs'!G36&gt;2.5, G35+'Non-travel METs'!G36, 0.1)</f>
        <v>41.051220007231208</v>
      </c>
      <c r="M35" s="196">
        <f>IF(H35+'Non-travel METs'!H36&gt;2.5, H35+'Non-travel METs'!H36, 0.1)</f>
        <v>46.323514521604046</v>
      </c>
      <c r="N35" s="241">
        <f>'Phy activity RRs'!$F$7</f>
        <v>0.97288384048792509</v>
      </c>
      <c r="O35" s="187">
        <f t="shared" si="17"/>
        <v>0.84420970455624456</v>
      </c>
      <c r="P35" s="187">
        <f t="shared" si="11"/>
        <v>0.84311049282051109</v>
      </c>
      <c r="Q35" s="187">
        <f t="shared" si="11"/>
        <v>0.84149855216293756</v>
      </c>
      <c r="R35" s="187">
        <f t="shared" si="11"/>
        <v>0.83850430816942578</v>
      </c>
      <c r="S35" s="265">
        <f t="shared" si="11"/>
        <v>0.82935687547767989</v>
      </c>
      <c r="T35" s="269">
        <f t="shared" si="18"/>
        <v>0.99992525584333336</v>
      </c>
      <c r="U35" s="269">
        <f t="shared" si="12"/>
        <v>0.99981775047247101</v>
      </c>
      <c r="V35" s="269">
        <f t="shared" si="12"/>
        <v>0.99966413483250594</v>
      </c>
      <c r="W35" s="269">
        <f t="shared" si="12"/>
        <v>0.9993867682917642</v>
      </c>
      <c r="X35" s="300">
        <f t="shared" si="12"/>
        <v>0.99858153466502764</v>
      </c>
      <c r="Y35" s="269">
        <f t="shared" si="19"/>
        <v>1</v>
      </c>
      <c r="Z35" s="269">
        <f t="shared" si="13"/>
        <v>0.99869793994335654</v>
      </c>
      <c r="AA35" s="269">
        <f t="shared" si="13"/>
        <v>0.99678853206889861</v>
      </c>
      <c r="AB35" s="269">
        <f t="shared" si="13"/>
        <v>0.99324173086849576</v>
      </c>
      <c r="AC35" s="300">
        <f t="shared" si="13"/>
        <v>0.9824062327187153</v>
      </c>
      <c r="AD35" s="333">
        <f t="shared" si="20"/>
        <v>5.2491117897943693E-4</v>
      </c>
      <c r="AE35" s="306">
        <f t="shared" si="21"/>
        <v>0.99947508882102054</v>
      </c>
      <c r="AF35" s="187">
        <f>AE35*GBDUS!K103/(Y35+Z35+AA35+AB35+AC35)</f>
        <v>0</v>
      </c>
      <c r="AG35" s="187">
        <f t="shared" si="22"/>
        <v>0</v>
      </c>
      <c r="AH35" s="187">
        <f t="shared" si="14"/>
        <v>0</v>
      </c>
      <c r="AI35" s="187">
        <f t="shared" si="14"/>
        <v>0</v>
      </c>
      <c r="AJ35" s="265">
        <f t="shared" si="14"/>
        <v>0</v>
      </c>
      <c r="AK35" s="274">
        <f>AE35*GBDUS!L103/(Y35+Z35+AA35+AB35+AC35)</f>
        <v>0</v>
      </c>
      <c r="AL35" s="274">
        <f t="shared" si="23"/>
        <v>0</v>
      </c>
      <c r="AM35" s="274">
        <f t="shared" si="15"/>
        <v>0</v>
      </c>
      <c r="AN35" s="274">
        <f t="shared" si="15"/>
        <v>0</v>
      </c>
      <c r="AO35" s="276">
        <f t="shared" si="15"/>
        <v>0</v>
      </c>
      <c r="AP35" s="274">
        <f>AE35*GBDUS!M103/(Y35+Z35+AA35+AB35+AC35)</f>
        <v>321.84360345173314</v>
      </c>
      <c r="AQ35" s="274">
        <f t="shared" si="24"/>
        <v>321.42454375119246</v>
      </c>
      <c r="AR35" s="274">
        <f t="shared" si="16"/>
        <v>320.8100130404178</v>
      </c>
      <c r="AS35" s="274">
        <f t="shared" si="16"/>
        <v>319.66849776135319</v>
      </c>
      <c r="AT35" s="276">
        <f t="shared" si="16"/>
        <v>316.1811619916333</v>
      </c>
      <c r="AU35" s="338">
        <f t="shared" si="25"/>
        <v>0</v>
      </c>
      <c r="AV35" s="338">
        <f t="shared" si="26"/>
        <v>0</v>
      </c>
      <c r="AW35" s="338">
        <f t="shared" si="27"/>
        <v>-0.84026106070041351</v>
      </c>
      <c r="AX35" s="338">
        <f t="shared" si="28"/>
        <v>-0.84026106070041351</v>
      </c>
    </row>
    <row r="36" spans="2:50" x14ac:dyDescent="0.2">
      <c r="B36" s="185">
        <v>2</v>
      </c>
      <c r="C36" s="297" t="s">
        <v>10</v>
      </c>
      <c r="D36" s="188">
        <f>Scenario!AL43</f>
        <v>0.2880222001316094</v>
      </c>
      <c r="E36" s="188">
        <f>Scenario!AM43</f>
        <v>0.72339697223520716</v>
      </c>
      <c r="F36" s="188">
        <f>Scenario!AN43</f>
        <v>1.3689303091404414</v>
      </c>
      <c r="G36" s="188">
        <f>Scenario!AO43</f>
        <v>2.5905142863578874</v>
      </c>
      <c r="H36" s="294">
        <f>Scenario!AP43</f>
        <v>6.5063394086533934</v>
      </c>
      <c r="I36" s="191">
        <f>IF(D36+'Non-travel METs'!D37&gt;2.5, D36+'Non-travel METs'!D37, 0.1)</f>
        <v>38.041355533464909</v>
      </c>
      <c r="J36" s="191">
        <f>IF(E36+'Non-travel METs'!E37&gt;2.5, E36+'Non-travel METs'!E37, 0.1)</f>
        <v>38.476730305568509</v>
      </c>
      <c r="K36" s="191">
        <f>IF(F36+'Non-travel METs'!F37&gt;2.5, F36+'Non-travel METs'!F37, 0.1)</f>
        <v>39.12226364247374</v>
      </c>
      <c r="L36" s="191">
        <f>IF(G36+'Non-travel METs'!G37&gt;2.5, G36+'Non-travel METs'!G37, 0.1)</f>
        <v>40.343847619691189</v>
      </c>
      <c r="M36" s="196">
        <f>IF(H36+'Non-travel METs'!H37&gt;2.5, H36+'Non-travel METs'!H37, 0.1)</f>
        <v>44.259672741986698</v>
      </c>
      <c r="N36" s="241">
        <f>'Phy activity RRs'!$F$7</f>
        <v>0.97288384048792509</v>
      </c>
      <c r="O36" s="187">
        <f t="shared" si="17"/>
        <v>0.84403986950282306</v>
      </c>
      <c r="P36" s="187">
        <f t="shared" si="11"/>
        <v>0.84322365394406262</v>
      </c>
      <c r="Q36" s="187">
        <f t="shared" si="11"/>
        <v>0.84202333436767329</v>
      </c>
      <c r="R36" s="187">
        <f t="shared" si="11"/>
        <v>0.83978327261655483</v>
      </c>
      <c r="S36" s="265">
        <f t="shared" si="11"/>
        <v>0.8328604144736057</v>
      </c>
      <c r="T36" s="269">
        <f t="shared" si="18"/>
        <v>0.99995389804380286</v>
      </c>
      <c r="U36" s="269">
        <f t="shared" si="12"/>
        <v>0.99988793921609509</v>
      </c>
      <c r="V36" s="269">
        <f t="shared" si="12"/>
        <v>0.99979367463531454</v>
      </c>
      <c r="W36" s="269">
        <f t="shared" si="12"/>
        <v>0.99962287596011379</v>
      </c>
      <c r="X36" s="300">
        <f t="shared" si="12"/>
        <v>0.99912080086517896</v>
      </c>
      <c r="Y36" s="269">
        <f t="shared" si="19"/>
        <v>1</v>
      </c>
      <c r="Z36" s="269">
        <f t="shared" si="13"/>
        <v>0.99903296563556743</v>
      </c>
      <c r="AA36" s="269">
        <f t="shared" si="13"/>
        <v>0.99761085322149823</v>
      </c>
      <c r="AB36" s="269">
        <f t="shared" si="13"/>
        <v>0.99495687699115976</v>
      </c>
      <c r="AC36" s="300">
        <f t="shared" si="13"/>
        <v>0.98675482588778352</v>
      </c>
      <c r="AD36" s="333">
        <f t="shared" si="20"/>
        <v>3.2416225589901868E-4</v>
      </c>
      <c r="AE36" s="306">
        <f t="shared" si="21"/>
        <v>0.99967583774410096</v>
      </c>
      <c r="AF36" s="187">
        <f>AE36*GBDUS!K104/(Y36+Z36+AA36+AB36+AC36)</f>
        <v>0</v>
      </c>
      <c r="AG36" s="187">
        <f t="shared" si="22"/>
        <v>0</v>
      </c>
      <c r="AH36" s="187">
        <f t="shared" si="14"/>
        <v>0</v>
      </c>
      <c r="AI36" s="187">
        <f t="shared" si="14"/>
        <v>0</v>
      </c>
      <c r="AJ36" s="265">
        <f t="shared" si="14"/>
        <v>0</v>
      </c>
      <c r="AK36" s="274">
        <f>AE36*GBDUS!L104/(Y36+Z36+AA36+AB36+AC36)</f>
        <v>0</v>
      </c>
      <c r="AL36" s="274">
        <f t="shared" si="23"/>
        <v>0</v>
      </c>
      <c r="AM36" s="274">
        <f t="shared" si="15"/>
        <v>0</v>
      </c>
      <c r="AN36" s="274">
        <f t="shared" si="15"/>
        <v>0</v>
      </c>
      <c r="AO36" s="276">
        <f t="shared" si="15"/>
        <v>0</v>
      </c>
      <c r="AP36" s="274">
        <f>AE36*GBDUS!M104/(Y36+Z36+AA36+AB36+AC36)</f>
        <v>315.9216729040055</v>
      </c>
      <c r="AQ36" s="274">
        <f t="shared" si="24"/>
        <v>315.61616578983831</v>
      </c>
      <c r="AR36" s="274">
        <f t="shared" si="16"/>
        <v>315.16688965692799</v>
      </c>
      <c r="AS36" s="274">
        <f t="shared" si="16"/>
        <v>314.32844104639202</v>
      </c>
      <c r="AT36" s="276">
        <f t="shared" si="16"/>
        <v>311.73723534056927</v>
      </c>
      <c r="AU36" s="338">
        <f t="shared" si="25"/>
        <v>0</v>
      </c>
      <c r="AV36" s="338">
        <f t="shared" si="26"/>
        <v>0</v>
      </c>
      <c r="AW36" s="338">
        <f t="shared" si="27"/>
        <v>-0.50999812455370375</v>
      </c>
      <c r="AX36" s="338">
        <f t="shared" si="28"/>
        <v>-0.50999812455370375</v>
      </c>
    </row>
    <row r="37" spans="2:50" x14ac:dyDescent="0.2">
      <c r="B37" s="185">
        <v>2</v>
      </c>
      <c r="C37" s="297" t="s">
        <v>11</v>
      </c>
      <c r="D37" s="188">
        <f>Scenario!AL44</f>
        <v>0.19383056670522639</v>
      </c>
      <c r="E37" s="188">
        <f>Scenario!AM44</f>
        <v>0.48682513020567292</v>
      </c>
      <c r="F37" s="188">
        <f>Scenario!AN44</f>
        <v>0.92125029764860955</v>
      </c>
      <c r="G37" s="188">
        <f>Scenario!AO44</f>
        <v>1.7433407978735476</v>
      </c>
      <c r="H37" s="294">
        <f>Scenario!AP44</f>
        <v>4.3785772561266905</v>
      </c>
      <c r="I37" s="191">
        <f>IF(D37+'Non-travel METs'!D38&gt;2.5, D37+'Non-travel METs'!D38, 0.1)</f>
        <v>9.1938305667052269</v>
      </c>
      <c r="J37" s="191">
        <f>IF(E37+'Non-travel METs'!E38&gt;2.5, E37+'Non-travel METs'!E38, 0.1)</f>
        <v>9.4868251302056734</v>
      </c>
      <c r="K37" s="191">
        <f>IF(F37+'Non-travel METs'!F38&gt;2.5, F37+'Non-travel METs'!F38, 0.1)</f>
        <v>9.9212502976486103</v>
      </c>
      <c r="L37" s="191">
        <f>IF(G37+'Non-travel METs'!G38&gt;2.5, G37+'Non-travel METs'!G38, 0.1)</f>
        <v>10.743340797873547</v>
      </c>
      <c r="M37" s="196">
        <f>IF(H37+'Non-travel METs'!H38&gt;2.5, H37+'Non-travel METs'!H38, 0.1)</f>
        <v>13.37857725612669</v>
      </c>
      <c r="N37" s="241">
        <f>'Phy activity RRs'!$F$7</f>
        <v>0.97288384048792509</v>
      </c>
      <c r="O37" s="187">
        <f t="shared" si="17"/>
        <v>0.92002437427941741</v>
      </c>
      <c r="P37" s="187">
        <f t="shared" si="11"/>
        <v>0.91881277478830314</v>
      </c>
      <c r="Q37" s="187">
        <f t="shared" si="11"/>
        <v>0.91705310661139217</v>
      </c>
      <c r="R37" s="187">
        <f t="shared" si="11"/>
        <v>0.91383431841151874</v>
      </c>
      <c r="S37" s="265">
        <f t="shared" si="11"/>
        <v>0.90433844952669717</v>
      </c>
      <c r="T37" s="269">
        <f t="shared" si="18"/>
        <v>0.99992329804167779</v>
      </c>
      <c r="U37" s="269">
        <f t="shared" si="12"/>
        <v>0.99981436472457996</v>
      </c>
      <c r="V37" s="269">
        <f t="shared" si="12"/>
        <v>0.99966151434721051</v>
      </c>
      <c r="W37" s="269">
        <f t="shared" si="12"/>
        <v>0.9993933241922307</v>
      </c>
      <c r="X37" s="300">
        <f t="shared" si="12"/>
        <v>0.99866207009906871</v>
      </c>
      <c r="Y37" s="269">
        <f t="shared" si="19"/>
        <v>1</v>
      </c>
      <c r="Z37" s="269">
        <f t="shared" si="13"/>
        <v>0.99868307892161745</v>
      </c>
      <c r="AA37" s="269">
        <f t="shared" si="13"/>
        <v>0.99677044679348592</v>
      </c>
      <c r="AB37" s="269">
        <f t="shared" si="13"/>
        <v>0.99327185665842077</v>
      </c>
      <c r="AC37" s="300">
        <f t="shared" si="13"/>
        <v>0.98295053349536987</v>
      </c>
      <c r="AD37" s="333">
        <f t="shared" si="20"/>
        <v>5.0908571904635376E-4</v>
      </c>
      <c r="AE37" s="306">
        <f t="shared" si="21"/>
        <v>0.9994909142809536</v>
      </c>
      <c r="AF37" s="187">
        <f>AE37*GBDUS!K105/(Y37+Z37+AA37+AB37+AC37)</f>
        <v>0</v>
      </c>
      <c r="AG37" s="187">
        <f t="shared" si="22"/>
        <v>0</v>
      </c>
      <c r="AH37" s="187">
        <f t="shared" si="14"/>
        <v>0</v>
      </c>
      <c r="AI37" s="187">
        <f t="shared" si="14"/>
        <v>0</v>
      </c>
      <c r="AJ37" s="265">
        <f t="shared" si="14"/>
        <v>0</v>
      </c>
      <c r="AK37" s="274">
        <f>AE37*GBDUS!L105/(Y37+Z37+AA37+AB37+AC37)</f>
        <v>0</v>
      </c>
      <c r="AL37" s="274">
        <f t="shared" si="23"/>
        <v>0</v>
      </c>
      <c r="AM37" s="274">
        <f t="shared" si="15"/>
        <v>0</v>
      </c>
      <c r="AN37" s="274">
        <f t="shared" si="15"/>
        <v>0</v>
      </c>
      <c r="AO37" s="276">
        <f t="shared" si="15"/>
        <v>0</v>
      </c>
      <c r="AP37" s="274">
        <f>AE37*GBDUS!M105/(Y37+Z37+AA37+AB37+AC37)</f>
        <v>116.50581484117806</v>
      </c>
      <c r="AQ37" s="274">
        <f t="shared" si="24"/>
        <v>116.35238587785959</v>
      </c>
      <c r="AR37" s="274">
        <f t="shared" si="16"/>
        <v>116.12955311328021</v>
      </c>
      <c r="AS37" s="274">
        <f t="shared" si="16"/>
        <v>115.72194701879913</v>
      </c>
      <c r="AT37" s="276">
        <f t="shared" si="16"/>
        <v>114.51945285344875</v>
      </c>
      <c r="AU37" s="338">
        <f t="shared" si="25"/>
        <v>0</v>
      </c>
      <c r="AV37" s="338">
        <f t="shared" si="26"/>
        <v>0</v>
      </c>
      <c r="AW37" s="338">
        <f t="shared" si="27"/>
        <v>-0.29502748448555849</v>
      </c>
      <c r="AX37" s="338">
        <f t="shared" si="28"/>
        <v>-0.29502748448555849</v>
      </c>
    </row>
    <row r="38" spans="2:50" x14ac:dyDescent="0.2">
      <c r="B38" s="185">
        <v>2</v>
      </c>
      <c r="C38" s="297" t="s">
        <v>12</v>
      </c>
      <c r="D38" s="188">
        <f>Scenario!AL45</f>
        <v>0.12325892229755643</v>
      </c>
      <c r="E38" s="188">
        <f>Scenario!AM45</f>
        <v>0.30957728657820022</v>
      </c>
      <c r="F38" s="188">
        <f>Scenario!AN45</f>
        <v>0.58583287860453281</v>
      </c>
      <c r="G38" s="188">
        <f>Scenario!AO45</f>
        <v>1.108608985651083</v>
      </c>
      <c r="H38" s="294">
        <f>Scenario!AP45</f>
        <v>2.7843839233444045</v>
      </c>
      <c r="I38" s="191">
        <f>IF(D38+'Non-travel METs'!D39&gt;2.5, D38+'Non-travel METs'!D39, 0.1)</f>
        <v>0.1</v>
      </c>
      <c r="J38" s="191">
        <f>IF(E38+'Non-travel METs'!E39&gt;2.5, E38+'Non-travel METs'!E39, 0.1)</f>
        <v>0.1</v>
      </c>
      <c r="K38" s="191">
        <f>IF(F38+'Non-travel METs'!F39&gt;2.5, F38+'Non-travel METs'!F39, 0.1)</f>
        <v>0.1</v>
      </c>
      <c r="L38" s="191">
        <f>IF(G38+'Non-travel METs'!G39&gt;2.5, G38+'Non-travel METs'!G39, 0.1)</f>
        <v>0.1</v>
      </c>
      <c r="M38" s="196">
        <f>IF(H38+'Non-travel METs'!H39&gt;2.5, H38+'Non-travel METs'!H39, 0.1)</f>
        <v>3.2843839233444045</v>
      </c>
      <c r="N38" s="241">
        <f>'Phy activity RRs'!$F$7</f>
        <v>0.97288384048792509</v>
      </c>
      <c r="O38" s="187">
        <f t="shared" si="17"/>
        <v>0.99134439051762713</v>
      </c>
      <c r="P38" s="187">
        <f t="shared" si="11"/>
        <v>0.99134439051762713</v>
      </c>
      <c r="Q38" s="187">
        <f t="shared" si="11"/>
        <v>0.99134439051762713</v>
      </c>
      <c r="R38" s="187">
        <f t="shared" si="11"/>
        <v>0.99134439051762713</v>
      </c>
      <c r="S38" s="265">
        <f t="shared" si="11"/>
        <v>0.9513998704464971</v>
      </c>
      <c r="T38" s="269">
        <f t="shared" si="18"/>
        <v>1</v>
      </c>
      <c r="U38" s="269">
        <f t="shared" si="12"/>
        <v>1</v>
      </c>
      <c r="V38" s="269">
        <f t="shared" si="12"/>
        <v>1</v>
      </c>
      <c r="W38" s="269">
        <f t="shared" si="12"/>
        <v>1</v>
      </c>
      <c r="X38" s="300">
        <f t="shared" si="12"/>
        <v>0.99809755887911822</v>
      </c>
      <c r="Y38" s="269">
        <f t="shared" si="19"/>
        <v>1</v>
      </c>
      <c r="Z38" s="269">
        <f t="shared" si="13"/>
        <v>1</v>
      </c>
      <c r="AA38" s="269">
        <f t="shared" si="13"/>
        <v>1</v>
      </c>
      <c r="AB38" s="269">
        <f t="shared" si="13"/>
        <v>1</v>
      </c>
      <c r="AC38" s="300">
        <f t="shared" si="13"/>
        <v>0.95970671700651566</v>
      </c>
      <c r="AD38" s="333">
        <f t="shared" si="20"/>
        <v>3.8048822417628968E-4</v>
      </c>
      <c r="AE38" s="306">
        <f t="shared" si="21"/>
        <v>0.99961951177582375</v>
      </c>
      <c r="AF38" s="187">
        <f>AE38*GBDUS!K106/(Y38+Z38+AA38+AB38+AC38)</f>
        <v>0</v>
      </c>
      <c r="AG38" s="187">
        <f t="shared" si="22"/>
        <v>0</v>
      </c>
      <c r="AH38" s="187">
        <f t="shared" si="14"/>
        <v>0</v>
      </c>
      <c r="AI38" s="187">
        <f t="shared" si="14"/>
        <v>0</v>
      </c>
      <c r="AJ38" s="265">
        <f t="shared" si="14"/>
        <v>0</v>
      </c>
      <c r="AK38" s="274">
        <f>AE38*GBDUS!L106/(Y38+Z38+AA38+AB38+AC38)</f>
        <v>0</v>
      </c>
      <c r="AL38" s="274">
        <f t="shared" si="23"/>
        <v>0</v>
      </c>
      <c r="AM38" s="274">
        <f t="shared" si="15"/>
        <v>0</v>
      </c>
      <c r="AN38" s="274">
        <f t="shared" si="15"/>
        <v>0</v>
      </c>
      <c r="AO38" s="276">
        <f t="shared" si="15"/>
        <v>0</v>
      </c>
      <c r="AP38" s="274">
        <f>AE38*GBDUS!M106/(Y38+Z38+AA38+AB38+AC38)</f>
        <v>58.666785225147095</v>
      </c>
      <c r="AQ38" s="274">
        <f t="shared" si="24"/>
        <v>58.666785225147095</v>
      </c>
      <c r="AR38" s="274">
        <f t="shared" si="16"/>
        <v>58.666785225147095</v>
      </c>
      <c r="AS38" s="274">
        <f t="shared" si="16"/>
        <v>58.666785225147095</v>
      </c>
      <c r="AT38" s="276">
        <f t="shared" si="16"/>
        <v>56.30290784575228</v>
      </c>
      <c r="AU38" s="338">
        <f t="shared" si="25"/>
        <v>0</v>
      </c>
      <c r="AV38" s="338">
        <f t="shared" si="26"/>
        <v>0</v>
      </c>
      <c r="AW38" s="338">
        <f t="shared" si="27"/>
        <v>-0.11075281727875108</v>
      </c>
      <c r="AX38" s="338">
        <f t="shared" si="28"/>
        <v>-0.11075281727875108</v>
      </c>
    </row>
    <row r="39" spans="2:50" x14ac:dyDescent="0.2">
      <c r="B39" s="292">
        <v>2</v>
      </c>
      <c r="C39" s="298" t="s">
        <v>13</v>
      </c>
      <c r="D39" s="293">
        <f>Scenario!AL46</f>
        <v>0.15235482657642674</v>
      </c>
      <c r="E39" s="293">
        <f>Scenario!AM46</f>
        <v>0.38265460162600734</v>
      </c>
      <c r="F39" s="293">
        <f>Scenario!AN46</f>
        <v>0.72412175085463892</v>
      </c>
      <c r="G39" s="293">
        <f>Scenario!AO46</f>
        <v>1.3703018540288463</v>
      </c>
      <c r="H39" s="295">
        <f>Scenario!AP46</f>
        <v>3.4416521080659925</v>
      </c>
      <c r="I39" s="201">
        <f>IF(D39+'Non-travel METs'!D40&gt;2.5, D39+'Non-travel METs'!D40, 0.1)</f>
        <v>0.1</v>
      </c>
      <c r="J39" s="201">
        <f>IF(E39+'Non-travel METs'!E40&gt;2.5, E39+'Non-travel METs'!E40, 0.1)</f>
        <v>0.1</v>
      </c>
      <c r="K39" s="201">
        <f>IF(F39+'Non-travel METs'!F40&gt;2.5, F39+'Non-travel METs'!F40, 0.1)</f>
        <v>0.1</v>
      </c>
      <c r="L39" s="201">
        <f>IF(G39+'Non-travel METs'!G40&gt;2.5, G39+'Non-travel METs'!G40, 0.1)</f>
        <v>0.1</v>
      </c>
      <c r="M39" s="202">
        <f>IF(H39+'Non-travel METs'!H40&gt;2.5, H39+'Non-travel METs'!H40, 0.1)</f>
        <v>3.524985441399326</v>
      </c>
      <c r="N39" s="241">
        <f>'Phy activity RRs'!$F$7</f>
        <v>0.97288384048792509</v>
      </c>
      <c r="O39" s="266">
        <f t="shared" si="17"/>
        <v>0.99134439051762713</v>
      </c>
      <c r="P39" s="267">
        <f t="shared" si="11"/>
        <v>0.99134439051762713</v>
      </c>
      <c r="Q39" s="267">
        <f t="shared" si="11"/>
        <v>0.99134439051762713</v>
      </c>
      <c r="R39" s="267">
        <f t="shared" si="11"/>
        <v>0.99134439051762713</v>
      </c>
      <c r="S39" s="268">
        <f t="shared" si="11"/>
        <v>0.94969592523579405</v>
      </c>
      <c r="T39" s="301">
        <f t="shared" si="18"/>
        <v>1</v>
      </c>
      <c r="U39" s="302">
        <f t="shared" si="12"/>
        <v>1</v>
      </c>
      <c r="V39" s="302">
        <f t="shared" si="12"/>
        <v>1</v>
      </c>
      <c r="W39" s="302">
        <f t="shared" si="12"/>
        <v>1</v>
      </c>
      <c r="X39" s="303">
        <f t="shared" si="12"/>
        <v>0.99772369167030828</v>
      </c>
      <c r="Y39" s="301">
        <f t="shared" si="19"/>
        <v>1</v>
      </c>
      <c r="Z39" s="302">
        <f t="shared" si="13"/>
        <v>1</v>
      </c>
      <c r="AA39" s="302">
        <f t="shared" si="13"/>
        <v>1</v>
      </c>
      <c r="AB39" s="302">
        <f t="shared" si="13"/>
        <v>1</v>
      </c>
      <c r="AC39" s="303">
        <f t="shared" si="13"/>
        <v>0.95798789433802467</v>
      </c>
      <c r="AD39" s="333">
        <f t="shared" si="20"/>
        <v>4.5526166593834461E-4</v>
      </c>
      <c r="AE39" s="307">
        <f t="shared" si="21"/>
        <v>0.99954473833406166</v>
      </c>
      <c r="AF39" s="266">
        <f>AE39*GBDUS!K107/(Y39+Z39+AA39+AB39+AC39)</f>
        <v>0.40320580027052194</v>
      </c>
      <c r="AG39" s="267">
        <f t="shared" si="22"/>
        <v>0.40320580027052194</v>
      </c>
      <c r="AH39" s="267">
        <f t="shared" si="14"/>
        <v>0.40320580027052194</v>
      </c>
      <c r="AI39" s="267">
        <f t="shared" si="14"/>
        <v>0.40320580027052194</v>
      </c>
      <c r="AJ39" s="268">
        <f t="shared" si="14"/>
        <v>0.38626627558603543</v>
      </c>
      <c r="AK39" s="277">
        <f>AE39*GBDUS!L107/(Y39+Z39+AA39+AB39+AC39)</f>
        <v>0</v>
      </c>
      <c r="AL39" s="278">
        <f t="shared" si="23"/>
        <v>0</v>
      </c>
      <c r="AM39" s="278">
        <f t="shared" si="15"/>
        <v>0</v>
      </c>
      <c r="AN39" s="278">
        <f t="shared" si="15"/>
        <v>0</v>
      </c>
      <c r="AO39" s="279">
        <f t="shared" si="15"/>
        <v>0</v>
      </c>
      <c r="AP39" s="277">
        <f>AE39*GBDUS!M107/(Y39+Z39+AA39+AB39+AC39)</f>
        <v>53.412997280875338</v>
      </c>
      <c r="AQ39" s="278">
        <f t="shared" si="24"/>
        <v>53.412997280875338</v>
      </c>
      <c r="AR39" s="278">
        <f t="shared" si="16"/>
        <v>53.412997280875338</v>
      </c>
      <c r="AS39" s="278">
        <f t="shared" si="16"/>
        <v>53.412997280875338</v>
      </c>
      <c r="AT39" s="279">
        <f t="shared" si="16"/>
        <v>51.169004795388403</v>
      </c>
      <c r="AU39" s="339">
        <f t="shared" si="25"/>
        <v>-9.1052333187668921E-4</v>
      </c>
      <c r="AV39" s="340">
        <f t="shared" si="26"/>
        <v>0</v>
      </c>
      <c r="AW39" s="340">
        <f t="shared" si="27"/>
        <v>-0.12061775950911624</v>
      </c>
      <c r="AX39" s="340">
        <f t="shared" si="28"/>
        <v>-0.12061775950911624</v>
      </c>
    </row>
    <row r="40" spans="2:50" x14ac:dyDescent="0.2">
      <c r="N40" s="261"/>
      <c r="AD40" s="261"/>
      <c r="AT40" s="309" t="s">
        <v>41</v>
      </c>
      <c r="AU40" s="338">
        <f>SUM(AU24:AU39)</f>
        <v>-9.1052333187668921E-4</v>
      </c>
      <c r="AV40" s="338">
        <f>SUM(AV24:AV39)</f>
        <v>0</v>
      </c>
      <c r="AW40" s="338">
        <f>SUM(AW24:AW39)</f>
        <v>-6.0764306270046422</v>
      </c>
      <c r="AX40" s="338">
        <f>SUM(AX24:AX39)</f>
        <v>-6.0764306270046422</v>
      </c>
    </row>
    <row r="41" spans="2:50" x14ac:dyDescent="0.2">
      <c r="AD41" s="332"/>
      <c r="AT41" s="309" t="s">
        <v>50</v>
      </c>
      <c r="AU41" s="330">
        <f>AU40/GBDUS!K108</f>
        <v>-4.5526166593834461E-4</v>
      </c>
      <c r="AV41" s="330" t="e">
        <f>AV40/GBDUS!L108</f>
        <v>#DIV/0!</v>
      </c>
      <c r="AW41" s="330">
        <f>AW40/GBDUS!M108</f>
        <v>-5.6096314935116776E-4</v>
      </c>
      <c r="AX41" s="330">
        <f>AX40/GBDUS!N108</f>
        <v>-5.6096314935116776E-4</v>
      </c>
    </row>
    <row r="42" spans="2:50" x14ac:dyDescent="0.2">
      <c r="O42" s="187"/>
      <c r="P42" s="187"/>
      <c r="Q42" s="187"/>
      <c r="R42" s="187"/>
      <c r="S42" s="187"/>
      <c r="U42" s="335"/>
      <c r="AD42" s="332"/>
    </row>
    <row r="43" spans="2:50" x14ac:dyDescent="0.2">
      <c r="AD43" s="332"/>
    </row>
    <row r="44" spans="2:50" x14ac:dyDescent="0.2">
      <c r="O44" s="187"/>
      <c r="P44" s="187"/>
      <c r="Q44" s="187"/>
      <c r="R44" s="187"/>
      <c r="S44" s="187"/>
      <c r="U44" s="187"/>
      <c r="V44" s="334"/>
      <c r="W44" s="334"/>
      <c r="X44" s="334"/>
      <c r="Y44" s="334"/>
      <c r="AD44" s="332"/>
    </row>
    <row r="45" spans="2:50" x14ac:dyDescent="0.2">
      <c r="U45" s="335"/>
      <c r="AD45" s="332"/>
    </row>
    <row r="46" spans="2:50" x14ac:dyDescent="0.2">
      <c r="AD46" s="332"/>
    </row>
    <row r="47" spans="2:50" x14ac:dyDescent="0.2">
      <c r="AD47" s="332"/>
    </row>
    <row r="48" spans="2:50" x14ac:dyDescent="0.2">
      <c r="AD48" s="332"/>
    </row>
  </sheetData>
  <mergeCells count="12">
    <mergeCell ref="AU4:AX4"/>
    <mergeCell ref="T3:X4"/>
    <mergeCell ref="D4:H4"/>
    <mergeCell ref="I4:M4"/>
    <mergeCell ref="N4:N5"/>
    <mergeCell ref="O4:S4"/>
    <mergeCell ref="AD4:AD5"/>
    <mergeCell ref="AE4:AE5"/>
    <mergeCell ref="AF4:AJ4"/>
    <mergeCell ref="AK4:AO4"/>
    <mergeCell ref="AP4:AT4"/>
    <mergeCell ref="Y4:AC4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2" tint="-0.749992370372631"/>
  </sheetPr>
  <dimension ref="B2:AI226"/>
  <sheetViews>
    <sheetView showGridLines="0" topLeftCell="O1" workbookViewId="0">
      <selection activeCell="O2" sqref="O2"/>
    </sheetView>
  </sheetViews>
  <sheetFormatPr defaultRowHeight="12.75" x14ac:dyDescent="0.2"/>
  <cols>
    <col min="1" max="1" width="3.85546875" customWidth="1"/>
    <col min="2" max="2" width="18.85546875" hidden="1" customWidth="1"/>
    <col min="3" max="3" width="0" hidden="1" customWidth="1"/>
    <col min="4" max="5" width="11.5703125" hidden="1" customWidth="1"/>
    <col min="6" max="6" width="13.5703125" hidden="1" customWidth="1"/>
    <col min="7" max="7" width="11.42578125" hidden="1" customWidth="1"/>
    <col min="8" max="8" width="17.28515625" hidden="1" customWidth="1"/>
    <col min="9" max="9" width="12.140625" hidden="1" customWidth="1"/>
    <col min="10" max="10" width="11.5703125" hidden="1" customWidth="1"/>
    <col min="11" max="11" width="14.42578125" hidden="1" customWidth="1"/>
    <col min="12" max="12" width="12.28515625" hidden="1" customWidth="1"/>
    <col min="13" max="13" width="13.5703125" hidden="1" customWidth="1"/>
    <col min="14" max="14" width="4" style="11" hidden="1" customWidth="1"/>
    <col min="15" max="15" width="19.42578125" bestFit="1" customWidth="1"/>
    <col min="17" max="17" width="9.42578125" bestFit="1" customWidth="1"/>
    <col min="18" max="18" width="10.28515625" customWidth="1"/>
    <col min="19" max="19" width="12.7109375" customWidth="1"/>
    <col min="20" max="20" width="9.7109375" customWidth="1"/>
    <col min="21" max="21" width="13.5703125" customWidth="1"/>
    <col min="22" max="22" width="11.7109375" customWidth="1"/>
    <col min="23" max="24" width="9" customWidth="1"/>
    <col min="25" max="25" width="11.85546875" customWidth="1"/>
    <col min="26" max="26" width="13.5703125" customWidth="1"/>
  </cols>
  <sheetData>
    <row r="2" spans="2:26" x14ac:dyDescent="0.2">
      <c r="B2" s="43" t="s">
        <v>84</v>
      </c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53"/>
      <c r="O2" s="100" t="s">
        <v>101</v>
      </c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</row>
    <row r="3" spans="2:26" x14ac:dyDescent="0.2">
      <c r="B3" s="43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53"/>
      <c r="O3" s="100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</row>
    <row r="4" spans="2:26" x14ac:dyDescent="0.2">
      <c r="B4" s="648" t="s">
        <v>68</v>
      </c>
      <c r="C4" s="648" t="s">
        <v>67</v>
      </c>
      <c r="D4" s="683" t="s">
        <v>24</v>
      </c>
      <c r="E4" s="683"/>
      <c r="F4" s="683" t="s">
        <v>80</v>
      </c>
      <c r="G4" s="683"/>
      <c r="H4" s="683" t="s">
        <v>82</v>
      </c>
      <c r="I4" s="683"/>
      <c r="J4" s="683" t="s">
        <v>81</v>
      </c>
      <c r="K4" s="683"/>
      <c r="L4" s="683" t="s">
        <v>83</v>
      </c>
      <c r="M4" s="683"/>
      <c r="N4" s="54"/>
      <c r="O4" s="648" t="s">
        <v>68</v>
      </c>
      <c r="P4" s="648" t="s">
        <v>67</v>
      </c>
      <c r="Q4" s="651" t="s">
        <v>24</v>
      </c>
      <c r="R4" s="651"/>
      <c r="S4" s="651" t="s">
        <v>80</v>
      </c>
      <c r="T4" s="651"/>
      <c r="U4" s="651" t="s">
        <v>82</v>
      </c>
      <c r="V4" s="651"/>
      <c r="W4" s="651" t="s">
        <v>81</v>
      </c>
      <c r="X4" s="651"/>
      <c r="Y4" s="651" t="s">
        <v>83</v>
      </c>
      <c r="Z4" s="651"/>
    </row>
    <row r="5" spans="2:26" x14ac:dyDescent="0.2">
      <c r="B5" s="651"/>
      <c r="C5" s="651"/>
      <c r="D5" s="44" t="s">
        <v>39</v>
      </c>
      <c r="E5" s="44" t="s">
        <v>40</v>
      </c>
      <c r="F5" s="44" t="s">
        <v>39</v>
      </c>
      <c r="G5" s="44" t="s">
        <v>40</v>
      </c>
      <c r="H5" s="44" t="s">
        <v>39</v>
      </c>
      <c r="I5" s="44" t="s">
        <v>40</v>
      </c>
      <c r="J5" s="44" t="s">
        <v>39</v>
      </c>
      <c r="K5" s="44" t="s">
        <v>40</v>
      </c>
      <c r="L5" s="44" t="s">
        <v>39</v>
      </c>
      <c r="M5" s="44" t="s">
        <v>40</v>
      </c>
      <c r="N5" s="54"/>
      <c r="O5" s="651"/>
      <c r="P5" s="651"/>
      <c r="Q5" s="49" t="s">
        <v>39</v>
      </c>
      <c r="R5" s="49" t="s">
        <v>40</v>
      </c>
      <c r="S5" s="49" t="s">
        <v>39</v>
      </c>
      <c r="T5" s="49" t="s">
        <v>40</v>
      </c>
      <c r="U5" s="49" t="s">
        <v>39</v>
      </c>
      <c r="V5" s="49" t="s">
        <v>40</v>
      </c>
      <c r="W5" s="49" t="s">
        <v>39</v>
      </c>
      <c r="X5" s="49" t="s">
        <v>40</v>
      </c>
      <c r="Y5" s="49" t="s">
        <v>39</v>
      </c>
      <c r="Z5" s="49" t="s">
        <v>40</v>
      </c>
    </row>
    <row r="6" spans="2:26" x14ac:dyDescent="0.2">
      <c r="B6" s="28" t="s">
        <v>69</v>
      </c>
      <c r="C6" s="28">
        <v>1</v>
      </c>
      <c r="D6" s="22"/>
      <c r="E6" s="22"/>
      <c r="F6" s="32"/>
      <c r="G6" s="32"/>
      <c r="H6" s="46"/>
      <c r="I6" s="46"/>
      <c r="J6" s="32"/>
      <c r="K6" s="32"/>
      <c r="L6" s="46"/>
      <c r="M6" s="46"/>
      <c r="N6" s="55"/>
      <c r="O6" s="28" t="s">
        <v>69</v>
      </c>
      <c r="P6" s="28">
        <v>1</v>
      </c>
      <c r="Q6" s="522">
        <v>116162.957276</v>
      </c>
      <c r="R6" s="522">
        <v>120294.763938</v>
      </c>
      <c r="S6" s="523">
        <v>0</v>
      </c>
      <c r="T6" s="523">
        <v>0</v>
      </c>
      <c r="U6" s="458">
        <f>S6/Q6</f>
        <v>0</v>
      </c>
      <c r="V6" s="458">
        <f>T6/R6</f>
        <v>0</v>
      </c>
      <c r="W6" s="523">
        <v>0</v>
      </c>
      <c r="X6" s="523">
        <v>0</v>
      </c>
      <c r="Y6" s="458">
        <f>W6/Q6</f>
        <v>0</v>
      </c>
      <c r="Z6" s="458">
        <f>X6/R6</f>
        <v>0</v>
      </c>
    </row>
    <row r="7" spans="2:26" x14ac:dyDescent="0.2">
      <c r="B7" s="28" t="s">
        <v>69</v>
      </c>
      <c r="C7" s="28">
        <f t="shared" ref="C7:C13" si="0">C6+1</f>
        <v>2</v>
      </c>
      <c r="D7" s="22"/>
      <c r="E7" s="22"/>
      <c r="F7" s="32"/>
      <c r="G7" s="32"/>
      <c r="H7" s="46"/>
      <c r="I7" s="46"/>
      <c r="J7" s="32"/>
      <c r="K7" s="32"/>
      <c r="L7" s="46"/>
      <c r="M7" s="46"/>
      <c r="N7" s="55"/>
      <c r="O7" s="28" t="s">
        <v>69</v>
      </c>
      <c r="P7" s="28">
        <f t="shared" ref="P7:P13" si="1">P6+1</f>
        <v>2</v>
      </c>
      <c r="Q7" s="522">
        <v>310621.088108</v>
      </c>
      <c r="R7" s="522">
        <v>308156.63521400001</v>
      </c>
      <c r="S7" s="522">
        <v>529.39439459784001</v>
      </c>
      <c r="T7" s="522">
        <v>0</v>
      </c>
      <c r="U7" s="458">
        <f t="shared" ref="U7:U70" si="2">S7/Q7</f>
        <v>1.7043092528662273E-3</v>
      </c>
      <c r="V7" s="458">
        <f t="shared" ref="V7:V70" si="3">T7/R7</f>
        <v>0</v>
      </c>
      <c r="W7" s="522">
        <v>7595.98236</v>
      </c>
      <c r="X7" s="522">
        <v>0</v>
      </c>
      <c r="Y7" s="458">
        <f t="shared" ref="Y7:Y70" si="4">W7/Q7</f>
        <v>2.445417471900346E-2</v>
      </c>
      <c r="Z7" s="458">
        <f t="shared" ref="Z7:Z70" si="5">X7/R7</f>
        <v>0</v>
      </c>
    </row>
    <row r="8" spans="2:26" x14ac:dyDescent="0.2">
      <c r="B8" s="28" t="s">
        <v>69</v>
      </c>
      <c r="C8" s="28">
        <f t="shared" si="0"/>
        <v>3</v>
      </c>
      <c r="D8" s="22"/>
      <c r="E8" s="22"/>
      <c r="F8" s="32"/>
      <c r="G8" s="32"/>
      <c r="H8" s="46"/>
      <c r="I8" s="46"/>
      <c r="J8" s="32"/>
      <c r="K8" s="32"/>
      <c r="L8" s="46"/>
      <c r="M8" s="46"/>
      <c r="N8" s="55"/>
      <c r="O8" s="28" t="s">
        <v>69</v>
      </c>
      <c r="P8" s="28">
        <f t="shared" si="1"/>
        <v>3</v>
      </c>
      <c r="Q8" s="522">
        <v>454594.77963499998</v>
      </c>
      <c r="R8" s="522">
        <v>417809.737547</v>
      </c>
      <c r="S8" s="522">
        <v>4891539.0833533397</v>
      </c>
      <c r="T8" s="522">
        <v>3970718.0543127898</v>
      </c>
      <c r="U8" s="458">
        <f t="shared" si="2"/>
        <v>10.760218336164836</v>
      </c>
      <c r="V8" s="458">
        <f t="shared" si="3"/>
        <v>9.5036512974188838</v>
      </c>
      <c r="W8" s="522">
        <v>11197948.023913</v>
      </c>
      <c r="X8" s="522">
        <v>9716052.3877760004</v>
      </c>
      <c r="Y8" s="458">
        <f t="shared" si="4"/>
        <v>24.632812618094682</v>
      </c>
      <c r="Z8" s="458">
        <f t="shared" si="5"/>
        <v>23.254729401042329</v>
      </c>
    </row>
    <row r="9" spans="2:26" x14ac:dyDescent="0.2">
      <c r="B9" s="28" t="s">
        <v>69</v>
      </c>
      <c r="C9" s="28">
        <f t="shared" si="0"/>
        <v>4</v>
      </c>
      <c r="D9" s="22"/>
      <c r="E9" s="22"/>
      <c r="F9" s="32"/>
      <c r="G9" s="32"/>
      <c r="H9" s="46"/>
      <c r="I9" s="46"/>
      <c r="J9" s="32"/>
      <c r="K9" s="32"/>
      <c r="L9" s="46"/>
      <c r="M9" s="46"/>
      <c r="N9" s="55"/>
      <c r="O9" s="28" t="s">
        <v>69</v>
      </c>
      <c r="P9" s="28">
        <f t="shared" si="1"/>
        <v>4</v>
      </c>
      <c r="Q9" s="522">
        <v>348784.43214699998</v>
      </c>
      <c r="R9" s="522">
        <v>390301.24397200003</v>
      </c>
      <c r="S9" s="522">
        <v>8861199.4569420796</v>
      </c>
      <c r="T9" s="522">
        <v>6617883.1373830298</v>
      </c>
      <c r="U9" s="458">
        <f t="shared" si="2"/>
        <v>25.405948890538227</v>
      </c>
      <c r="V9" s="458">
        <f t="shared" si="3"/>
        <v>16.955834088650235</v>
      </c>
      <c r="W9" s="522">
        <v>16539420.935897</v>
      </c>
      <c r="X9" s="522">
        <v>15055495.441253999</v>
      </c>
      <c r="Y9" s="458">
        <f t="shared" si="4"/>
        <v>47.420181096059451</v>
      </c>
      <c r="Z9" s="458">
        <f t="shared" si="5"/>
        <v>38.574039088468986</v>
      </c>
    </row>
    <row r="10" spans="2:26" x14ac:dyDescent="0.2">
      <c r="B10" s="28" t="s">
        <v>69</v>
      </c>
      <c r="C10" s="28">
        <f t="shared" si="0"/>
        <v>5</v>
      </c>
      <c r="D10" s="22"/>
      <c r="E10" s="22"/>
      <c r="F10" s="32"/>
      <c r="G10" s="32"/>
      <c r="H10" s="46"/>
      <c r="I10" s="46"/>
      <c r="J10" s="32"/>
      <c r="K10" s="32"/>
      <c r="L10" s="46"/>
      <c r="M10" s="46"/>
      <c r="N10" s="55"/>
      <c r="O10" s="28" t="s">
        <v>69</v>
      </c>
      <c r="P10" s="28">
        <f t="shared" si="1"/>
        <v>5</v>
      </c>
      <c r="Q10" s="522">
        <v>322237.15209599998</v>
      </c>
      <c r="R10" s="522">
        <v>355162.92462100001</v>
      </c>
      <c r="S10" s="522">
        <v>8639598.4191156998</v>
      </c>
      <c r="T10" s="522">
        <v>5717360.1531621302</v>
      </c>
      <c r="U10" s="458">
        <f t="shared" si="2"/>
        <v>26.811304540519945</v>
      </c>
      <c r="V10" s="458">
        <f t="shared" si="3"/>
        <v>16.097851878157652</v>
      </c>
      <c r="W10" s="522">
        <v>16371754.550835</v>
      </c>
      <c r="X10" s="522">
        <v>13563325.603341</v>
      </c>
      <c r="Y10" s="458">
        <f t="shared" si="4"/>
        <v>50.80653935880607</v>
      </c>
      <c r="Z10" s="458">
        <f t="shared" si="5"/>
        <v>38.189024425380659</v>
      </c>
    </row>
    <row r="11" spans="2:26" x14ac:dyDescent="0.2">
      <c r="B11" s="28" t="s">
        <v>69</v>
      </c>
      <c r="C11" s="28">
        <f t="shared" si="0"/>
        <v>6</v>
      </c>
      <c r="D11" s="22"/>
      <c r="E11" s="22"/>
      <c r="F11" s="32"/>
      <c r="G11" s="32"/>
      <c r="H11" s="46"/>
      <c r="I11" s="46"/>
      <c r="J11" s="32"/>
      <c r="K11" s="32"/>
      <c r="L11" s="46"/>
      <c r="M11" s="46"/>
      <c r="N11" s="55"/>
      <c r="O11" s="28" t="s">
        <v>69</v>
      </c>
      <c r="P11" s="28">
        <f t="shared" si="1"/>
        <v>6</v>
      </c>
      <c r="Q11" s="522">
        <v>195407.73805700001</v>
      </c>
      <c r="R11" s="522">
        <v>203290.90702899999</v>
      </c>
      <c r="S11" s="522">
        <v>3332221.8470649598</v>
      </c>
      <c r="T11" s="522">
        <v>2441924.1985735102</v>
      </c>
      <c r="U11" s="458">
        <f t="shared" si="2"/>
        <v>17.052660658161642</v>
      </c>
      <c r="V11" s="458">
        <f t="shared" si="3"/>
        <v>12.011969616649717</v>
      </c>
      <c r="W11" s="522">
        <v>7247017.2635469995</v>
      </c>
      <c r="X11" s="522">
        <v>5945492.6374570001</v>
      </c>
      <c r="Y11" s="458">
        <f t="shared" si="4"/>
        <v>37.086644242476524</v>
      </c>
      <c r="Z11" s="458">
        <f t="shared" si="5"/>
        <v>29.246230066792211</v>
      </c>
    </row>
    <row r="12" spans="2:26" x14ac:dyDescent="0.2">
      <c r="B12" s="28" t="s">
        <v>69</v>
      </c>
      <c r="C12" s="28">
        <f t="shared" si="0"/>
        <v>7</v>
      </c>
      <c r="D12" s="22"/>
      <c r="E12" s="22"/>
      <c r="F12" s="32"/>
      <c r="G12" s="32"/>
      <c r="H12" s="46"/>
      <c r="I12" s="46"/>
      <c r="J12" s="32"/>
      <c r="K12" s="32"/>
      <c r="L12" s="46"/>
      <c r="M12" s="46"/>
      <c r="N12" s="55"/>
      <c r="O12" s="28" t="s">
        <v>69</v>
      </c>
      <c r="P12" s="28">
        <f t="shared" si="1"/>
        <v>7</v>
      </c>
      <c r="Q12" s="522">
        <v>114344.121744</v>
      </c>
      <c r="R12" s="522">
        <v>146113.36629999999</v>
      </c>
      <c r="S12" s="522">
        <v>1997926.24667478</v>
      </c>
      <c r="T12" s="522">
        <v>1769906.53079894</v>
      </c>
      <c r="U12" s="458">
        <f t="shared" si="2"/>
        <v>17.4729248535211</v>
      </c>
      <c r="V12" s="458">
        <f t="shared" si="3"/>
        <v>12.113241763008645</v>
      </c>
      <c r="W12" s="522">
        <v>4644824.288896</v>
      </c>
      <c r="X12" s="522">
        <v>4066434.0231369999</v>
      </c>
      <c r="Y12" s="458">
        <f t="shared" si="4"/>
        <v>40.621452314751181</v>
      </c>
      <c r="Z12" s="458">
        <f t="shared" si="5"/>
        <v>27.830677823052799</v>
      </c>
    </row>
    <row r="13" spans="2:26" x14ac:dyDescent="0.2">
      <c r="B13" s="28" t="s">
        <v>69</v>
      </c>
      <c r="C13" s="28">
        <f t="shared" si="0"/>
        <v>8</v>
      </c>
      <c r="D13" s="22"/>
      <c r="E13" s="22"/>
      <c r="F13" s="32"/>
      <c r="G13" s="32"/>
      <c r="H13" s="46"/>
      <c r="I13" s="46"/>
      <c r="J13" s="32"/>
      <c r="K13" s="32"/>
      <c r="L13" s="46"/>
      <c r="M13" s="46"/>
      <c r="N13" s="55"/>
      <c r="O13" s="28" t="s">
        <v>69</v>
      </c>
      <c r="P13" s="28">
        <f t="shared" si="1"/>
        <v>8</v>
      </c>
      <c r="Q13" s="522">
        <v>46363.867332000002</v>
      </c>
      <c r="R13" s="522">
        <v>77008.212419999996</v>
      </c>
      <c r="S13" s="522">
        <v>489625.45200723299</v>
      </c>
      <c r="T13" s="522">
        <v>482884.96882105002</v>
      </c>
      <c r="U13" s="458">
        <f t="shared" si="2"/>
        <v>10.560496355947794</v>
      </c>
      <c r="V13" s="458">
        <f t="shared" si="3"/>
        <v>6.2705645754690797</v>
      </c>
      <c r="W13" s="522">
        <v>1041796.20095</v>
      </c>
      <c r="X13" s="522">
        <v>1071366.2301459999</v>
      </c>
      <c r="Y13" s="458">
        <f t="shared" si="4"/>
        <v>22.470002199988176</v>
      </c>
      <c r="Z13" s="458">
        <f t="shared" si="5"/>
        <v>13.912363324353088</v>
      </c>
    </row>
    <row r="14" spans="2:26" x14ac:dyDescent="0.2">
      <c r="B14" s="28" t="s">
        <v>70</v>
      </c>
      <c r="C14" s="28">
        <v>1</v>
      </c>
      <c r="D14" s="22"/>
      <c r="E14" s="22"/>
      <c r="F14" s="32"/>
      <c r="G14" s="32"/>
      <c r="H14" s="46"/>
      <c r="I14" s="46"/>
      <c r="J14" s="32"/>
      <c r="K14" s="32"/>
      <c r="L14" s="46"/>
      <c r="M14" s="46"/>
      <c r="N14" s="55"/>
      <c r="O14" s="28" t="s">
        <v>70</v>
      </c>
      <c r="P14" s="28">
        <v>1</v>
      </c>
      <c r="Q14" s="522">
        <v>116162.957276</v>
      </c>
      <c r="R14" s="522">
        <v>120294.763938</v>
      </c>
      <c r="S14" s="522">
        <v>1734452.9363733099</v>
      </c>
      <c r="T14" s="522">
        <v>1519887.9364843699</v>
      </c>
      <c r="U14" s="458">
        <f t="shared" si="2"/>
        <v>14.931205067828097</v>
      </c>
      <c r="V14" s="458">
        <f t="shared" si="3"/>
        <v>12.634697361123058</v>
      </c>
      <c r="W14" s="522">
        <v>4500018.6190710003</v>
      </c>
      <c r="X14" s="522">
        <v>4043249.2627309998</v>
      </c>
      <c r="Y14" s="458">
        <f t="shared" si="4"/>
        <v>38.738843471237388</v>
      </c>
      <c r="Z14" s="458">
        <f t="shared" si="5"/>
        <v>33.611182485173615</v>
      </c>
    </row>
    <row r="15" spans="2:26" x14ac:dyDescent="0.2">
      <c r="B15" s="28" t="s">
        <v>70</v>
      </c>
      <c r="C15" s="28">
        <f t="shared" ref="C15:C21" si="6">C14+1</f>
        <v>2</v>
      </c>
      <c r="D15" s="22"/>
      <c r="E15" s="22"/>
      <c r="F15" s="32"/>
      <c r="G15" s="32"/>
      <c r="H15" s="46"/>
      <c r="I15" s="46"/>
      <c r="J15" s="32"/>
      <c r="K15" s="32"/>
      <c r="L15" s="46"/>
      <c r="M15" s="46"/>
      <c r="N15" s="55"/>
      <c r="O15" s="28" t="s">
        <v>70</v>
      </c>
      <c r="P15" s="28">
        <f t="shared" ref="P15:P21" si="7">P14+1</f>
        <v>2</v>
      </c>
      <c r="Q15" s="522">
        <v>310621.088108</v>
      </c>
      <c r="R15" s="522">
        <v>308156.63521400001</v>
      </c>
      <c r="S15" s="522">
        <v>4097265.17087219</v>
      </c>
      <c r="T15" s="522">
        <v>5353583.1503575305</v>
      </c>
      <c r="U15" s="458">
        <f t="shared" si="2"/>
        <v>13.190557008954942</v>
      </c>
      <c r="V15" s="458">
        <f t="shared" si="3"/>
        <v>17.372928370144372</v>
      </c>
      <c r="W15" s="522">
        <v>9361528.3386909999</v>
      </c>
      <c r="X15" s="522">
        <v>10797711.549354</v>
      </c>
      <c r="Y15" s="458">
        <f t="shared" si="4"/>
        <v>30.138096533343177</v>
      </c>
      <c r="Z15" s="458">
        <f t="shared" si="5"/>
        <v>35.039685391993935</v>
      </c>
    </row>
    <row r="16" spans="2:26" x14ac:dyDescent="0.2">
      <c r="B16" s="28" t="s">
        <v>70</v>
      </c>
      <c r="C16" s="28">
        <f t="shared" si="6"/>
        <v>3</v>
      </c>
      <c r="D16" s="22"/>
      <c r="E16" s="22"/>
      <c r="F16" s="32"/>
      <c r="G16" s="32"/>
      <c r="H16" s="46"/>
      <c r="I16" s="46"/>
      <c r="J16" s="32"/>
      <c r="K16" s="32"/>
      <c r="L16" s="46"/>
      <c r="M16" s="46"/>
      <c r="N16" s="55"/>
      <c r="O16" s="28" t="s">
        <v>70</v>
      </c>
      <c r="P16" s="28">
        <f t="shared" si="7"/>
        <v>3</v>
      </c>
      <c r="Q16" s="522">
        <v>454594.77963499998</v>
      </c>
      <c r="R16" s="522">
        <v>417809.737547</v>
      </c>
      <c r="S16" s="522">
        <v>4314753.8962496202</v>
      </c>
      <c r="T16" s="522">
        <v>3731787.48373939</v>
      </c>
      <c r="U16" s="458">
        <f t="shared" si="2"/>
        <v>9.4914286075040106</v>
      </c>
      <c r="V16" s="458">
        <f t="shared" si="3"/>
        <v>8.931786764111969</v>
      </c>
      <c r="W16" s="522">
        <v>8572509.3839510009</v>
      </c>
      <c r="X16" s="522">
        <v>8040847.0394489998</v>
      </c>
      <c r="Y16" s="458">
        <f t="shared" si="4"/>
        <v>18.857474322151212</v>
      </c>
      <c r="Z16" s="458">
        <f t="shared" si="5"/>
        <v>19.245236089176771</v>
      </c>
    </row>
    <row r="17" spans="2:28" x14ac:dyDescent="0.2">
      <c r="B17" s="28" t="s">
        <v>70</v>
      </c>
      <c r="C17" s="28">
        <f t="shared" si="6"/>
        <v>4</v>
      </c>
      <c r="D17" s="22"/>
      <c r="E17" s="22"/>
      <c r="F17" s="32"/>
      <c r="G17" s="32"/>
      <c r="H17" s="46"/>
      <c r="I17" s="46"/>
      <c r="J17" s="32"/>
      <c r="K17" s="32"/>
      <c r="L17" s="46"/>
      <c r="M17" s="46"/>
      <c r="N17" s="55"/>
      <c r="O17" s="28" t="s">
        <v>70</v>
      </c>
      <c r="P17" s="28">
        <f t="shared" si="7"/>
        <v>4</v>
      </c>
      <c r="Q17" s="522">
        <v>348784.43214699998</v>
      </c>
      <c r="R17" s="522">
        <v>390301.24397200003</v>
      </c>
      <c r="S17" s="522">
        <v>1583011.0115998001</v>
      </c>
      <c r="T17" s="522">
        <v>3139933.6683483501</v>
      </c>
      <c r="U17" s="458">
        <f t="shared" si="2"/>
        <v>4.5386515729939987</v>
      </c>
      <c r="V17" s="458">
        <f t="shared" si="3"/>
        <v>8.0448979265195657</v>
      </c>
      <c r="W17" s="522">
        <v>3269911.5046629999</v>
      </c>
      <c r="X17" s="522">
        <v>6962652.3652860001</v>
      </c>
      <c r="Y17" s="458">
        <f t="shared" si="4"/>
        <v>9.3751647243385303</v>
      </c>
      <c r="Z17" s="458">
        <f t="shared" si="5"/>
        <v>17.839175439024469</v>
      </c>
    </row>
    <row r="18" spans="2:28" x14ac:dyDescent="0.2">
      <c r="B18" s="28" t="s">
        <v>70</v>
      </c>
      <c r="C18" s="28">
        <f t="shared" si="6"/>
        <v>5</v>
      </c>
      <c r="D18" s="22"/>
      <c r="E18" s="22"/>
      <c r="F18" s="32"/>
      <c r="G18" s="32"/>
      <c r="H18" s="46"/>
      <c r="I18" s="46"/>
      <c r="J18" s="32"/>
      <c r="K18" s="32"/>
      <c r="L18" s="46"/>
      <c r="M18" s="46"/>
      <c r="N18" s="55"/>
      <c r="O18" s="28" t="s">
        <v>70</v>
      </c>
      <c r="P18" s="28">
        <f t="shared" si="7"/>
        <v>5</v>
      </c>
      <c r="Q18" s="522">
        <v>322237.15209599998</v>
      </c>
      <c r="R18" s="522">
        <v>355162.92462100001</v>
      </c>
      <c r="S18" s="522">
        <v>1277823.1153476799</v>
      </c>
      <c r="T18" s="522">
        <v>2504842.6971758902</v>
      </c>
      <c r="U18" s="458">
        <f t="shared" si="2"/>
        <v>3.9654742075395282</v>
      </c>
      <c r="V18" s="458">
        <f t="shared" si="3"/>
        <v>7.0526581563907538</v>
      </c>
      <c r="W18" s="522">
        <v>2582875.7703979998</v>
      </c>
      <c r="X18" s="522">
        <v>4954987.053053</v>
      </c>
      <c r="Y18" s="458">
        <f t="shared" si="4"/>
        <v>8.0154499678190945</v>
      </c>
      <c r="Z18" s="458">
        <f t="shared" si="5"/>
        <v>13.95130715949742</v>
      </c>
    </row>
    <row r="19" spans="2:28" x14ac:dyDescent="0.2">
      <c r="B19" s="28" t="s">
        <v>70</v>
      </c>
      <c r="C19" s="28">
        <f t="shared" si="6"/>
        <v>6</v>
      </c>
      <c r="D19" s="22"/>
      <c r="E19" s="22"/>
      <c r="F19" s="32"/>
      <c r="G19" s="32"/>
      <c r="H19" s="46"/>
      <c r="I19" s="46"/>
      <c r="J19" s="32"/>
      <c r="K19" s="32"/>
      <c r="L19" s="46"/>
      <c r="M19" s="46"/>
      <c r="N19" s="55"/>
      <c r="O19" s="28" t="s">
        <v>70</v>
      </c>
      <c r="P19" s="28">
        <f t="shared" si="7"/>
        <v>6</v>
      </c>
      <c r="Q19" s="522">
        <v>195407.73805700001</v>
      </c>
      <c r="R19" s="522">
        <v>203290.90702899999</v>
      </c>
      <c r="S19" s="522">
        <v>706331.69096539298</v>
      </c>
      <c r="T19" s="522">
        <v>1533822.2131029801</v>
      </c>
      <c r="U19" s="458">
        <f t="shared" si="2"/>
        <v>3.6146556834886323</v>
      </c>
      <c r="V19" s="458">
        <f t="shared" si="3"/>
        <v>7.5449622195063366</v>
      </c>
      <c r="W19" s="522">
        <v>1384383.590692</v>
      </c>
      <c r="X19" s="522">
        <v>2846163.3867629999</v>
      </c>
      <c r="Y19" s="458">
        <f t="shared" si="4"/>
        <v>7.08458940499162</v>
      </c>
      <c r="Z19" s="458">
        <f t="shared" si="5"/>
        <v>14.000446101393935</v>
      </c>
    </row>
    <row r="20" spans="2:28" x14ac:dyDescent="0.2">
      <c r="B20" s="28" t="s">
        <v>70</v>
      </c>
      <c r="C20" s="28">
        <f t="shared" si="6"/>
        <v>7</v>
      </c>
      <c r="D20" s="22"/>
      <c r="E20" s="22"/>
      <c r="F20" s="32"/>
      <c r="G20" s="32"/>
      <c r="H20" s="46"/>
      <c r="I20" s="46"/>
      <c r="J20" s="32"/>
      <c r="K20" s="32"/>
      <c r="L20" s="46"/>
      <c r="M20" s="46"/>
      <c r="N20" s="55"/>
      <c r="O20" s="28" t="s">
        <v>70</v>
      </c>
      <c r="P20" s="28">
        <f t="shared" si="7"/>
        <v>7</v>
      </c>
      <c r="Q20" s="522">
        <v>114344.121744</v>
      </c>
      <c r="R20" s="522">
        <v>146113.36629999999</v>
      </c>
      <c r="S20" s="522">
        <v>549734.81037037796</v>
      </c>
      <c r="T20" s="522">
        <v>1080692.5656905901</v>
      </c>
      <c r="U20" s="458">
        <f t="shared" si="2"/>
        <v>4.8077225307756084</v>
      </c>
      <c r="V20" s="458">
        <f t="shared" si="3"/>
        <v>7.3962608148505176</v>
      </c>
      <c r="W20" s="522">
        <v>982829.85352300003</v>
      </c>
      <c r="X20" s="522">
        <v>2041837.9346660001</v>
      </c>
      <c r="Y20" s="458">
        <f t="shared" si="4"/>
        <v>8.595368424127777</v>
      </c>
      <c r="Z20" s="458">
        <f t="shared" si="5"/>
        <v>13.974340516347409</v>
      </c>
    </row>
    <row r="21" spans="2:28" x14ac:dyDescent="0.2">
      <c r="B21" s="28" t="s">
        <v>70</v>
      </c>
      <c r="C21" s="28">
        <f t="shared" si="6"/>
        <v>8</v>
      </c>
      <c r="D21" s="22"/>
      <c r="E21" s="22"/>
      <c r="F21" s="32"/>
      <c r="G21" s="32"/>
      <c r="H21" s="46"/>
      <c r="I21" s="46"/>
      <c r="J21" s="32"/>
      <c r="K21" s="32"/>
      <c r="L21" s="46"/>
      <c r="M21" s="46"/>
      <c r="N21" s="55"/>
      <c r="O21" s="28" t="s">
        <v>70</v>
      </c>
      <c r="P21" s="28">
        <f t="shared" si="7"/>
        <v>8</v>
      </c>
      <c r="Q21" s="522">
        <v>46363.867332000002</v>
      </c>
      <c r="R21" s="522">
        <v>77008.212419999996</v>
      </c>
      <c r="S21" s="522">
        <v>97990.730014306901</v>
      </c>
      <c r="T21" s="522">
        <v>468878.40550598601</v>
      </c>
      <c r="U21" s="458">
        <f t="shared" si="2"/>
        <v>2.1135150204925726</v>
      </c>
      <c r="V21" s="458">
        <f t="shared" si="3"/>
        <v>6.0886805545977385</v>
      </c>
      <c r="W21" s="522">
        <v>272909.64126300003</v>
      </c>
      <c r="X21" s="522">
        <v>883272.76703999995</v>
      </c>
      <c r="Y21" s="458">
        <f t="shared" si="4"/>
        <v>5.8862570567886987</v>
      </c>
      <c r="Z21" s="458">
        <f t="shared" si="5"/>
        <v>11.469851581837302</v>
      </c>
    </row>
    <row r="22" spans="2:28" x14ac:dyDescent="0.2">
      <c r="B22" s="28" t="s">
        <v>71</v>
      </c>
      <c r="C22" s="28">
        <v>1</v>
      </c>
      <c r="D22" s="22"/>
      <c r="E22" s="22"/>
      <c r="F22" s="32"/>
      <c r="G22" s="32"/>
      <c r="H22" s="46"/>
      <c r="I22" s="46"/>
      <c r="J22" s="32"/>
      <c r="K22" s="32"/>
      <c r="L22" s="46"/>
      <c r="M22" s="46"/>
      <c r="N22" s="55"/>
      <c r="O22" s="28" t="s">
        <v>71</v>
      </c>
      <c r="P22" s="28">
        <v>1</v>
      </c>
      <c r="Q22" s="522">
        <v>116162.957276</v>
      </c>
      <c r="R22" s="522">
        <v>120294.763938</v>
      </c>
      <c r="S22" s="524">
        <v>363.92741695809701</v>
      </c>
      <c r="T22" s="524">
        <v>2349.5844112121299</v>
      </c>
      <c r="U22" s="458">
        <f t="shared" si="2"/>
        <v>3.132904201925709E-3</v>
      </c>
      <c r="V22" s="458">
        <f t="shared" si="3"/>
        <v>1.9531892613573E-2</v>
      </c>
      <c r="W22" s="524">
        <v>6286.9774859999998</v>
      </c>
      <c r="X22" s="524">
        <v>41997.478065000003</v>
      </c>
      <c r="Y22" s="458">
        <f t="shared" si="4"/>
        <v>5.4122050896675378E-2</v>
      </c>
      <c r="Z22" s="458">
        <f t="shared" si="5"/>
        <v>0.34912141385177436</v>
      </c>
    </row>
    <row r="23" spans="2:28" x14ac:dyDescent="0.2">
      <c r="B23" s="28" t="s">
        <v>71</v>
      </c>
      <c r="C23" s="28">
        <v>2</v>
      </c>
      <c r="D23" s="22"/>
      <c r="E23" s="22"/>
      <c r="F23" s="32"/>
      <c r="G23" s="32"/>
      <c r="H23" s="46"/>
      <c r="I23" s="46"/>
      <c r="J23" s="32"/>
      <c r="K23" s="32"/>
      <c r="L23" s="46"/>
      <c r="M23" s="46"/>
      <c r="N23" s="55"/>
      <c r="O23" s="28" t="s">
        <v>71</v>
      </c>
      <c r="P23" s="28">
        <v>2</v>
      </c>
      <c r="Q23" s="522">
        <v>310621.088108</v>
      </c>
      <c r="R23" s="522">
        <v>308156.63521400001</v>
      </c>
      <c r="S23" s="524">
        <v>27964.9831675069</v>
      </c>
      <c r="T23" s="524">
        <v>4251.7013075269297</v>
      </c>
      <c r="U23" s="458">
        <f t="shared" si="2"/>
        <v>9.0029248618766475E-2</v>
      </c>
      <c r="V23" s="458">
        <f t="shared" si="3"/>
        <v>1.3797208372859884E-2</v>
      </c>
      <c r="W23" s="524">
        <v>323204.98005499999</v>
      </c>
      <c r="X23" s="524">
        <v>150295.28700899999</v>
      </c>
      <c r="Y23" s="458">
        <f t="shared" si="4"/>
        <v>1.0405120335636218</v>
      </c>
      <c r="Z23" s="458">
        <f t="shared" si="5"/>
        <v>0.48772367632008679</v>
      </c>
    </row>
    <row r="24" spans="2:28" x14ac:dyDescent="0.2">
      <c r="B24" s="28" t="s">
        <v>71</v>
      </c>
      <c r="C24" s="28">
        <v>3</v>
      </c>
      <c r="D24" s="22"/>
      <c r="E24" s="22"/>
      <c r="F24" s="32"/>
      <c r="G24" s="32"/>
      <c r="H24" s="46"/>
      <c r="I24" s="46"/>
      <c r="J24" s="32"/>
      <c r="K24" s="32"/>
      <c r="L24" s="46"/>
      <c r="M24" s="46"/>
      <c r="N24" s="55"/>
      <c r="O24" s="28" t="s">
        <v>71</v>
      </c>
      <c r="P24" s="28">
        <v>3</v>
      </c>
      <c r="Q24" s="522">
        <v>454594.77963499998</v>
      </c>
      <c r="R24" s="522">
        <v>417809.737547</v>
      </c>
      <c r="S24" s="524">
        <v>39818.593030899297</v>
      </c>
      <c r="T24" s="524">
        <v>9161.7308314343099</v>
      </c>
      <c r="U24" s="458">
        <f t="shared" si="2"/>
        <v>8.759139966998776E-2</v>
      </c>
      <c r="V24" s="458">
        <f t="shared" si="3"/>
        <v>2.1927997382788843E-2</v>
      </c>
      <c r="W24" s="524">
        <v>434925.34503000003</v>
      </c>
      <c r="X24" s="524">
        <v>93895.118256999995</v>
      </c>
      <c r="Y24" s="458">
        <f t="shared" si="4"/>
        <v>0.95673193911115129</v>
      </c>
      <c r="Z24" s="458">
        <f t="shared" si="5"/>
        <v>0.22473176141912585</v>
      </c>
    </row>
    <row r="25" spans="2:28" x14ac:dyDescent="0.2">
      <c r="B25" s="28" t="s">
        <v>71</v>
      </c>
      <c r="C25" s="28">
        <v>4</v>
      </c>
      <c r="D25" s="22"/>
      <c r="E25" s="22"/>
      <c r="F25" s="32"/>
      <c r="G25" s="32"/>
      <c r="H25" s="46"/>
      <c r="I25" s="46"/>
      <c r="J25" s="32"/>
      <c r="K25" s="32"/>
      <c r="L25" s="46"/>
      <c r="M25" s="46"/>
      <c r="N25" s="55"/>
      <c r="O25" s="28" t="s">
        <v>71</v>
      </c>
      <c r="P25" s="28">
        <v>4</v>
      </c>
      <c r="Q25" s="522">
        <v>348784.43214699998</v>
      </c>
      <c r="R25" s="522">
        <v>390301.24397200003</v>
      </c>
      <c r="S25" s="524">
        <v>26562.9002012571</v>
      </c>
      <c r="T25" s="524">
        <v>5752.5458117738999</v>
      </c>
      <c r="U25" s="458">
        <f t="shared" si="2"/>
        <v>7.615850294046897E-2</v>
      </c>
      <c r="V25" s="458">
        <f t="shared" si="3"/>
        <v>1.473873296746803E-2</v>
      </c>
      <c r="W25" s="524">
        <v>283688.622997</v>
      </c>
      <c r="X25" s="524">
        <v>68223.301007000002</v>
      </c>
      <c r="Y25" s="458">
        <f t="shared" si="4"/>
        <v>0.81336377673369187</v>
      </c>
      <c r="Z25" s="458">
        <f t="shared" si="5"/>
        <v>0.17479652463494147</v>
      </c>
    </row>
    <row r="26" spans="2:28" x14ac:dyDescent="0.2">
      <c r="B26" s="28" t="s">
        <v>71</v>
      </c>
      <c r="C26" s="28">
        <v>5</v>
      </c>
      <c r="D26" s="22"/>
      <c r="E26" s="22"/>
      <c r="F26" s="32"/>
      <c r="G26" s="32"/>
      <c r="H26" s="46"/>
      <c r="I26" s="46"/>
      <c r="J26" s="32"/>
      <c r="K26" s="32"/>
      <c r="L26" s="46"/>
      <c r="M26" s="46"/>
      <c r="N26" s="55"/>
      <c r="O26" s="28" t="s">
        <v>71</v>
      </c>
      <c r="P26" s="28">
        <v>5</v>
      </c>
      <c r="Q26" s="522">
        <v>322237.15209599998</v>
      </c>
      <c r="R26" s="522">
        <v>355162.92462100001</v>
      </c>
      <c r="S26" s="524">
        <v>28305.2252989113</v>
      </c>
      <c r="T26" s="524">
        <v>12071.976972641</v>
      </c>
      <c r="U26" s="458">
        <f t="shared" si="2"/>
        <v>8.7839732677623364E-2</v>
      </c>
      <c r="V26" s="458">
        <f t="shared" si="3"/>
        <v>3.3989969492235705E-2</v>
      </c>
      <c r="W26" s="524">
        <v>292095.57053999999</v>
      </c>
      <c r="X26" s="524">
        <v>125438.59695599999</v>
      </c>
      <c r="Y26" s="458">
        <f t="shared" si="4"/>
        <v>0.90646149470989523</v>
      </c>
      <c r="Z26" s="458">
        <f t="shared" si="5"/>
        <v>0.35318606830895288</v>
      </c>
    </row>
    <row r="27" spans="2:28" x14ac:dyDescent="0.2">
      <c r="B27" s="28" t="s">
        <v>71</v>
      </c>
      <c r="C27" s="28">
        <v>6</v>
      </c>
      <c r="D27" s="22"/>
      <c r="E27" s="22"/>
      <c r="F27" s="32"/>
      <c r="G27" s="32"/>
      <c r="H27" s="46"/>
      <c r="I27" s="46"/>
      <c r="J27" s="32"/>
      <c r="K27" s="32"/>
      <c r="L27" s="46"/>
      <c r="M27" s="46"/>
      <c r="N27" s="55"/>
      <c r="O27" s="28" t="s">
        <v>71</v>
      </c>
      <c r="P27" s="28">
        <v>6</v>
      </c>
      <c r="Q27" s="522">
        <v>195407.73805700001</v>
      </c>
      <c r="R27" s="522">
        <v>203290.90702899999</v>
      </c>
      <c r="S27" s="524">
        <v>17849.458219781402</v>
      </c>
      <c r="T27" s="524">
        <v>2527.7591853142098</v>
      </c>
      <c r="U27" s="458">
        <f t="shared" si="2"/>
        <v>9.1344684695008102E-2</v>
      </c>
      <c r="V27" s="458">
        <f t="shared" si="3"/>
        <v>1.2434196995115075E-2</v>
      </c>
      <c r="W27" s="524">
        <v>118583.941655</v>
      </c>
      <c r="X27" s="524">
        <v>15896.851295</v>
      </c>
      <c r="Y27" s="458">
        <f t="shared" si="4"/>
        <v>0.60685386788730611</v>
      </c>
      <c r="Z27" s="458">
        <f t="shared" si="5"/>
        <v>7.8197552105625026E-2</v>
      </c>
    </row>
    <row r="28" spans="2:28" x14ac:dyDescent="0.2">
      <c r="B28" s="28" t="s">
        <v>71</v>
      </c>
      <c r="C28" s="28">
        <v>7</v>
      </c>
      <c r="D28" s="22"/>
      <c r="E28" s="22"/>
      <c r="F28" s="32"/>
      <c r="G28" s="32"/>
      <c r="H28" s="46"/>
      <c r="I28" s="46"/>
      <c r="J28" s="32"/>
      <c r="K28" s="32"/>
      <c r="L28" s="46"/>
      <c r="M28" s="46"/>
      <c r="N28" s="55"/>
      <c r="O28" s="28" t="s">
        <v>71</v>
      </c>
      <c r="P28" s="28">
        <v>7</v>
      </c>
      <c r="Q28" s="522">
        <v>114344.121744</v>
      </c>
      <c r="R28" s="522">
        <v>146113.36629999999</v>
      </c>
      <c r="S28" s="524">
        <v>5641.23172871929</v>
      </c>
      <c r="T28" s="524">
        <v>0</v>
      </c>
      <c r="U28" s="458">
        <f t="shared" si="2"/>
        <v>4.9335563933484872E-2</v>
      </c>
      <c r="V28" s="458">
        <f t="shared" si="3"/>
        <v>0</v>
      </c>
      <c r="W28" s="524">
        <v>41652.039172999997</v>
      </c>
      <c r="X28" s="524">
        <v>0</v>
      </c>
      <c r="Y28" s="458">
        <f t="shared" si="4"/>
        <v>0.36426917744187065</v>
      </c>
      <c r="Z28" s="458">
        <f t="shared" si="5"/>
        <v>0</v>
      </c>
    </row>
    <row r="29" spans="2:28" x14ac:dyDescent="0.2">
      <c r="B29" s="28" t="s">
        <v>71</v>
      </c>
      <c r="C29" s="28">
        <v>8</v>
      </c>
      <c r="D29" s="22"/>
      <c r="E29" s="22"/>
      <c r="F29" s="32"/>
      <c r="G29" s="32"/>
      <c r="H29" s="46"/>
      <c r="I29" s="46"/>
      <c r="J29" s="32"/>
      <c r="K29" s="32"/>
      <c r="L29" s="46"/>
      <c r="M29" s="46"/>
      <c r="N29" s="55"/>
      <c r="O29" s="28" t="s">
        <v>71</v>
      </c>
      <c r="P29" s="28">
        <v>8</v>
      </c>
      <c r="Q29" s="522">
        <v>46363.867332000002</v>
      </c>
      <c r="R29" s="522">
        <v>77008.212419999996</v>
      </c>
      <c r="S29" s="524">
        <v>139.683666649104</v>
      </c>
      <c r="T29" s="524">
        <v>0</v>
      </c>
      <c r="U29" s="458">
        <f t="shared" si="2"/>
        <v>3.0127699583139683E-3</v>
      </c>
      <c r="V29" s="458">
        <f t="shared" si="3"/>
        <v>0</v>
      </c>
      <c r="W29" s="524">
        <v>2074.1166400000002</v>
      </c>
      <c r="X29" s="524">
        <v>0</v>
      </c>
      <c r="Y29" s="458">
        <f t="shared" si="4"/>
        <v>4.473562623988573E-2</v>
      </c>
      <c r="Z29" s="458">
        <f t="shared" si="5"/>
        <v>0</v>
      </c>
    </row>
    <row r="30" spans="2:28" x14ac:dyDescent="0.2">
      <c r="B30" s="28" t="s">
        <v>72</v>
      </c>
      <c r="C30" s="28">
        <v>1</v>
      </c>
      <c r="D30" s="22"/>
      <c r="E30" s="22"/>
      <c r="F30" s="32"/>
      <c r="G30" s="32"/>
      <c r="H30" s="46"/>
      <c r="I30" s="46"/>
      <c r="J30" s="32"/>
      <c r="K30" s="32"/>
      <c r="L30" s="46"/>
      <c r="M30" s="46"/>
      <c r="N30" s="55"/>
      <c r="O30" s="28" t="s">
        <v>72</v>
      </c>
      <c r="P30" s="28">
        <v>1</v>
      </c>
      <c r="Q30" s="522">
        <v>116162.957276</v>
      </c>
      <c r="R30" s="522">
        <v>120294.763938</v>
      </c>
      <c r="S30" s="522">
        <v>127524.813946984</v>
      </c>
      <c r="T30" s="522">
        <v>15767.455145333901</v>
      </c>
      <c r="U30" s="458">
        <f t="shared" si="2"/>
        <v>1.0978096368878465</v>
      </c>
      <c r="V30" s="458">
        <f t="shared" si="3"/>
        <v>0.13107349504805094</v>
      </c>
      <c r="W30" s="522">
        <v>202875.60350299999</v>
      </c>
      <c r="X30" s="522">
        <v>379414.93638899998</v>
      </c>
      <c r="Y30" s="458">
        <f t="shared" si="4"/>
        <v>1.7464741623353572</v>
      </c>
      <c r="Z30" s="458">
        <f t="shared" si="5"/>
        <v>3.154043650516249</v>
      </c>
      <c r="AA30" s="47"/>
      <c r="AB30" s="47"/>
    </row>
    <row r="31" spans="2:28" x14ac:dyDescent="0.2">
      <c r="B31" s="28" t="s">
        <v>72</v>
      </c>
      <c r="C31" s="28">
        <v>2</v>
      </c>
      <c r="D31" s="22"/>
      <c r="E31" s="22"/>
      <c r="F31" s="32"/>
      <c r="G31" s="32"/>
      <c r="H31" s="46"/>
      <c r="I31" s="46"/>
      <c r="J31" s="32"/>
      <c r="K31" s="32"/>
      <c r="L31" s="46"/>
      <c r="M31" s="46"/>
      <c r="N31" s="55"/>
      <c r="O31" s="28" t="s">
        <v>72</v>
      </c>
      <c r="P31" s="28">
        <v>2</v>
      </c>
      <c r="Q31" s="522">
        <v>310621.088108</v>
      </c>
      <c r="R31" s="522">
        <v>308156.63521400001</v>
      </c>
      <c r="S31" s="522">
        <v>747933.88939809403</v>
      </c>
      <c r="T31" s="522">
        <v>480159.71424896101</v>
      </c>
      <c r="U31" s="458">
        <f t="shared" si="2"/>
        <v>2.4078657825641399</v>
      </c>
      <c r="V31" s="458">
        <f t="shared" si="3"/>
        <v>1.5581676958392057</v>
      </c>
      <c r="W31" s="522">
        <v>2108019.7808539998</v>
      </c>
      <c r="X31" s="522">
        <v>1860189.0964530001</v>
      </c>
      <c r="Y31" s="458">
        <f t="shared" si="4"/>
        <v>6.7864670544231087</v>
      </c>
      <c r="Z31" s="458">
        <f t="shared" si="5"/>
        <v>6.0365050882684645</v>
      </c>
    </row>
    <row r="32" spans="2:28" x14ac:dyDescent="0.2">
      <c r="B32" s="28" t="s">
        <v>72</v>
      </c>
      <c r="C32" s="28">
        <v>3</v>
      </c>
      <c r="D32" s="22"/>
      <c r="E32" s="22"/>
      <c r="F32" s="32"/>
      <c r="G32" s="32"/>
      <c r="H32" s="46"/>
      <c r="I32" s="46"/>
      <c r="J32" s="32"/>
      <c r="K32" s="32"/>
      <c r="L32" s="46"/>
      <c r="M32" s="46"/>
      <c r="N32" s="55"/>
      <c r="O32" s="28" t="s">
        <v>72</v>
      </c>
      <c r="P32" s="28">
        <v>3</v>
      </c>
      <c r="Q32" s="522">
        <v>454594.77963499998</v>
      </c>
      <c r="R32" s="522">
        <v>417809.737547</v>
      </c>
      <c r="S32" s="522">
        <v>276701.77130857401</v>
      </c>
      <c r="T32" s="522">
        <v>476987.65099219303</v>
      </c>
      <c r="U32" s="458">
        <f t="shared" si="2"/>
        <v>0.60867784608248565</v>
      </c>
      <c r="V32" s="458">
        <f t="shared" si="3"/>
        <v>1.1416384256447254</v>
      </c>
      <c r="W32" s="522">
        <v>1022263.779926</v>
      </c>
      <c r="X32" s="522">
        <v>1462480.2708399999</v>
      </c>
      <c r="Y32" s="458">
        <f t="shared" si="4"/>
        <v>2.2487362937752802</v>
      </c>
      <c r="Z32" s="458">
        <f t="shared" si="5"/>
        <v>3.5003498947304537</v>
      </c>
    </row>
    <row r="33" spans="2:26" x14ac:dyDescent="0.2">
      <c r="B33" s="28" t="s">
        <v>72</v>
      </c>
      <c r="C33" s="28">
        <v>4</v>
      </c>
      <c r="D33" s="22"/>
      <c r="E33" s="22"/>
      <c r="F33" s="32"/>
      <c r="G33" s="32"/>
      <c r="H33" s="46"/>
      <c r="I33" s="46"/>
      <c r="J33" s="32"/>
      <c r="K33" s="32"/>
      <c r="L33" s="46"/>
      <c r="M33" s="46"/>
      <c r="N33" s="55"/>
      <c r="O33" s="28" t="s">
        <v>72</v>
      </c>
      <c r="P33" s="28">
        <v>4</v>
      </c>
      <c r="Q33" s="522">
        <v>348784.43214699998</v>
      </c>
      <c r="R33" s="522">
        <v>390301.24397200003</v>
      </c>
      <c r="S33" s="522">
        <v>115910.48788001599</v>
      </c>
      <c r="T33" s="522">
        <v>432806.76452834997</v>
      </c>
      <c r="U33" s="458">
        <f t="shared" si="2"/>
        <v>0.33232701117567059</v>
      </c>
      <c r="V33" s="458">
        <f t="shared" si="3"/>
        <v>1.108904394266802</v>
      </c>
      <c r="W33" s="522">
        <v>491241.366867</v>
      </c>
      <c r="X33" s="522">
        <v>1270210.0942510001</v>
      </c>
      <c r="Y33" s="458">
        <f t="shared" si="4"/>
        <v>1.4084383406767409</v>
      </c>
      <c r="Z33" s="458">
        <f t="shared" si="5"/>
        <v>3.2544351673706791</v>
      </c>
    </row>
    <row r="34" spans="2:26" x14ac:dyDescent="0.2">
      <c r="B34" s="28" t="s">
        <v>72</v>
      </c>
      <c r="C34" s="28">
        <v>5</v>
      </c>
      <c r="D34" s="22"/>
      <c r="E34" s="22"/>
      <c r="F34" s="32"/>
      <c r="G34" s="32"/>
      <c r="H34" s="46"/>
      <c r="I34" s="46"/>
      <c r="J34" s="32"/>
      <c r="K34" s="32"/>
      <c r="L34" s="46"/>
      <c r="M34" s="46"/>
      <c r="N34" s="55"/>
      <c r="O34" s="28" t="s">
        <v>72</v>
      </c>
      <c r="P34" s="28">
        <v>5</v>
      </c>
      <c r="Q34" s="522">
        <v>322237.15209599998</v>
      </c>
      <c r="R34" s="522">
        <v>355162.92462100001</v>
      </c>
      <c r="S34" s="522">
        <v>69689.376765403998</v>
      </c>
      <c r="T34" s="522">
        <v>152273.447789022</v>
      </c>
      <c r="U34" s="458">
        <f t="shared" si="2"/>
        <v>0.21626735561715224</v>
      </c>
      <c r="V34" s="458">
        <f t="shared" si="3"/>
        <v>0.42874252134148128</v>
      </c>
      <c r="W34" s="522">
        <v>248497.44096599999</v>
      </c>
      <c r="X34" s="522">
        <v>490279.69056800002</v>
      </c>
      <c r="Y34" s="458">
        <f t="shared" si="4"/>
        <v>0.77116322357506539</v>
      </c>
      <c r="Z34" s="458">
        <f t="shared" si="5"/>
        <v>1.3804360100119832</v>
      </c>
    </row>
    <row r="35" spans="2:26" x14ac:dyDescent="0.2">
      <c r="B35" s="28" t="s">
        <v>72</v>
      </c>
      <c r="C35" s="28">
        <v>6</v>
      </c>
      <c r="D35" s="22"/>
      <c r="E35" s="22"/>
      <c r="F35" s="32"/>
      <c r="G35" s="32"/>
      <c r="H35" s="46"/>
      <c r="I35" s="46"/>
      <c r="J35" s="32"/>
      <c r="K35" s="32"/>
      <c r="L35" s="46"/>
      <c r="M35" s="46"/>
      <c r="N35" s="55"/>
      <c r="O35" s="28" t="s">
        <v>72</v>
      </c>
      <c r="P35" s="28">
        <v>6</v>
      </c>
      <c r="Q35" s="522">
        <v>195407.73805700001</v>
      </c>
      <c r="R35" s="522">
        <v>203290.90702899999</v>
      </c>
      <c r="S35" s="522">
        <v>51580.5491017975</v>
      </c>
      <c r="T35" s="522">
        <v>63367.7646497889</v>
      </c>
      <c r="U35" s="458">
        <f t="shared" si="2"/>
        <v>0.2639636977259906</v>
      </c>
      <c r="V35" s="458">
        <f t="shared" si="3"/>
        <v>0.31170978365869223</v>
      </c>
      <c r="W35" s="522">
        <v>276635.81188300002</v>
      </c>
      <c r="X35" s="522">
        <v>308538.81251399999</v>
      </c>
      <c r="Y35" s="458">
        <f t="shared" si="4"/>
        <v>1.4156850421261513</v>
      </c>
      <c r="Z35" s="458">
        <f t="shared" si="5"/>
        <v>1.5177206743929088</v>
      </c>
    </row>
    <row r="36" spans="2:26" x14ac:dyDescent="0.2">
      <c r="B36" s="28" t="s">
        <v>72</v>
      </c>
      <c r="C36" s="28">
        <v>7</v>
      </c>
      <c r="D36" s="22"/>
      <c r="E36" s="22"/>
      <c r="F36" s="32"/>
      <c r="G36" s="32"/>
      <c r="H36" s="46"/>
      <c r="I36" s="46"/>
      <c r="J36" s="32"/>
      <c r="K36" s="32"/>
      <c r="L36" s="46"/>
      <c r="M36" s="46"/>
      <c r="N36" s="55"/>
      <c r="O36" s="28" t="s">
        <v>72</v>
      </c>
      <c r="P36" s="28">
        <v>7</v>
      </c>
      <c r="Q36" s="522">
        <v>114344.121744</v>
      </c>
      <c r="R36" s="522">
        <v>146113.36629999999</v>
      </c>
      <c r="S36" s="522">
        <v>2447.94349812776</v>
      </c>
      <c r="T36" s="522">
        <v>20539.844614062898</v>
      </c>
      <c r="U36" s="458">
        <f t="shared" si="2"/>
        <v>2.1408564435068663E-2</v>
      </c>
      <c r="V36" s="458">
        <f t="shared" si="3"/>
        <v>0.14057471355420342</v>
      </c>
      <c r="W36" s="522">
        <v>19052.479449999999</v>
      </c>
      <c r="X36" s="522">
        <v>138877.28914499999</v>
      </c>
      <c r="Y36" s="458">
        <f t="shared" si="4"/>
        <v>0.16662403942946671</v>
      </c>
      <c r="Z36" s="458">
        <f t="shared" si="5"/>
        <v>0.95047628195669043</v>
      </c>
    </row>
    <row r="37" spans="2:26" x14ac:dyDescent="0.2">
      <c r="B37" s="28" t="s">
        <v>72</v>
      </c>
      <c r="C37" s="28">
        <v>8</v>
      </c>
      <c r="D37" s="22"/>
      <c r="E37" s="22"/>
      <c r="F37" s="32"/>
      <c r="G37" s="32"/>
      <c r="H37" s="46"/>
      <c r="I37" s="46"/>
      <c r="J37" s="32"/>
      <c r="K37" s="32"/>
      <c r="L37" s="46"/>
      <c r="M37" s="46"/>
      <c r="N37" s="55"/>
      <c r="O37" s="28" t="s">
        <v>72</v>
      </c>
      <c r="P37" s="28">
        <v>8</v>
      </c>
      <c r="Q37" s="522">
        <v>46363.867332000002</v>
      </c>
      <c r="R37" s="522">
        <v>77008.212419999996</v>
      </c>
      <c r="S37" s="522">
        <v>0</v>
      </c>
      <c r="T37" s="522">
        <v>16416.194868274299</v>
      </c>
      <c r="U37" s="458">
        <f t="shared" si="2"/>
        <v>0</v>
      </c>
      <c r="V37" s="458">
        <f t="shared" si="3"/>
        <v>0.21317459985619414</v>
      </c>
      <c r="W37" s="522">
        <v>0</v>
      </c>
      <c r="X37" s="522">
        <v>69620.757951000007</v>
      </c>
      <c r="Y37" s="458">
        <f t="shared" si="4"/>
        <v>0</v>
      </c>
      <c r="Z37" s="458">
        <f t="shared" si="5"/>
        <v>0.90406926434405355</v>
      </c>
    </row>
    <row r="38" spans="2:26" x14ac:dyDescent="0.2">
      <c r="B38" s="28" t="s">
        <v>73</v>
      </c>
      <c r="C38" s="28">
        <v>1</v>
      </c>
      <c r="D38" s="22"/>
      <c r="E38" s="22"/>
      <c r="F38" s="32"/>
      <c r="G38" s="32"/>
      <c r="H38" s="46"/>
      <c r="I38" s="46"/>
      <c r="J38" s="32"/>
      <c r="K38" s="32"/>
      <c r="L38" s="46"/>
      <c r="M38" s="46"/>
      <c r="N38" s="55"/>
      <c r="O38" s="28" t="s">
        <v>73</v>
      </c>
      <c r="P38" s="28">
        <v>1</v>
      </c>
      <c r="Q38" s="522">
        <v>116162.957276</v>
      </c>
      <c r="R38" s="522">
        <v>120294.763938</v>
      </c>
      <c r="S38" s="522">
        <v>0</v>
      </c>
      <c r="T38" s="522">
        <v>0</v>
      </c>
      <c r="U38" s="458">
        <f t="shared" si="2"/>
        <v>0</v>
      </c>
      <c r="V38" s="458">
        <f t="shared" si="3"/>
        <v>0</v>
      </c>
      <c r="W38" s="522">
        <v>0</v>
      </c>
      <c r="X38" s="522">
        <v>0</v>
      </c>
      <c r="Y38" s="458">
        <f t="shared" si="4"/>
        <v>0</v>
      </c>
      <c r="Z38" s="458">
        <f t="shared" si="5"/>
        <v>0</v>
      </c>
    </row>
    <row r="39" spans="2:26" x14ac:dyDescent="0.2">
      <c r="B39" s="28" t="s">
        <v>73</v>
      </c>
      <c r="C39" s="28">
        <v>2</v>
      </c>
      <c r="D39" s="22"/>
      <c r="E39" s="22"/>
      <c r="F39" s="32"/>
      <c r="G39" s="32"/>
      <c r="H39" s="46"/>
      <c r="I39" s="46"/>
      <c r="J39" s="32"/>
      <c r="K39" s="32"/>
      <c r="L39" s="46"/>
      <c r="M39" s="46"/>
      <c r="N39" s="55"/>
      <c r="O39" s="28" t="s">
        <v>73</v>
      </c>
      <c r="P39" s="28">
        <v>2</v>
      </c>
      <c r="Q39" s="522">
        <v>310621.088108</v>
      </c>
      <c r="R39" s="522">
        <v>308156.63521400001</v>
      </c>
      <c r="S39" s="522">
        <v>0</v>
      </c>
      <c r="T39" s="522">
        <v>0</v>
      </c>
      <c r="U39" s="458">
        <f t="shared" si="2"/>
        <v>0</v>
      </c>
      <c r="V39" s="458">
        <f t="shared" si="3"/>
        <v>0</v>
      </c>
      <c r="W39" s="522">
        <v>0</v>
      </c>
      <c r="X39" s="522">
        <v>0</v>
      </c>
      <c r="Y39" s="458">
        <f t="shared" si="4"/>
        <v>0</v>
      </c>
      <c r="Z39" s="458">
        <f t="shared" si="5"/>
        <v>0</v>
      </c>
    </row>
    <row r="40" spans="2:26" x14ac:dyDescent="0.2">
      <c r="B40" s="28" t="s">
        <v>73</v>
      </c>
      <c r="C40" s="28">
        <v>3</v>
      </c>
      <c r="D40" s="22"/>
      <c r="E40" s="22"/>
      <c r="F40" s="32"/>
      <c r="G40" s="32"/>
      <c r="H40" s="46"/>
      <c r="I40" s="46"/>
      <c r="J40" s="32"/>
      <c r="K40" s="32"/>
      <c r="L40" s="46"/>
      <c r="M40" s="46"/>
      <c r="N40" s="55"/>
      <c r="O40" s="28" t="s">
        <v>73</v>
      </c>
      <c r="P40" s="28">
        <v>3</v>
      </c>
      <c r="Q40" s="522">
        <v>454594.77963499998</v>
      </c>
      <c r="R40" s="522">
        <v>417809.737547</v>
      </c>
      <c r="S40" s="522">
        <v>0</v>
      </c>
      <c r="T40" s="522">
        <v>0</v>
      </c>
      <c r="U40" s="458">
        <f t="shared" si="2"/>
        <v>0</v>
      </c>
      <c r="V40" s="458">
        <f t="shared" si="3"/>
        <v>0</v>
      </c>
      <c r="W40" s="522">
        <v>0</v>
      </c>
      <c r="X40" s="522">
        <v>0</v>
      </c>
      <c r="Y40" s="458">
        <f t="shared" si="4"/>
        <v>0</v>
      </c>
      <c r="Z40" s="458">
        <f t="shared" si="5"/>
        <v>0</v>
      </c>
    </row>
    <row r="41" spans="2:26" x14ac:dyDescent="0.2">
      <c r="B41" s="28" t="s">
        <v>73</v>
      </c>
      <c r="C41" s="28">
        <v>4</v>
      </c>
      <c r="D41" s="22"/>
      <c r="E41" s="22"/>
      <c r="F41" s="32"/>
      <c r="G41" s="32"/>
      <c r="H41" s="46"/>
      <c r="I41" s="46"/>
      <c r="J41" s="32"/>
      <c r="K41" s="32"/>
      <c r="L41" s="46"/>
      <c r="M41" s="46"/>
      <c r="N41" s="55"/>
      <c r="O41" s="28" t="s">
        <v>73</v>
      </c>
      <c r="P41" s="28">
        <v>4</v>
      </c>
      <c r="Q41" s="522">
        <v>348784.43214699998</v>
      </c>
      <c r="R41" s="522">
        <v>390301.24397200003</v>
      </c>
      <c r="S41" s="522">
        <v>0</v>
      </c>
      <c r="T41" s="522">
        <v>39442.945753355198</v>
      </c>
      <c r="U41" s="458">
        <f t="shared" si="2"/>
        <v>0</v>
      </c>
      <c r="V41" s="458">
        <f t="shared" si="3"/>
        <v>0.10105769930926689</v>
      </c>
      <c r="W41" s="522">
        <v>0</v>
      </c>
      <c r="X41" s="522">
        <v>67920.747728999995</v>
      </c>
      <c r="Y41" s="458">
        <f t="shared" si="4"/>
        <v>0</v>
      </c>
      <c r="Z41" s="458">
        <f t="shared" si="5"/>
        <v>0.17402134576305012</v>
      </c>
    </row>
    <row r="42" spans="2:26" x14ac:dyDescent="0.2">
      <c r="B42" s="28" t="s">
        <v>73</v>
      </c>
      <c r="C42" s="28">
        <v>5</v>
      </c>
      <c r="D42" s="22"/>
      <c r="E42" s="22"/>
      <c r="F42" s="32"/>
      <c r="G42" s="32"/>
      <c r="H42" s="46"/>
      <c r="I42" s="46"/>
      <c r="J42" s="32"/>
      <c r="K42" s="32"/>
      <c r="L42" s="46"/>
      <c r="M42" s="46"/>
      <c r="N42" s="55"/>
      <c r="O42" s="28" t="s">
        <v>73</v>
      </c>
      <c r="P42" s="28">
        <v>5</v>
      </c>
      <c r="Q42" s="522">
        <v>322237.15209599998</v>
      </c>
      <c r="R42" s="522">
        <v>355162.92462100001</v>
      </c>
      <c r="S42" s="522">
        <v>23076.864397795001</v>
      </c>
      <c r="T42" s="522">
        <v>32708.0297281075</v>
      </c>
      <c r="U42" s="458">
        <f t="shared" si="2"/>
        <v>7.161453683317065E-2</v>
      </c>
      <c r="V42" s="458">
        <f t="shared" si="3"/>
        <v>9.2093029594828221E-2</v>
      </c>
      <c r="W42" s="522">
        <v>30136.903602999999</v>
      </c>
      <c r="X42" s="522">
        <v>51815.932076999998</v>
      </c>
      <c r="Y42" s="458">
        <f t="shared" si="4"/>
        <v>9.35239881775696E-2</v>
      </c>
      <c r="Z42" s="458">
        <f t="shared" si="5"/>
        <v>0.14589341534534778</v>
      </c>
    </row>
    <row r="43" spans="2:26" x14ac:dyDescent="0.2">
      <c r="B43" s="28" t="s">
        <v>73</v>
      </c>
      <c r="C43" s="28">
        <v>6</v>
      </c>
      <c r="D43" s="22"/>
      <c r="E43" s="22"/>
      <c r="F43" s="32"/>
      <c r="G43" s="32"/>
      <c r="H43" s="46"/>
      <c r="I43" s="46"/>
      <c r="J43" s="32"/>
      <c r="K43" s="32"/>
      <c r="L43" s="46"/>
      <c r="M43" s="46"/>
      <c r="N43" s="55"/>
      <c r="O43" s="28" t="s">
        <v>73</v>
      </c>
      <c r="P43" s="28">
        <v>6</v>
      </c>
      <c r="Q43" s="522">
        <v>195407.73805700001</v>
      </c>
      <c r="R43" s="522">
        <v>203290.90702899999</v>
      </c>
      <c r="S43" s="522">
        <v>11434.279791582099</v>
      </c>
      <c r="T43" s="522">
        <v>42574.277776339703</v>
      </c>
      <c r="U43" s="458">
        <f t="shared" si="2"/>
        <v>5.8514979525768548E-2</v>
      </c>
      <c r="V43" s="458">
        <f t="shared" si="3"/>
        <v>0.2094253914183499</v>
      </c>
      <c r="W43" s="522">
        <v>17520.825799999999</v>
      </c>
      <c r="X43" s="522">
        <v>75414.865349999993</v>
      </c>
      <c r="Y43" s="458">
        <f t="shared" si="4"/>
        <v>8.966290677234702E-2</v>
      </c>
      <c r="Z43" s="458">
        <f t="shared" si="5"/>
        <v>0.37097018480635663</v>
      </c>
    </row>
    <row r="44" spans="2:26" x14ac:dyDescent="0.2">
      <c r="B44" s="28" t="s">
        <v>73</v>
      </c>
      <c r="C44" s="28">
        <v>7</v>
      </c>
      <c r="D44" s="22"/>
      <c r="E44" s="22"/>
      <c r="F44" s="32"/>
      <c r="G44" s="32"/>
      <c r="H44" s="46"/>
      <c r="I44" s="46"/>
      <c r="J44" s="32"/>
      <c r="K44" s="32"/>
      <c r="L44" s="46"/>
      <c r="M44" s="46"/>
      <c r="N44" s="55"/>
      <c r="O44" s="28" t="s">
        <v>73</v>
      </c>
      <c r="P44" s="28">
        <v>7</v>
      </c>
      <c r="Q44" s="522">
        <v>114344.121744</v>
      </c>
      <c r="R44" s="522">
        <v>146113.36629999999</v>
      </c>
      <c r="S44" s="522">
        <v>0</v>
      </c>
      <c r="T44" s="522">
        <v>0</v>
      </c>
      <c r="U44" s="458">
        <f t="shared" si="2"/>
        <v>0</v>
      </c>
      <c r="V44" s="458">
        <f t="shared" si="3"/>
        <v>0</v>
      </c>
      <c r="W44" s="522">
        <v>0</v>
      </c>
      <c r="X44" s="522">
        <v>0</v>
      </c>
      <c r="Y44" s="458">
        <f t="shared" si="4"/>
        <v>0</v>
      </c>
      <c r="Z44" s="458">
        <f t="shared" si="5"/>
        <v>0</v>
      </c>
    </row>
    <row r="45" spans="2:26" x14ac:dyDescent="0.2">
      <c r="B45" s="28" t="s">
        <v>73</v>
      </c>
      <c r="C45" s="28">
        <v>8</v>
      </c>
      <c r="D45" s="22"/>
      <c r="E45" s="22"/>
      <c r="F45" s="32"/>
      <c r="G45" s="32"/>
      <c r="H45" s="46"/>
      <c r="I45" s="46"/>
      <c r="J45" s="32"/>
      <c r="K45" s="32"/>
      <c r="L45" s="46"/>
      <c r="M45" s="46"/>
      <c r="N45" s="55"/>
      <c r="O45" s="28" t="s">
        <v>73</v>
      </c>
      <c r="P45" s="28">
        <v>8</v>
      </c>
      <c r="Q45" s="522">
        <v>46363.867332000002</v>
      </c>
      <c r="R45" s="522">
        <v>77008.212419999996</v>
      </c>
      <c r="S45" s="522">
        <v>0</v>
      </c>
      <c r="T45" s="522">
        <v>12704.0781960358</v>
      </c>
      <c r="U45" s="458">
        <f t="shared" si="2"/>
        <v>0</v>
      </c>
      <c r="V45" s="458">
        <f t="shared" si="3"/>
        <v>0.16497043363048369</v>
      </c>
      <c r="W45" s="522">
        <v>0</v>
      </c>
      <c r="X45" s="522">
        <v>14519.557205999999</v>
      </c>
      <c r="Y45" s="458">
        <f t="shared" si="4"/>
        <v>0</v>
      </c>
      <c r="Z45" s="458">
        <f t="shared" si="5"/>
        <v>0.188545568709099</v>
      </c>
    </row>
    <row r="46" spans="2:26" x14ac:dyDescent="0.2">
      <c r="B46" s="28" t="s">
        <v>74</v>
      </c>
      <c r="C46" s="28">
        <v>1</v>
      </c>
      <c r="D46" s="22"/>
      <c r="E46" s="22"/>
      <c r="F46" s="32"/>
      <c r="G46" s="32"/>
      <c r="H46" s="46"/>
      <c r="I46" s="46"/>
      <c r="J46" s="32"/>
      <c r="K46" s="32"/>
      <c r="L46" s="46"/>
      <c r="M46" s="46"/>
      <c r="N46" s="55"/>
      <c r="O46" s="28" t="s">
        <v>74</v>
      </c>
      <c r="P46" s="28">
        <v>1</v>
      </c>
      <c r="Q46" s="522">
        <v>116162.957276</v>
      </c>
      <c r="R46" s="522">
        <v>120294.763938</v>
      </c>
      <c r="S46" s="522">
        <v>0</v>
      </c>
      <c r="T46" s="522">
        <v>0</v>
      </c>
      <c r="U46" s="458">
        <f t="shared" si="2"/>
        <v>0</v>
      </c>
      <c r="V46" s="458">
        <f t="shared" si="3"/>
        <v>0</v>
      </c>
      <c r="W46" s="522">
        <v>0</v>
      </c>
      <c r="X46" s="522">
        <v>0</v>
      </c>
      <c r="Y46" s="458">
        <f t="shared" si="4"/>
        <v>0</v>
      </c>
      <c r="Z46" s="458">
        <f t="shared" si="5"/>
        <v>0</v>
      </c>
    </row>
    <row r="47" spans="2:26" x14ac:dyDescent="0.2">
      <c r="B47" s="28" t="s">
        <v>74</v>
      </c>
      <c r="C47" s="28">
        <v>2</v>
      </c>
      <c r="D47" s="22"/>
      <c r="E47" s="22"/>
      <c r="F47" s="32"/>
      <c r="G47" s="32"/>
      <c r="H47" s="46"/>
      <c r="I47" s="46"/>
      <c r="J47" s="32"/>
      <c r="K47" s="32"/>
      <c r="L47" s="46"/>
      <c r="M47" s="46"/>
      <c r="N47" s="55"/>
      <c r="O47" s="28" t="s">
        <v>74</v>
      </c>
      <c r="P47" s="28">
        <v>2</v>
      </c>
      <c r="Q47" s="522">
        <v>310621.088108</v>
      </c>
      <c r="R47" s="522">
        <v>308156.63521400001</v>
      </c>
      <c r="S47" s="522">
        <v>0</v>
      </c>
      <c r="T47" s="522">
        <v>0</v>
      </c>
      <c r="U47" s="458">
        <f t="shared" si="2"/>
        <v>0</v>
      </c>
      <c r="V47" s="458">
        <f t="shared" si="3"/>
        <v>0</v>
      </c>
      <c r="W47" s="522">
        <v>0</v>
      </c>
      <c r="X47" s="522">
        <v>0</v>
      </c>
      <c r="Y47" s="458">
        <f t="shared" si="4"/>
        <v>0</v>
      </c>
      <c r="Z47" s="458">
        <f t="shared" si="5"/>
        <v>0</v>
      </c>
    </row>
    <row r="48" spans="2:26" x14ac:dyDescent="0.2">
      <c r="B48" s="28" t="s">
        <v>74</v>
      </c>
      <c r="C48" s="28">
        <v>3</v>
      </c>
      <c r="D48" s="22"/>
      <c r="E48" s="22"/>
      <c r="F48" s="32"/>
      <c r="G48" s="32"/>
      <c r="H48" s="46"/>
      <c r="I48" s="46"/>
      <c r="J48" s="32"/>
      <c r="K48" s="32"/>
      <c r="L48" s="46"/>
      <c r="M48" s="46"/>
      <c r="N48" s="55"/>
      <c r="O48" s="28" t="s">
        <v>74</v>
      </c>
      <c r="P48" s="28">
        <v>3</v>
      </c>
      <c r="Q48" s="522">
        <v>454594.77963499998</v>
      </c>
      <c r="R48" s="522">
        <v>417809.737547</v>
      </c>
      <c r="S48" s="522">
        <v>0</v>
      </c>
      <c r="T48" s="522">
        <v>0</v>
      </c>
      <c r="U48" s="458">
        <f t="shared" si="2"/>
        <v>0</v>
      </c>
      <c r="V48" s="458">
        <f t="shared" si="3"/>
        <v>0</v>
      </c>
      <c r="W48" s="522">
        <v>0</v>
      </c>
      <c r="X48" s="522">
        <v>0</v>
      </c>
      <c r="Y48" s="458">
        <f t="shared" si="4"/>
        <v>0</v>
      </c>
      <c r="Z48" s="458">
        <f t="shared" si="5"/>
        <v>0</v>
      </c>
    </row>
    <row r="49" spans="2:26" x14ac:dyDescent="0.2">
      <c r="B49" s="28" t="s">
        <v>74</v>
      </c>
      <c r="C49" s="28">
        <v>4</v>
      </c>
      <c r="D49" s="22"/>
      <c r="E49" s="22"/>
      <c r="F49" s="32"/>
      <c r="G49" s="32"/>
      <c r="H49" s="46"/>
      <c r="I49" s="46"/>
      <c r="J49" s="32"/>
      <c r="K49" s="32"/>
      <c r="L49" s="46"/>
      <c r="M49" s="46"/>
      <c r="N49" s="55"/>
      <c r="O49" s="28" t="s">
        <v>74</v>
      </c>
      <c r="P49" s="28">
        <v>4</v>
      </c>
      <c r="Q49" s="522">
        <v>348784.43214699998</v>
      </c>
      <c r="R49" s="522">
        <v>390301.24397200003</v>
      </c>
      <c r="S49" s="522">
        <v>0</v>
      </c>
      <c r="T49" s="522">
        <v>0</v>
      </c>
      <c r="U49" s="458">
        <f t="shared" si="2"/>
        <v>0</v>
      </c>
      <c r="V49" s="458">
        <f t="shared" si="3"/>
        <v>0</v>
      </c>
      <c r="W49" s="522">
        <v>0</v>
      </c>
      <c r="X49" s="522">
        <v>0</v>
      </c>
      <c r="Y49" s="458">
        <f t="shared" si="4"/>
        <v>0</v>
      </c>
      <c r="Z49" s="458">
        <f t="shared" si="5"/>
        <v>0</v>
      </c>
    </row>
    <row r="50" spans="2:26" x14ac:dyDescent="0.2">
      <c r="B50" s="28" t="s">
        <v>74</v>
      </c>
      <c r="C50" s="28">
        <v>5</v>
      </c>
      <c r="D50" s="22"/>
      <c r="E50" s="22"/>
      <c r="F50" s="32"/>
      <c r="G50" s="32"/>
      <c r="H50" s="46"/>
      <c r="I50" s="46"/>
      <c r="J50" s="32"/>
      <c r="K50" s="32"/>
      <c r="L50" s="46"/>
      <c r="M50" s="46"/>
      <c r="N50" s="55"/>
      <c r="O50" s="28" t="s">
        <v>74</v>
      </c>
      <c r="P50" s="28">
        <v>5</v>
      </c>
      <c r="Q50" s="522">
        <v>322237.15209599998</v>
      </c>
      <c r="R50" s="522">
        <v>355162.92462100001</v>
      </c>
      <c r="S50" s="522">
        <v>0</v>
      </c>
      <c r="T50" s="522">
        <v>341.51834928259598</v>
      </c>
      <c r="U50" s="458">
        <f t="shared" si="2"/>
        <v>0</v>
      </c>
      <c r="V50" s="458">
        <f t="shared" si="3"/>
        <v>9.6158220807263486E-4</v>
      </c>
      <c r="W50" s="522">
        <v>0</v>
      </c>
      <c r="X50" s="522">
        <v>1596.7493320000001</v>
      </c>
      <c r="Y50" s="458">
        <f t="shared" si="4"/>
        <v>0</v>
      </c>
      <c r="Z50" s="458">
        <f t="shared" si="5"/>
        <v>4.4958221179868833E-3</v>
      </c>
    </row>
    <row r="51" spans="2:26" x14ac:dyDescent="0.2">
      <c r="B51" s="28" t="s">
        <v>74</v>
      </c>
      <c r="C51" s="28">
        <v>6</v>
      </c>
      <c r="D51" s="22"/>
      <c r="E51" s="22"/>
      <c r="F51" s="32"/>
      <c r="G51" s="32"/>
      <c r="H51" s="46"/>
      <c r="I51" s="46"/>
      <c r="J51" s="32"/>
      <c r="K51" s="32"/>
      <c r="L51" s="46"/>
      <c r="M51" s="46"/>
      <c r="N51" s="55"/>
      <c r="O51" s="28" t="s">
        <v>74</v>
      </c>
      <c r="P51" s="28">
        <v>6</v>
      </c>
      <c r="Q51" s="522">
        <v>195407.73805700001</v>
      </c>
      <c r="R51" s="522">
        <v>203290.90702899999</v>
      </c>
      <c r="S51" s="522">
        <v>336.72617270871098</v>
      </c>
      <c r="T51" s="522">
        <v>0</v>
      </c>
      <c r="U51" s="458">
        <f t="shared" si="2"/>
        <v>1.7231977405648526E-3</v>
      </c>
      <c r="V51" s="458">
        <f t="shared" si="3"/>
        <v>0</v>
      </c>
      <c r="W51" s="522">
        <v>1574.343787</v>
      </c>
      <c r="X51" s="522">
        <v>0</v>
      </c>
      <c r="Y51" s="458">
        <f t="shared" si="4"/>
        <v>8.0567115849873219E-3</v>
      </c>
      <c r="Z51" s="458">
        <f t="shared" si="5"/>
        <v>0</v>
      </c>
    </row>
    <row r="52" spans="2:26" x14ac:dyDescent="0.2">
      <c r="B52" s="28" t="s">
        <v>74</v>
      </c>
      <c r="C52" s="28">
        <v>7</v>
      </c>
      <c r="D52" s="22"/>
      <c r="E52" s="22"/>
      <c r="F52" s="32"/>
      <c r="G52" s="32"/>
      <c r="H52" s="46"/>
      <c r="I52" s="46"/>
      <c r="J52" s="32"/>
      <c r="K52" s="32"/>
      <c r="L52" s="46"/>
      <c r="M52" s="46"/>
      <c r="N52" s="55"/>
      <c r="O52" s="28" t="s">
        <v>74</v>
      </c>
      <c r="P52" s="28">
        <v>7</v>
      </c>
      <c r="Q52" s="522">
        <v>114344.121744</v>
      </c>
      <c r="R52" s="522">
        <v>146113.36629999999</v>
      </c>
      <c r="S52" s="522">
        <v>0</v>
      </c>
      <c r="T52" s="522">
        <v>0</v>
      </c>
      <c r="U52" s="458">
        <f t="shared" si="2"/>
        <v>0</v>
      </c>
      <c r="V52" s="458">
        <f t="shared" si="3"/>
        <v>0</v>
      </c>
      <c r="W52" s="522">
        <v>0</v>
      </c>
      <c r="X52" s="522">
        <v>0</v>
      </c>
      <c r="Y52" s="458">
        <f t="shared" si="4"/>
        <v>0</v>
      </c>
      <c r="Z52" s="458">
        <f t="shared" si="5"/>
        <v>0</v>
      </c>
    </row>
    <row r="53" spans="2:26" x14ac:dyDescent="0.2">
      <c r="B53" s="28" t="s">
        <v>74</v>
      </c>
      <c r="C53" s="28">
        <v>8</v>
      </c>
      <c r="D53" s="22"/>
      <c r="E53" s="22"/>
      <c r="F53" s="32"/>
      <c r="G53" s="32"/>
      <c r="H53" s="46"/>
      <c r="I53" s="46"/>
      <c r="J53" s="32"/>
      <c r="K53" s="32"/>
      <c r="L53" s="46"/>
      <c r="M53" s="46"/>
      <c r="N53" s="55"/>
      <c r="O53" s="28" t="s">
        <v>74</v>
      </c>
      <c r="P53" s="28">
        <v>8</v>
      </c>
      <c r="Q53" s="522">
        <v>46363.867332000002</v>
      </c>
      <c r="R53" s="522">
        <v>77008.212419999996</v>
      </c>
      <c r="S53" s="522">
        <v>0</v>
      </c>
      <c r="T53" s="522">
        <v>0</v>
      </c>
      <c r="U53" s="458">
        <f t="shared" si="2"/>
        <v>0</v>
      </c>
      <c r="V53" s="458">
        <f t="shared" si="3"/>
        <v>0</v>
      </c>
      <c r="W53" s="522">
        <v>0</v>
      </c>
      <c r="X53" s="522">
        <v>0</v>
      </c>
      <c r="Y53" s="458">
        <f t="shared" si="4"/>
        <v>0</v>
      </c>
      <c r="Z53" s="458">
        <f t="shared" si="5"/>
        <v>0</v>
      </c>
    </row>
    <row r="54" spans="2:26" x14ac:dyDescent="0.2">
      <c r="B54" s="28" t="s">
        <v>75</v>
      </c>
      <c r="C54" s="28">
        <v>1</v>
      </c>
      <c r="D54" s="22"/>
      <c r="E54" s="22"/>
      <c r="F54" s="32"/>
      <c r="G54" s="32"/>
      <c r="H54" s="46"/>
      <c r="I54" s="46"/>
      <c r="J54" s="32"/>
      <c r="K54" s="32"/>
      <c r="L54" s="46"/>
      <c r="M54" s="46"/>
      <c r="N54" s="55"/>
      <c r="O54" s="28" t="s">
        <v>75</v>
      </c>
      <c r="P54" s="28">
        <v>1</v>
      </c>
      <c r="Q54" s="522">
        <v>116162.957276</v>
      </c>
      <c r="R54" s="522">
        <v>120294.763938</v>
      </c>
      <c r="S54" s="522">
        <v>0</v>
      </c>
      <c r="T54" s="522">
        <v>0</v>
      </c>
      <c r="U54" s="458">
        <f t="shared" si="2"/>
        <v>0</v>
      </c>
      <c r="V54" s="458">
        <f t="shared" si="3"/>
        <v>0</v>
      </c>
      <c r="W54" s="522">
        <v>0</v>
      </c>
      <c r="X54" s="522">
        <v>0</v>
      </c>
      <c r="Y54" s="458">
        <f t="shared" si="4"/>
        <v>0</v>
      </c>
      <c r="Z54" s="458">
        <f t="shared" si="5"/>
        <v>0</v>
      </c>
    </row>
    <row r="55" spans="2:26" x14ac:dyDescent="0.2">
      <c r="B55" s="28" t="s">
        <v>75</v>
      </c>
      <c r="C55" s="28">
        <v>2</v>
      </c>
      <c r="D55" s="22"/>
      <c r="E55" s="22"/>
      <c r="F55" s="32"/>
      <c r="G55" s="32"/>
      <c r="H55" s="46"/>
      <c r="I55" s="46"/>
      <c r="J55" s="32"/>
      <c r="K55" s="32"/>
      <c r="L55" s="46"/>
      <c r="M55" s="46"/>
      <c r="N55" s="55"/>
      <c r="O55" s="28" t="s">
        <v>75</v>
      </c>
      <c r="P55" s="28">
        <v>2</v>
      </c>
      <c r="Q55" s="522">
        <v>310621.088108</v>
      </c>
      <c r="R55" s="522">
        <v>308156.63521400001</v>
      </c>
      <c r="S55" s="522">
        <v>0</v>
      </c>
      <c r="T55" s="522">
        <v>0</v>
      </c>
      <c r="U55" s="458">
        <f t="shared" si="2"/>
        <v>0</v>
      </c>
      <c r="V55" s="458">
        <f t="shared" si="3"/>
        <v>0</v>
      </c>
      <c r="W55" s="522">
        <v>0</v>
      </c>
      <c r="X55" s="522">
        <v>0</v>
      </c>
      <c r="Y55" s="458">
        <f t="shared" si="4"/>
        <v>0</v>
      </c>
      <c r="Z55" s="458">
        <f t="shared" si="5"/>
        <v>0</v>
      </c>
    </row>
    <row r="56" spans="2:26" x14ac:dyDescent="0.2">
      <c r="B56" s="28" t="s">
        <v>75</v>
      </c>
      <c r="C56" s="28">
        <v>3</v>
      </c>
      <c r="D56" s="22"/>
      <c r="E56" s="22"/>
      <c r="F56" s="32"/>
      <c r="G56" s="32"/>
      <c r="H56" s="46"/>
      <c r="I56" s="46"/>
      <c r="J56" s="32"/>
      <c r="K56" s="32"/>
      <c r="L56" s="46"/>
      <c r="M56" s="46"/>
      <c r="N56" s="55"/>
      <c r="O56" s="28" t="s">
        <v>75</v>
      </c>
      <c r="P56" s="28">
        <v>3</v>
      </c>
      <c r="Q56" s="522">
        <v>454594.77963499998</v>
      </c>
      <c r="R56" s="522">
        <v>417809.737547</v>
      </c>
      <c r="S56" s="522">
        <v>0</v>
      </c>
      <c r="T56" s="522">
        <v>45703.042833967498</v>
      </c>
      <c r="U56" s="458">
        <f t="shared" si="2"/>
        <v>0</v>
      </c>
      <c r="V56" s="458">
        <f t="shared" si="3"/>
        <v>0.1093872131901337</v>
      </c>
      <c r="W56" s="522">
        <v>0</v>
      </c>
      <c r="X56" s="522">
        <v>64300.866915999999</v>
      </c>
      <c r="Y56" s="458">
        <f t="shared" si="4"/>
        <v>0</v>
      </c>
      <c r="Z56" s="458">
        <f t="shared" si="5"/>
        <v>0.1538998762774568</v>
      </c>
    </row>
    <row r="57" spans="2:26" x14ac:dyDescent="0.2">
      <c r="B57" s="28" t="s">
        <v>75</v>
      </c>
      <c r="C57" s="28">
        <v>4</v>
      </c>
      <c r="D57" s="22"/>
      <c r="E57" s="22"/>
      <c r="F57" s="32"/>
      <c r="G57" s="32"/>
      <c r="H57" s="46"/>
      <c r="I57" s="46"/>
      <c r="J57" s="32"/>
      <c r="K57" s="32"/>
      <c r="L57" s="46"/>
      <c r="M57" s="46"/>
      <c r="N57" s="55"/>
      <c r="O57" s="28" t="s">
        <v>75</v>
      </c>
      <c r="P57" s="28">
        <v>4</v>
      </c>
      <c r="Q57" s="522">
        <v>348784.43214699998</v>
      </c>
      <c r="R57" s="522">
        <v>390301.24397200003</v>
      </c>
      <c r="S57" s="522">
        <v>0</v>
      </c>
      <c r="T57" s="522">
        <v>75282.050093405298</v>
      </c>
      <c r="U57" s="458">
        <f t="shared" si="2"/>
        <v>0</v>
      </c>
      <c r="V57" s="458">
        <f t="shared" si="3"/>
        <v>0.19288191174406297</v>
      </c>
      <c r="W57" s="522">
        <v>0</v>
      </c>
      <c r="X57" s="522">
        <v>112043.223713</v>
      </c>
      <c r="Y57" s="458">
        <f t="shared" si="4"/>
        <v>0</v>
      </c>
      <c r="Z57" s="458">
        <f t="shared" si="5"/>
        <v>0.28706857957398135</v>
      </c>
    </row>
    <row r="58" spans="2:26" x14ac:dyDescent="0.2">
      <c r="B58" s="28" t="s">
        <v>75</v>
      </c>
      <c r="C58" s="28">
        <v>5</v>
      </c>
      <c r="D58" s="22"/>
      <c r="E58" s="22"/>
      <c r="F58" s="32"/>
      <c r="G58" s="32"/>
      <c r="H58" s="46"/>
      <c r="I58" s="46"/>
      <c r="J58" s="32"/>
      <c r="K58" s="32"/>
      <c r="L58" s="46"/>
      <c r="M58" s="46"/>
      <c r="N58" s="55"/>
      <c r="O58" s="28" t="s">
        <v>75</v>
      </c>
      <c r="P58" s="28">
        <v>5</v>
      </c>
      <c r="Q58" s="522">
        <v>322237.15209599998</v>
      </c>
      <c r="R58" s="522">
        <v>355162.92462100001</v>
      </c>
      <c r="S58" s="522">
        <v>0</v>
      </c>
      <c r="T58" s="522">
        <v>12502.079541953301</v>
      </c>
      <c r="U58" s="458">
        <f t="shared" si="2"/>
        <v>0</v>
      </c>
      <c r="V58" s="458">
        <f t="shared" si="3"/>
        <v>3.5200970245682223E-2</v>
      </c>
      <c r="W58" s="522">
        <v>0</v>
      </c>
      <c r="X58" s="522">
        <v>17106.995175</v>
      </c>
      <c r="Y58" s="458">
        <f t="shared" si="4"/>
        <v>0</v>
      </c>
      <c r="Z58" s="458">
        <f t="shared" si="5"/>
        <v>4.8166613092442419E-2</v>
      </c>
    </row>
    <row r="59" spans="2:26" x14ac:dyDescent="0.2">
      <c r="B59" s="28" t="s">
        <v>75</v>
      </c>
      <c r="C59" s="28">
        <v>6</v>
      </c>
      <c r="D59" s="22"/>
      <c r="E59" s="22"/>
      <c r="F59" s="32"/>
      <c r="G59" s="32"/>
      <c r="H59" s="46"/>
      <c r="I59" s="46"/>
      <c r="J59" s="32"/>
      <c r="K59" s="32"/>
      <c r="L59" s="46"/>
      <c r="M59" s="46"/>
      <c r="N59" s="55"/>
      <c r="O59" s="28" t="s">
        <v>75</v>
      </c>
      <c r="P59" s="28">
        <v>6</v>
      </c>
      <c r="Q59" s="522">
        <v>195407.73805700001</v>
      </c>
      <c r="R59" s="522">
        <v>203290.90702899999</v>
      </c>
      <c r="S59" s="522">
        <v>6188.2134764638904</v>
      </c>
      <c r="T59" s="522">
        <v>0</v>
      </c>
      <c r="U59" s="458">
        <f t="shared" si="2"/>
        <v>3.1668210982815852E-2</v>
      </c>
      <c r="V59" s="458">
        <f t="shared" si="3"/>
        <v>0</v>
      </c>
      <c r="W59" s="522">
        <v>10802.673497</v>
      </c>
      <c r="X59" s="522">
        <v>0</v>
      </c>
      <c r="Y59" s="458">
        <f t="shared" si="4"/>
        <v>5.5282731402626871E-2</v>
      </c>
      <c r="Z59" s="458">
        <f t="shared" si="5"/>
        <v>0</v>
      </c>
    </row>
    <row r="60" spans="2:26" x14ac:dyDescent="0.2">
      <c r="B60" s="28" t="s">
        <v>75</v>
      </c>
      <c r="C60" s="28">
        <v>7</v>
      </c>
      <c r="D60" s="22"/>
      <c r="E60" s="22"/>
      <c r="F60" s="32"/>
      <c r="G60" s="32"/>
      <c r="H60" s="46"/>
      <c r="I60" s="46"/>
      <c r="J60" s="32"/>
      <c r="K60" s="32"/>
      <c r="L60" s="46"/>
      <c r="M60" s="46"/>
      <c r="N60" s="55"/>
      <c r="O60" s="28" t="s">
        <v>75</v>
      </c>
      <c r="P60" s="28">
        <v>7</v>
      </c>
      <c r="Q60" s="522">
        <v>114344.121744</v>
      </c>
      <c r="R60" s="522">
        <v>146113.36629999999</v>
      </c>
      <c r="S60" s="522">
        <v>2329.0461423156198</v>
      </c>
      <c r="T60" s="522">
        <v>0</v>
      </c>
      <c r="U60" s="458">
        <f t="shared" si="2"/>
        <v>2.0368743987819665E-2</v>
      </c>
      <c r="V60" s="458">
        <f t="shared" si="3"/>
        <v>0</v>
      </c>
      <c r="W60" s="522">
        <v>3360.8044049999999</v>
      </c>
      <c r="X60" s="522">
        <v>0</v>
      </c>
      <c r="Y60" s="458">
        <f t="shared" si="4"/>
        <v>2.9392017304784204E-2</v>
      </c>
      <c r="Z60" s="458">
        <f t="shared" si="5"/>
        <v>0</v>
      </c>
    </row>
    <row r="61" spans="2:26" x14ac:dyDescent="0.2">
      <c r="B61" s="28" t="s">
        <v>75</v>
      </c>
      <c r="C61" s="28">
        <v>8</v>
      </c>
      <c r="D61" s="22"/>
      <c r="E61" s="22"/>
      <c r="F61" s="32"/>
      <c r="G61" s="32"/>
      <c r="H61" s="46"/>
      <c r="I61" s="46"/>
      <c r="J61" s="32"/>
      <c r="K61" s="32"/>
      <c r="L61" s="46"/>
      <c r="M61" s="46"/>
      <c r="N61" s="55"/>
      <c r="O61" s="28" t="s">
        <v>75</v>
      </c>
      <c r="P61" s="28">
        <v>8</v>
      </c>
      <c r="Q61" s="522">
        <v>46363.867332000002</v>
      </c>
      <c r="R61" s="522">
        <v>77008.212419999996</v>
      </c>
      <c r="S61" s="522">
        <v>0</v>
      </c>
      <c r="T61" s="522">
        <v>0</v>
      </c>
      <c r="U61" s="458">
        <f t="shared" si="2"/>
        <v>0</v>
      </c>
      <c r="V61" s="458">
        <f t="shared" si="3"/>
        <v>0</v>
      </c>
      <c r="W61" s="522">
        <v>0</v>
      </c>
      <c r="X61" s="522">
        <v>0</v>
      </c>
      <c r="Y61" s="458">
        <f t="shared" si="4"/>
        <v>0</v>
      </c>
      <c r="Z61" s="458">
        <f t="shared" si="5"/>
        <v>0</v>
      </c>
    </row>
    <row r="62" spans="2:26" x14ac:dyDescent="0.2">
      <c r="B62" s="28" t="s">
        <v>76</v>
      </c>
      <c r="C62" s="28">
        <v>1</v>
      </c>
      <c r="D62" s="22"/>
      <c r="E62" s="22"/>
      <c r="F62" s="32"/>
      <c r="G62" s="32"/>
      <c r="H62" s="46"/>
      <c r="I62" s="46"/>
      <c r="J62" s="32"/>
      <c r="K62" s="32"/>
      <c r="L62" s="46"/>
      <c r="M62" s="46"/>
      <c r="N62" s="55"/>
      <c r="O62" s="28" t="s">
        <v>76</v>
      </c>
      <c r="P62" s="28">
        <v>1</v>
      </c>
      <c r="Q62" s="522">
        <v>116162.957276</v>
      </c>
      <c r="R62" s="522">
        <v>120294.763938</v>
      </c>
      <c r="S62" s="522">
        <v>0</v>
      </c>
      <c r="T62" s="522">
        <v>0</v>
      </c>
      <c r="U62" s="458">
        <f t="shared" si="2"/>
        <v>0</v>
      </c>
      <c r="V62" s="458">
        <f t="shared" si="3"/>
        <v>0</v>
      </c>
      <c r="W62" s="522">
        <v>0</v>
      </c>
      <c r="X62" s="522">
        <v>0</v>
      </c>
      <c r="Y62" s="458">
        <f t="shared" si="4"/>
        <v>0</v>
      </c>
      <c r="Z62" s="458">
        <f t="shared" si="5"/>
        <v>0</v>
      </c>
    </row>
    <row r="63" spans="2:26" x14ac:dyDescent="0.2">
      <c r="B63" s="28" t="s">
        <v>76</v>
      </c>
      <c r="C63" s="28">
        <v>2</v>
      </c>
      <c r="D63" s="22"/>
      <c r="E63" s="22"/>
      <c r="F63" s="32"/>
      <c r="G63" s="32"/>
      <c r="H63" s="46"/>
      <c r="I63" s="46"/>
      <c r="J63" s="32"/>
      <c r="K63" s="32"/>
      <c r="L63" s="46"/>
      <c r="M63" s="46"/>
      <c r="N63" s="55"/>
      <c r="O63" s="28" t="s">
        <v>76</v>
      </c>
      <c r="P63" s="28">
        <v>2</v>
      </c>
      <c r="Q63" s="522">
        <v>310621.088108</v>
      </c>
      <c r="R63" s="522">
        <v>308156.63521400001</v>
      </c>
      <c r="S63" s="522">
        <v>0</v>
      </c>
      <c r="T63" s="522">
        <v>0</v>
      </c>
      <c r="U63" s="458">
        <f t="shared" si="2"/>
        <v>0</v>
      </c>
      <c r="V63" s="458">
        <f t="shared" si="3"/>
        <v>0</v>
      </c>
      <c r="W63" s="522">
        <v>0</v>
      </c>
      <c r="X63" s="522">
        <v>0</v>
      </c>
      <c r="Y63" s="458">
        <f t="shared" si="4"/>
        <v>0</v>
      </c>
      <c r="Z63" s="458">
        <f t="shared" si="5"/>
        <v>0</v>
      </c>
    </row>
    <row r="64" spans="2:26" x14ac:dyDescent="0.2">
      <c r="B64" s="28" t="s">
        <v>76</v>
      </c>
      <c r="C64" s="28">
        <v>3</v>
      </c>
      <c r="D64" s="22"/>
      <c r="E64" s="22"/>
      <c r="F64" s="32"/>
      <c r="G64" s="32"/>
      <c r="H64" s="46"/>
      <c r="I64" s="46"/>
      <c r="J64" s="32"/>
      <c r="K64" s="32"/>
      <c r="L64" s="46"/>
      <c r="M64" s="46"/>
      <c r="N64" s="55"/>
      <c r="O64" s="28" t="s">
        <v>76</v>
      </c>
      <c r="P64" s="28">
        <v>3</v>
      </c>
      <c r="Q64" s="522">
        <v>454594.77963499998</v>
      </c>
      <c r="R64" s="522">
        <v>417809.737547</v>
      </c>
      <c r="S64" s="522">
        <v>0</v>
      </c>
      <c r="T64" s="522">
        <v>15444.0595943016</v>
      </c>
      <c r="U64" s="458">
        <f t="shared" si="2"/>
        <v>0</v>
      </c>
      <c r="V64" s="458">
        <f t="shared" si="3"/>
        <v>3.6964336171232189E-2</v>
      </c>
      <c r="W64" s="522">
        <v>0</v>
      </c>
      <c r="X64" s="522">
        <v>24589.559088999998</v>
      </c>
      <c r="Y64" s="458">
        <f t="shared" si="4"/>
        <v>0</v>
      </c>
      <c r="Z64" s="458">
        <f t="shared" si="5"/>
        <v>5.8853484922030769E-2</v>
      </c>
    </row>
    <row r="65" spans="2:26" x14ac:dyDescent="0.2">
      <c r="B65" s="28" t="s">
        <v>76</v>
      </c>
      <c r="C65" s="28">
        <v>4</v>
      </c>
      <c r="D65" s="22"/>
      <c r="E65" s="22"/>
      <c r="F65" s="32"/>
      <c r="G65" s="32"/>
      <c r="H65" s="46"/>
      <c r="I65" s="46"/>
      <c r="J65" s="32"/>
      <c r="K65" s="32"/>
      <c r="L65" s="46"/>
      <c r="M65" s="46"/>
      <c r="N65" s="55"/>
      <c r="O65" s="28" t="s">
        <v>76</v>
      </c>
      <c r="P65" s="28">
        <v>4</v>
      </c>
      <c r="Q65" s="522">
        <v>348784.43214699998</v>
      </c>
      <c r="R65" s="522">
        <v>390301.24397200003</v>
      </c>
      <c r="S65" s="522">
        <v>0</v>
      </c>
      <c r="T65" s="522">
        <v>1692.8542848054699</v>
      </c>
      <c r="U65" s="458">
        <f t="shared" si="2"/>
        <v>0</v>
      </c>
      <c r="V65" s="458">
        <f t="shared" si="3"/>
        <v>4.3373017917588659E-3</v>
      </c>
      <c r="W65" s="522">
        <v>0</v>
      </c>
      <c r="X65" s="522">
        <v>50021.515811999998</v>
      </c>
      <c r="Y65" s="458">
        <f t="shared" si="4"/>
        <v>0</v>
      </c>
      <c r="Z65" s="458">
        <f t="shared" si="5"/>
        <v>0.12816130254401267</v>
      </c>
    </row>
    <row r="66" spans="2:26" x14ac:dyDescent="0.2">
      <c r="B66" s="28" t="s">
        <v>76</v>
      </c>
      <c r="C66" s="28">
        <v>5</v>
      </c>
      <c r="D66" s="22"/>
      <c r="E66" s="22"/>
      <c r="F66" s="32"/>
      <c r="G66" s="32"/>
      <c r="H66" s="46"/>
      <c r="I66" s="46"/>
      <c r="J66" s="32"/>
      <c r="K66" s="32"/>
      <c r="L66" s="46"/>
      <c r="M66" s="46"/>
      <c r="N66" s="55"/>
      <c r="O66" s="28" t="s">
        <v>76</v>
      </c>
      <c r="P66" s="28">
        <v>5</v>
      </c>
      <c r="Q66" s="522">
        <v>322237.15209599998</v>
      </c>
      <c r="R66" s="522">
        <v>355162.92462100001</v>
      </c>
      <c r="S66" s="522">
        <v>107.35725377191601</v>
      </c>
      <c r="T66" s="522">
        <v>3825.4590865892001</v>
      </c>
      <c r="U66" s="458">
        <f t="shared" si="2"/>
        <v>3.3316224734984142E-4</v>
      </c>
      <c r="V66" s="458">
        <f t="shared" si="3"/>
        <v>1.0770997819300559E-2</v>
      </c>
      <c r="W66" s="522">
        <v>942.33036500000003</v>
      </c>
      <c r="X66" s="522">
        <v>21718.720587</v>
      </c>
      <c r="Y66" s="458">
        <f t="shared" si="4"/>
        <v>2.9243380500062997E-3</v>
      </c>
      <c r="Z66" s="458">
        <f t="shared" si="5"/>
        <v>6.1151429615510657E-2</v>
      </c>
    </row>
    <row r="67" spans="2:26" x14ac:dyDescent="0.2">
      <c r="B67" s="28" t="s">
        <v>76</v>
      </c>
      <c r="C67" s="28">
        <v>6</v>
      </c>
      <c r="D67" s="22"/>
      <c r="E67" s="22"/>
      <c r="F67" s="32"/>
      <c r="G67" s="32"/>
      <c r="H67" s="46"/>
      <c r="I67" s="46"/>
      <c r="J67" s="32"/>
      <c r="K67" s="32"/>
      <c r="L67" s="46"/>
      <c r="M67" s="46"/>
      <c r="N67" s="55"/>
      <c r="O67" s="28" t="s">
        <v>76</v>
      </c>
      <c r="P67" s="28">
        <v>6</v>
      </c>
      <c r="Q67" s="522">
        <v>195407.73805700001</v>
      </c>
      <c r="R67" s="522">
        <v>203290.90702899999</v>
      </c>
      <c r="S67" s="522">
        <v>107.076348146821</v>
      </c>
      <c r="T67" s="522">
        <v>1287.0239159311</v>
      </c>
      <c r="U67" s="458">
        <f t="shared" si="2"/>
        <v>5.4796370507900294E-4</v>
      </c>
      <c r="V67" s="458">
        <f t="shared" si="3"/>
        <v>6.3309467931465455E-3</v>
      </c>
      <c r="W67" s="522">
        <v>2162.733455</v>
      </c>
      <c r="X67" s="522">
        <v>39850.379886000002</v>
      </c>
      <c r="Y67" s="458">
        <f t="shared" si="4"/>
        <v>1.1067798422440853E-2</v>
      </c>
      <c r="Z67" s="458">
        <f t="shared" si="5"/>
        <v>0.19602637652807187</v>
      </c>
    </row>
    <row r="68" spans="2:26" x14ac:dyDescent="0.2">
      <c r="B68" s="28" t="s">
        <v>76</v>
      </c>
      <c r="C68" s="28">
        <v>7</v>
      </c>
      <c r="D68" s="22"/>
      <c r="E68" s="22"/>
      <c r="F68" s="32"/>
      <c r="G68" s="32"/>
      <c r="H68" s="46"/>
      <c r="I68" s="46"/>
      <c r="J68" s="32"/>
      <c r="K68" s="32"/>
      <c r="L68" s="46"/>
      <c r="M68" s="46"/>
      <c r="N68" s="55"/>
      <c r="O68" s="28" t="s">
        <v>76</v>
      </c>
      <c r="P68" s="28">
        <v>7</v>
      </c>
      <c r="Q68" s="522">
        <v>114344.121744</v>
      </c>
      <c r="R68" s="522">
        <v>146113.36629999999</v>
      </c>
      <c r="S68" s="522">
        <v>0</v>
      </c>
      <c r="T68" s="522">
        <v>0</v>
      </c>
      <c r="U68" s="458">
        <f t="shared" si="2"/>
        <v>0</v>
      </c>
      <c r="V68" s="458">
        <f t="shared" si="3"/>
        <v>0</v>
      </c>
      <c r="W68" s="522">
        <v>0</v>
      </c>
      <c r="X68" s="522">
        <v>0</v>
      </c>
      <c r="Y68" s="458">
        <f t="shared" si="4"/>
        <v>0</v>
      </c>
      <c r="Z68" s="458">
        <f t="shared" si="5"/>
        <v>0</v>
      </c>
    </row>
    <row r="69" spans="2:26" x14ac:dyDescent="0.2">
      <c r="B69" s="28" t="s">
        <v>76</v>
      </c>
      <c r="C69" s="28">
        <v>8</v>
      </c>
      <c r="D69" s="22"/>
      <c r="E69" s="22"/>
      <c r="F69" s="32"/>
      <c r="G69" s="32"/>
      <c r="H69" s="46"/>
      <c r="I69" s="46"/>
      <c r="J69" s="32"/>
      <c r="K69" s="32"/>
      <c r="L69" s="46"/>
      <c r="M69" s="46"/>
      <c r="N69" s="55"/>
      <c r="O69" s="28" t="s">
        <v>76</v>
      </c>
      <c r="P69" s="28">
        <v>8</v>
      </c>
      <c r="Q69" s="522">
        <v>46363.867332000002</v>
      </c>
      <c r="R69" s="522">
        <v>77008.212419999996</v>
      </c>
      <c r="S69" s="522">
        <v>0</v>
      </c>
      <c r="T69" s="522">
        <v>0</v>
      </c>
      <c r="U69" s="458">
        <f t="shared" si="2"/>
        <v>0</v>
      </c>
      <c r="V69" s="458">
        <f t="shared" si="3"/>
        <v>0</v>
      </c>
      <c r="W69" s="522">
        <v>0</v>
      </c>
      <c r="X69" s="522">
        <v>0</v>
      </c>
      <c r="Y69" s="458">
        <f t="shared" si="4"/>
        <v>0</v>
      </c>
      <c r="Z69" s="458">
        <f t="shared" si="5"/>
        <v>0</v>
      </c>
    </row>
    <row r="70" spans="2:26" x14ac:dyDescent="0.2">
      <c r="B70" s="28" t="s">
        <v>77</v>
      </c>
      <c r="C70" s="28">
        <v>1</v>
      </c>
      <c r="D70" s="22"/>
      <c r="E70" s="22"/>
      <c r="F70" s="32"/>
      <c r="G70" s="32"/>
      <c r="H70" s="46"/>
      <c r="I70" s="46"/>
      <c r="J70" s="32"/>
      <c r="K70" s="32"/>
      <c r="L70" s="46"/>
      <c r="M70" s="46"/>
      <c r="N70" s="55"/>
      <c r="O70" s="28" t="s">
        <v>77</v>
      </c>
      <c r="P70" s="28">
        <v>1</v>
      </c>
      <c r="Q70" s="522">
        <v>116162.957276</v>
      </c>
      <c r="R70" s="522">
        <v>120294.763938</v>
      </c>
      <c r="S70" s="522">
        <v>906.93071480045205</v>
      </c>
      <c r="T70" s="522">
        <v>1519.7955629579101</v>
      </c>
      <c r="U70" s="458">
        <f t="shared" si="2"/>
        <v>7.8074003629712138E-3</v>
      </c>
      <c r="V70" s="458">
        <f t="shared" si="3"/>
        <v>1.2633929467962659E-2</v>
      </c>
      <c r="W70" s="522">
        <v>16900.705239999999</v>
      </c>
      <c r="X70" s="522">
        <v>33283.732094999999</v>
      </c>
      <c r="Y70" s="458">
        <f t="shared" si="4"/>
        <v>0.14549134798492075</v>
      </c>
      <c r="Z70" s="458">
        <f t="shared" si="5"/>
        <v>0.27668479496043946</v>
      </c>
    </row>
    <row r="71" spans="2:26" x14ac:dyDescent="0.2">
      <c r="B71" s="28" t="s">
        <v>77</v>
      </c>
      <c r="C71" s="28">
        <v>2</v>
      </c>
      <c r="D71" s="22"/>
      <c r="E71" s="22"/>
      <c r="F71" s="32"/>
      <c r="G71" s="32"/>
      <c r="H71" s="46"/>
      <c r="I71" s="46"/>
      <c r="J71" s="32"/>
      <c r="K71" s="32"/>
      <c r="L71" s="46"/>
      <c r="M71" s="46"/>
      <c r="N71" s="55"/>
      <c r="O71" s="28" t="s">
        <v>77</v>
      </c>
      <c r="P71" s="28">
        <v>2</v>
      </c>
      <c r="Q71" s="522">
        <v>310621.088108</v>
      </c>
      <c r="R71" s="522">
        <v>308156.63521400001</v>
      </c>
      <c r="S71" s="522">
        <v>544.10817810355002</v>
      </c>
      <c r="T71" s="522">
        <v>1840.88374864141</v>
      </c>
      <c r="U71" s="458">
        <f t="shared" ref="U71:U93" si="8">S71/Q71</f>
        <v>1.7516781665331388E-3</v>
      </c>
      <c r="V71" s="458">
        <f t="shared" ref="V71:V93" si="9">T71/R71</f>
        <v>5.9738572475098728E-3</v>
      </c>
      <c r="W71" s="522">
        <v>17353.9853</v>
      </c>
      <c r="X71" s="522">
        <v>50473.790906000002</v>
      </c>
      <c r="Y71" s="458">
        <f t="shared" ref="Y71:Y92" si="10">W71/Q71</f>
        <v>5.586866431285626E-2</v>
      </c>
      <c r="Z71" s="458">
        <f t="shared" ref="Z71:Z92" si="11">X71/R71</f>
        <v>0.16379264678480271</v>
      </c>
    </row>
    <row r="72" spans="2:26" x14ac:dyDescent="0.2">
      <c r="B72" s="28" t="s">
        <v>77</v>
      </c>
      <c r="C72" s="28">
        <v>3</v>
      </c>
      <c r="D72" s="22"/>
      <c r="E72" s="22"/>
      <c r="F72" s="32"/>
      <c r="G72" s="32"/>
      <c r="H72" s="46"/>
      <c r="I72" s="46"/>
      <c r="J72" s="32"/>
      <c r="K72" s="32"/>
      <c r="L72" s="46"/>
      <c r="M72" s="46"/>
      <c r="N72" s="55"/>
      <c r="O72" s="28" t="s">
        <v>77</v>
      </c>
      <c r="P72" s="28">
        <v>3</v>
      </c>
      <c r="Q72" s="522">
        <v>454594.77963499998</v>
      </c>
      <c r="R72" s="522">
        <v>417809.737547</v>
      </c>
      <c r="S72" s="522">
        <v>1010.44844267359</v>
      </c>
      <c r="T72" s="522">
        <v>849.99046676723594</v>
      </c>
      <c r="U72" s="458">
        <f t="shared" si="8"/>
        <v>2.2227453722299495E-3</v>
      </c>
      <c r="V72" s="458">
        <f t="shared" si="9"/>
        <v>2.0343960190052279E-3</v>
      </c>
      <c r="W72" s="522">
        <v>13161.922345000001</v>
      </c>
      <c r="X72" s="522">
        <v>8302.5502799999995</v>
      </c>
      <c r="Y72" s="458">
        <f t="shared" si="10"/>
        <v>2.8953087309026907E-2</v>
      </c>
      <c r="Z72" s="458">
        <f t="shared" si="11"/>
        <v>1.9871605503368705E-2</v>
      </c>
    </row>
    <row r="73" spans="2:26" x14ac:dyDescent="0.2">
      <c r="B73" s="28" t="s">
        <v>77</v>
      </c>
      <c r="C73" s="28">
        <v>4</v>
      </c>
      <c r="D73" s="22"/>
      <c r="E73" s="22"/>
      <c r="F73" s="32"/>
      <c r="G73" s="32"/>
      <c r="H73" s="46"/>
      <c r="I73" s="46"/>
      <c r="J73" s="32"/>
      <c r="K73" s="32"/>
      <c r="L73" s="46"/>
      <c r="M73" s="46"/>
      <c r="N73" s="55"/>
      <c r="O73" s="28" t="s">
        <v>77</v>
      </c>
      <c r="P73" s="28">
        <v>4</v>
      </c>
      <c r="Q73" s="522">
        <v>348784.43214699998</v>
      </c>
      <c r="R73" s="522">
        <v>390301.24397200003</v>
      </c>
      <c r="S73" s="522">
        <v>0</v>
      </c>
      <c r="T73" s="522">
        <v>176.95996913243999</v>
      </c>
      <c r="U73" s="458">
        <f t="shared" si="8"/>
        <v>0</v>
      </c>
      <c r="V73" s="458">
        <f t="shared" si="9"/>
        <v>4.5339330034299094E-4</v>
      </c>
      <c r="W73" s="522">
        <v>0</v>
      </c>
      <c r="X73" s="522">
        <v>6854.1315800000002</v>
      </c>
      <c r="Y73" s="458">
        <f t="shared" si="10"/>
        <v>0</v>
      </c>
      <c r="Z73" s="458">
        <f t="shared" si="11"/>
        <v>1.7561131781818538E-2</v>
      </c>
    </row>
    <row r="74" spans="2:26" x14ac:dyDescent="0.2">
      <c r="B74" s="28" t="s">
        <v>77</v>
      </c>
      <c r="C74" s="28">
        <v>5</v>
      </c>
      <c r="D74" s="22"/>
      <c r="E74" s="22"/>
      <c r="F74" s="32"/>
      <c r="G74" s="32"/>
      <c r="H74" s="46"/>
      <c r="I74" s="46"/>
      <c r="J74" s="32"/>
      <c r="K74" s="32"/>
      <c r="L74" s="46"/>
      <c r="M74" s="46"/>
      <c r="N74" s="55"/>
      <c r="O74" s="28" t="s">
        <v>77</v>
      </c>
      <c r="P74" s="28">
        <v>5</v>
      </c>
      <c r="Q74" s="522">
        <v>322237.15209599998</v>
      </c>
      <c r="R74" s="522">
        <v>355162.92462100001</v>
      </c>
      <c r="S74" s="522">
        <v>9302.4218271037898</v>
      </c>
      <c r="T74" s="522">
        <v>497.82717834240901</v>
      </c>
      <c r="U74" s="458">
        <f t="shared" si="8"/>
        <v>2.8868247396664052E-2</v>
      </c>
      <c r="V74" s="458">
        <f t="shared" si="9"/>
        <v>1.4016867860676852E-3</v>
      </c>
      <c r="W74" s="522">
        <v>27384.737711999998</v>
      </c>
      <c r="X74" s="522">
        <v>15527.072190999999</v>
      </c>
      <c r="Y74" s="458">
        <f t="shared" si="10"/>
        <v>8.4983179418869792E-2</v>
      </c>
      <c r="Z74" s="458">
        <f t="shared" si="11"/>
        <v>4.3718167394778566E-2</v>
      </c>
    </row>
    <row r="75" spans="2:26" x14ac:dyDescent="0.2">
      <c r="B75" s="28" t="s">
        <v>77</v>
      </c>
      <c r="C75" s="28">
        <v>6</v>
      </c>
      <c r="D75" s="22"/>
      <c r="E75" s="22"/>
      <c r="F75" s="32"/>
      <c r="G75" s="32"/>
      <c r="H75" s="46"/>
      <c r="I75" s="46"/>
      <c r="J75" s="32"/>
      <c r="K75" s="32"/>
      <c r="L75" s="46"/>
      <c r="M75" s="46"/>
      <c r="N75" s="55"/>
      <c r="O75" s="28" t="s">
        <v>77</v>
      </c>
      <c r="P75" s="28">
        <v>6</v>
      </c>
      <c r="Q75" s="522">
        <v>195407.73805700001</v>
      </c>
      <c r="R75" s="522">
        <v>203290.90702899999</v>
      </c>
      <c r="S75" s="522">
        <v>1136.5707814797699</v>
      </c>
      <c r="T75" s="522">
        <v>106.58358290483299</v>
      </c>
      <c r="U75" s="458">
        <f t="shared" si="8"/>
        <v>5.8164062118575607E-3</v>
      </c>
      <c r="V75" s="458">
        <f t="shared" si="9"/>
        <v>5.2429095065048114E-4</v>
      </c>
      <c r="W75" s="522">
        <v>29734.844880000001</v>
      </c>
      <c r="X75" s="522">
        <v>13113.68022</v>
      </c>
      <c r="Y75" s="458">
        <f t="shared" si="10"/>
        <v>0.1521682056998501</v>
      </c>
      <c r="Z75" s="458">
        <f t="shared" si="11"/>
        <v>6.4506968912924859E-2</v>
      </c>
    </row>
    <row r="76" spans="2:26" x14ac:dyDescent="0.2">
      <c r="B76" s="28" t="s">
        <v>77</v>
      </c>
      <c r="C76" s="28">
        <v>7</v>
      </c>
      <c r="D76" s="22"/>
      <c r="E76" s="22"/>
      <c r="F76" s="32"/>
      <c r="G76" s="32"/>
      <c r="H76" s="46"/>
      <c r="I76" s="46"/>
      <c r="J76" s="32"/>
      <c r="K76" s="32"/>
      <c r="L76" s="46"/>
      <c r="M76" s="46"/>
      <c r="N76" s="55"/>
      <c r="O76" s="28" t="s">
        <v>77</v>
      </c>
      <c r="P76" s="28">
        <v>7</v>
      </c>
      <c r="Q76" s="522">
        <v>114344.121744</v>
      </c>
      <c r="R76" s="522">
        <v>146113.36629999999</v>
      </c>
      <c r="S76" s="522">
        <v>1184.43782725595</v>
      </c>
      <c r="T76" s="522">
        <v>108.540081050517</v>
      </c>
      <c r="U76" s="458">
        <f t="shared" si="8"/>
        <v>1.0358537100033314E-2</v>
      </c>
      <c r="V76" s="458">
        <f t="shared" si="9"/>
        <v>7.4284840462618927E-4</v>
      </c>
      <c r="W76" s="522">
        <v>18139.716199999999</v>
      </c>
      <c r="X76" s="522">
        <v>2033.271782</v>
      </c>
      <c r="Y76" s="458">
        <f t="shared" si="10"/>
        <v>0.1586414406209023</v>
      </c>
      <c r="Z76" s="458">
        <f t="shared" si="11"/>
        <v>1.3915713760404959E-2</v>
      </c>
    </row>
    <row r="77" spans="2:26" x14ac:dyDescent="0.2">
      <c r="B77" s="28" t="s">
        <v>77</v>
      </c>
      <c r="C77" s="28">
        <v>8</v>
      </c>
      <c r="D77" s="22"/>
      <c r="E77" s="22"/>
      <c r="F77" s="32"/>
      <c r="G77" s="32"/>
      <c r="H77" s="46"/>
      <c r="I77" s="46"/>
      <c r="J77" s="32"/>
      <c r="K77" s="32"/>
      <c r="L77" s="46"/>
      <c r="M77" s="46"/>
      <c r="N77" s="55"/>
      <c r="O77" s="28" t="s">
        <v>77</v>
      </c>
      <c r="P77" s="28">
        <v>8</v>
      </c>
      <c r="Q77" s="522">
        <v>46363.867332000002</v>
      </c>
      <c r="R77" s="522">
        <v>77008.212419999996</v>
      </c>
      <c r="S77" s="522">
        <v>0</v>
      </c>
      <c r="T77" s="522">
        <v>0</v>
      </c>
      <c r="U77" s="458">
        <f t="shared" si="8"/>
        <v>0</v>
      </c>
      <c r="V77" s="458">
        <f t="shared" si="9"/>
        <v>0</v>
      </c>
      <c r="W77" s="522">
        <v>0</v>
      </c>
      <c r="X77" s="522">
        <v>0</v>
      </c>
      <c r="Y77" s="458">
        <f t="shared" si="10"/>
        <v>0</v>
      </c>
      <c r="Z77" s="458">
        <f t="shared" si="11"/>
        <v>0</v>
      </c>
    </row>
    <row r="78" spans="2:26" x14ac:dyDescent="0.2">
      <c r="B78" s="28" t="s">
        <v>78</v>
      </c>
      <c r="C78" s="28">
        <v>1</v>
      </c>
      <c r="D78" s="22"/>
      <c r="E78" s="22"/>
      <c r="F78" s="32"/>
      <c r="G78" s="32"/>
      <c r="H78" s="46"/>
      <c r="I78" s="46"/>
      <c r="J78" s="32"/>
      <c r="K78" s="32"/>
      <c r="L78" s="46"/>
      <c r="M78" s="46"/>
      <c r="N78" s="55"/>
      <c r="O78" s="28" t="s">
        <v>78</v>
      </c>
      <c r="P78" s="28">
        <v>1</v>
      </c>
      <c r="Q78" s="522">
        <v>116162.957276</v>
      </c>
      <c r="R78" s="522">
        <v>120294.763938</v>
      </c>
      <c r="S78" s="522">
        <v>0</v>
      </c>
      <c r="T78" s="522">
        <v>939.54044385871998</v>
      </c>
      <c r="U78" s="458">
        <f t="shared" si="8"/>
        <v>0</v>
      </c>
      <c r="V78" s="458">
        <f t="shared" si="9"/>
        <v>7.8103186963562245E-3</v>
      </c>
      <c r="W78" s="522">
        <v>0</v>
      </c>
      <c r="X78" s="522">
        <v>11647.075263999999</v>
      </c>
      <c r="Y78" s="458">
        <f t="shared" si="10"/>
        <v>0</v>
      </c>
      <c r="Z78" s="458">
        <f t="shared" si="11"/>
        <v>9.6821132381147604E-2</v>
      </c>
    </row>
    <row r="79" spans="2:26" x14ac:dyDescent="0.2">
      <c r="B79" s="28" t="s">
        <v>78</v>
      </c>
      <c r="C79" s="28">
        <v>2</v>
      </c>
      <c r="D79" s="22"/>
      <c r="E79" s="22"/>
      <c r="F79" s="32"/>
      <c r="G79" s="32"/>
      <c r="H79" s="46"/>
      <c r="I79" s="46"/>
      <c r="J79" s="32"/>
      <c r="K79" s="32"/>
      <c r="L79" s="46"/>
      <c r="M79" s="46"/>
      <c r="N79" s="55"/>
      <c r="O79" s="28" t="s">
        <v>78</v>
      </c>
      <c r="P79" s="28">
        <v>2</v>
      </c>
      <c r="Q79" s="522">
        <v>310621.088108</v>
      </c>
      <c r="R79" s="522">
        <v>308156.63521400001</v>
      </c>
      <c r="S79" s="522">
        <v>2080.4546941435101</v>
      </c>
      <c r="T79" s="522">
        <v>51744.121788385601</v>
      </c>
      <c r="U79" s="458">
        <f t="shared" si="8"/>
        <v>6.6977252150380593E-3</v>
      </c>
      <c r="V79" s="458">
        <f t="shared" si="9"/>
        <v>0.16791500125399469</v>
      </c>
      <c r="W79" s="522">
        <v>86260.904844999997</v>
      </c>
      <c r="X79" s="522">
        <v>66003.170723999996</v>
      </c>
      <c r="Y79" s="458">
        <f t="shared" si="10"/>
        <v>0.27770459942181358</v>
      </c>
      <c r="Z79" s="458">
        <f t="shared" si="11"/>
        <v>0.21418708274174905</v>
      </c>
    </row>
    <row r="80" spans="2:26" x14ac:dyDescent="0.2">
      <c r="B80" s="28" t="s">
        <v>78</v>
      </c>
      <c r="C80" s="28">
        <v>3</v>
      </c>
      <c r="D80" s="22"/>
      <c r="E80" s="22"/>
      <c r="F80" s="32"/>
      <c r="G80" s="32"/>
      <c r="H80" s="46"/>
      <c r="I80" s="46"/>
      <c r="J80" s="32"/>
      <c r="K80" s="32"/>
      <c r="L80" s="46"/>
      <c r="M80" s="46"/>
      <c r="N80" s="55"/>
      <c r="O80" s="28" t="s">
        <v>78</v>
      </c>
      <c r="P80" s="28">
        <v>3</v>
      </c>
      <c r="Q80" s="522">
        <v>454594.77963499998</v>
      </c>
      <c r="R80" s="522">
        <v>417809.737547</v>
      </c>
      <c r="S80" s="522">
        <v>144479.04156113201</v>
      </c>
      <c r="T80" s="522">
        <v>662955.44327336899</v>
      </c>
      <c r="U80" s="458">
        <f t="shared" si="8"/>
        <v>0.31781940319934182</v>
      </c>
      <c r="V80" s="458">
        <f t="shared" si="9"/>
        <v>1.5867400486298915</v>
      </c>
      <c r="W80" s="522">
        <v>414904.10856999998</v>
      </c>
      <c r="X80" s="522">
        <v>394289.99100799998</v>
      </c>
      <c r="Y80" s="458">
        <f t="shared" si="10"/>
        <v>0.91268999811905416</v>
      </c>
      <c r="Z80" s="458">
        <f t="shared" si="11"/>
        <v>0.9437070407284267</v>
      </c>
    </row>
    <row r="81" spans="2:26" x14ac:dyDescent="0.2">
      <c r="B81" s="28" t="s">
        <v>78</v>
      </c>
      <c r="C81" s="28">
        <v>4</v>
      </c>
      <c r="D81" s="22"/>
      <c r="E81" s="22"/>
      <c r="F81" s="32"/>
      <c r="G81" s="32"/>
      <c r="H81" s="46"/>
      <c r="I81" s="46"/>
      <c r="J81" s="32"/>
      <c r="K81" s="32"/>
      <c r="L81" s="46"/>
      <c r="M81" s="46"/>
      <c r="N81" s="55"/>
      <c r="O81" s="28" t="s">
        <v>78</v>
      </c>
      <c r="P81" s="28">
        <v>4</v>
      </c>
      <c r="Q81" s="522">
        <v>348784.43214699998</v>
      </c>
      <c r="R81" s="522">
        <v>390301.24397200003</v>
      </c>
      <c r="S81" s="522">
        <v>1899015.93376682</v>
      </c>
      <c r="T81" s="522">
        <v>55532.626126493502</v>
      </c>
      <c r="U81" s="458">
        <f t="shared" si="8"/>
        <v>5.4446694254015719</v>
      </c>
      <c r="V81" s="458">
        <f t="shared" si="9"/>
        <v>0.14228144794352071</v>
      </c>
      <c r="W81" s="522">
        <v>1039899.476047</v>
      </c>
      <c r="X81" s="522">
        <v>133556.70430799999</v>
      </c>
      <c r="Y81" s="458">
        <f t="shared" si="10"/>
        <v>2.9814962486878431</v>
      </c>
      <c r="Z81" s="458">
        <f t="shared" si="11"/>
        <v>0.34218877436522149</v>
      </c>
    </row>
    <row r="82" spans="2:26" x14ac:dyDescent="0.2">
      <c r="B82" s="28" t="s">
        <v>78</v>
      </c>
      <c r="C82" s="28">
        <v>5</v>
      </c>
      <c r="D82" s="22"/>
      <c r="E82" s="22"/>
      <c r="F82" s="32"/>
      <c r="G82" s="32"/>
      <c r="H82" s="46"/>
      <c r="I82" s="46"/>
      <c r="J82" s="32"/>
      <c r="K82" s="32"/>
      <c r="L82" s="46"/>
      <c r="M82" s="46"/>
      <c r="N82" s="55"/>
      <c r="O82" s="28" t="s">
        <v>78</v>
      </c>
      <c r="P82" s="28">
        <v>5</v>
      </c>
      <c r="Q82" s="522">
        <v>322237.15209599998</v>
      </c>
      <c r="R82" s="522">
        <v>355162.92462100001</v>
      </c>
      <c r="S82" s="522">
        <v>321562.351524622</v>
      </c>
      <c r="T82" s="522">
        <v>1269087.0099050801</v>
      </c>
      <c r="U82" s="458">
        <f t="shared" si="8"/>
        <v>0.99790588835896565</v>
      </c>
      <c r="V82" s="458">
        <f t="shared" si="9"/>
        <v>3.5732530676149348</v>
      </c>
      <c r="W82" s="522">
        <v>401128.34218400001</v>
      </c>
      <c r="X82" s="522">
        <v>538564.96378300001</v>
      </c>
      <c r="Y82" s="458">
        <f t="shared" si="10"/>
        <v>1.24482338419034</v>
      </c>
      <c r="Z82" s="458">
        <f t="shared" si="11"/>
        <v>1.5163884697641548</v>
      </c>
    </row>
    <row r="83" spans="2:26" x14ac:dyDescent="0.2">
      <c r="B83" s="28" t="s">
        <v>78</v>
      </c>
      <c r="C83" s="28">
        <v>6</v>
      </c>
      <c r="D83" s="22"/>
      <c r="E83" s="22"/>
      <c r="F83" s="32"/>
      <c r="G83" s="32"/>
      <c r="H83" s="46"/>
      <c r="I83" s="46"/>
      <c r="J83" s="32"/>
      <c r="K83" s="32"/>
      <c r="L83" s="46"/>
      <c r="M83" s="46"/>
      <c r="N83" s="55"/>
      <c r="O83" s="28" t="s">
        <v>78</v>
      </c>
      <c r="P83" s="28">
        <v>6</v>
      </c>
      <c r="Q83" s="522">
        <v>195407.73805700001</v>
      </c>
      <c r="R83" s="522">
        <v>203290.90702899999</v>
      </c>
      <c r="S83" s="522">
        <v>1092446.34593075</v>
      </c>
      <c r="T83" s="522">
        <v>610358.09450456803</v>
      </c>
      <c r="U83" s="458">
        <f t="shared" si="8"/>
        <v>5.5905992095977579</v>
      </c>
      <c r="V83" s="458">
        <f t="shared" si="9"/>
        <v>3.0023875805596107</v>
      </c>
      <c r="W83" s="522">
        <v>459450.29356299998</v>
      </c>
      <c r="X83" s="522">
        <v>217675.27174600001</v>
      </c>
      <c r="Y83" s="458">
        <f t="shared" si="10"/>
        <v>2.3512389945836194</v>
      </c>
      <c r="Z83" s="458">
        <f t="shared" si="11"/>
        <v>1.070757541137578</v>
      </c>
    </row>
    <row r="84" spans="2:26" x14ac:dyDescent="0.2">
      <c r="B84" s="28" t="s">
        <v>78</v>
      </c>
      <c r="C84" s="28">
        <v>7</v>
      </c>
      <c r="D84" s="22"/>
      <c r="E84" s="22"/>
      <c r="F84" s="32"/>
      <c r="G84" s="32"/>
      <c r="H84" s="46"/>
      <c r="I84" s="46"/>
      <c r="J84" s="32"/>
      <c r="K84" s="32"/>
      <c r="L84" s="46"/>
      <c r="M84" s="46"/>
      <c r="N84" s="55"/>
      <c r="O84" s="28" t="s">
        <v>78</v>
      </c>
      <c r="P84" s="28">
        <v>7</v>
      </c>
      <c r="Q84" s="522">
        <v>114344.121744</v>
      </c>
      <c r="R84" s="522">
        <v>146113.36629999999</v>
      </c>
      <c r="S84" s="522">
        <v>64727.497960401</v>
      </c>
      <c r="T84" s="522">
        <v>21308.5158462365</v>
      </c>
      <c r="U84" s="458">
        <f t="shared" si="8"/>
        <v>0.56607630521940189</v>
      </c>
      <c r="V84" s="458">
        <f t="shared" si="9"/>
        <v>0.14583550010397989</v>
      </c>
      <c r="W84" s="522">
        <v>73381.33812</v>
      </c>
      <c r="X84" s="522">
        <v>50980.7618</v>
      </c>
      <c r="Y84" s="458">
        <f t="shared" si="10"/>
        <v>0.64175872795883848</v>
      </c>
      <c r="Z84" s="458">
        <f t="shared" si="11"/>
        <v>0.34891237599253094</v>
      </c>
    </row>
    <row r="85" spans="2:26" x14ac:dyDescent="0.2">
      <c r="B85" s="28" t="s">
        <v>78</v>
      </c>
      <c r="C85" s="28">
        <v>8</v>
      </c>
      <c r="D85" s="22"/>
      <c r="E85" s="22"/>
      <c r="F85" s="32"/>
      <c r="G85" s="32"/>
      <c r="H85" s="46"/>
      <c r="I85" s="46"/>
      <c r="J85" s="32"/>
      <c r="K85" s="32"/>
      <c r="L85" s="46"/>
      <c r="M85" s="46"/>
      <c r="N85" s="55"/>
      <c r="O85" s="28" t="s">
        <v>78</v>
      </c>
      <c r="P85" s="28">
        <v>8</v>
      </c>
      <c r="Q85" s="522">
        <v>46363.867332000002</v>
      </c>
      <c r="R85" s="522">
        <v>77008.212419999996</v>
      </c>
      <c r="S85" s="522">
        <v>220.51842143531201</v>
      </c>
      <c r="T85" s="522">
        <v>1950174.31315728</v>
      </c>
      <c r="U85" s="458">
        <f t="shared" si="8"/>
        <v>4.7562559839159878E-3</v>
      </c>
      <c r="V85" s="458">
        <f t="shared" si="9"/>
        <v>25.32423818022291</v>
      </c>
      <c r="W85" s="522">
        <v>917.14455999999996</v>
      </c>
      <c r="X85" s="522">
        <v>366994.37517200003</v>
      </c>
      <c r="Y85" s="458">
        <f t="shared" si="10"/>
        <v>1.9781450788661746E-2</v>
      </c>
      <c r="Z85" s="458">
        <f t="shared" si="11"/>
        <v>4.7656524367872093</v>
      </c>
    </row>
    <row r="86" spans="2:26" x14ac:dyDescent="0.2">
      <c r="B86" s="28" t="s">
        <v>79</v>
      </c>
      <c r="C86" s="28">
        <v>1</v>
      </c>
      <c r="D86" s="22"/>
      <c r="E86" s="22"/>
      <c r="F86" s="32"/>
      <c r="G86" s="32"/>
      <c r="H86" s="46"/>
      <c r="I86" s="46"/>
      <c r="J86" s="32"/>
      <c r="K86" s="32"/>
      <c r="L86" s="46"/>
      <c r="M86" s="46"/>
      <c r="N86" s="55"/>
      <c r="O86" s="28" t="s">
        <v>79</v>
      </c>
      <c r="P86" s="28">
        <v>1</v>
      </c>
      <c r="Q86" s="522">
        <v>116162.957276</v>
      </c>
      <c r="R86" s="522">
        <v>120294.763938</v>
      </c>
      <c r="S86" s="522">
        <v>23480.962188969101</v>
      </c>
      <c r="T86" s="522">
        <v>46060.456936545001</v>
      </c>
      <c r="U86" s="458">
        <f t="shared" si="8"/>
        <v>0.20213812337076595</v>
      </c>
      <c r="V86" s="458">
        <f t="shared" si="9"/>
        <v>0.38289660687380034</v>
      </c>
      <c r="W86" s="524">
        <v>839476.15565299999</v>
      </c>
      <c r="X86" s="524">
        <v>827814.73728300002</v>
      </c>
      <c r="Y86" s="458">
        <f t="shared" si="10"/>
        <v>7.2267112971170979</v>
      </c>
      <c r="Z86" s="458">
        <f t="shared" si="11"/>
        <v>6.8815525313275998</v>
      </c>
    </row>
    <row r="87" spans="2:26" x14ac:dyDescent="0.2">
      <c r="B87" s="28" t="s">
        <v>79</v>
      </c>
      <c r="C87" s="28">
        <v>2</v>
      </c>
      <c r="D87" s="22"/>
      <c r="E87" s="22"/>
      <c r="F87" s="32"/>
      <c r="G87" s="32"/>
      <c r="H87" s="46"/>
      <c r="I87" s="46"/>
      <c r="J87" s="32"/>
      <c r="K87" s="32"/>
      <c r="L87" s="46"/>
      <c r="M87" s="46"/>
      <c r="N87" s="55"/>
      <c r="O87" s="28" t="s">
        <v>79</v>
      </c>
      <c r="P87" s="28">
        <v>2</v>
      </c>
      <c r="Q87" s="522">
        <v>310621.088108</v>
      </c>
      <c r="R87" s="522">
        <v>308156.63521400001</v>
      </c>
      <c r="S87" s="522">
        <v>92000.291345992198</v>
      </c>
      <c r="T87" s="522">
        <v>71409.403353128902</v>
      </c>
      <c r="U87" s="458">
        <f t="shared" si="8"/>
        <v>0.29618173030803552</v>
      </c>
      <c r="V87" s="458">
        <f t="shared" si="9"/>
        <v>0.23173086408974611</v>
      </c>
      <c r="W87" s="524">
        <v>1888272.956341</v>
      </c>
      <c r="X87" s="524">
        <v>1902788.627695</v>
      </c>
      <c r="Y87" s="458">
        <f t="shared" si="10"/>
        <v>6.0790237000408212</v>
      </c>
      <c r="Z87" s="458">
        <f t="shared" si="11"/>
        <v>6.1747449519417437</v>
      </c>
    </row>
    <row r="88" spans="2:26" x14ac:dyDescent="0.2">
      <c r="B88" s="28" t="s">
        <v>79</v>
      </c>
      <c r="C88" s="28">
        <v>3</v>
      </c>
      <c r="D88" s="22"/>
      <c r="E88" s="22"/>
      <c r="F88" s="32"/>
      <c r="G88" s="32"/>
      <c r="H88" s="46"/>
      <c r="I88" s="46"/>
      <c r="J88" s="32"/>
      <c r="K88" s="32"/>
      <c r="L88" s="46"/>
      <c r="M88" s="46"/>
      <c r="N88" s="55"/>
      <c r="O88" s="28" t="s">
        <v>79</v>
      </c>
      <c r="P88" s="28">
        <v>3</v>
      </c>
      <c r="Q88" s="522">
        <v>454594.77963499998</v>
      </c>
      <c r="R88" s="522">
        <v>417809.737547</v>
      </c>
      <c r="S88" s="522">
        <v>88762.886327610497</v>
      </c>
      <c r="T88" s="522">
        <v>116972.05098864299</v>
      </c>
      <c r="U88" s="458">
        <f t="shared" si="8"/>
        <v>0.19525716155139169</v>
      </c>
      <c r="V88" s="458">
        <f t="shared" si="9"/>
        <v>0.27996487510175527</v>
      </c>
      <c r="W88" s="524">
        <v>1941669.02991</v>
      </c>
      <c r="X88" s="524">
        <v>2426653.2594849998</v>
      </c>
      <c r="Y88" s="458">
        <f t="shared" si="10"/>
        <v>4.2712083747837823</v>
      </c>
      <c r="Z88" s="458">
        <f t="shared" si="11"/>
        <v>5.8080342352289529</v>
      </c>
    </row>
    <row r="89" spans="2:26" x14ac:dyDescent="0.2">
      <c r="B89" s="28" t="s">
        <v>79</v>
      </c>
      <c r="C89" s="28">
        <v>4</v>
      </c>
      <c r="D89" s="22"/>
      <c r="E89" s="22"/>
      <c r="F89" s="32"/>
      <c r="G89" s="32"/>
      <c r="H89" s="46"/>
      <c r="I89" s="46"/>
      <c r="J89" s="32"/>
      <c r="K89" s="32"/>
      <c r="L89" s="46"/>
      <c r="M89" s="46"/>
      <c r="N89" s="55"/>
      <c r="O89" s="28" t="s">
        <v>79</v>
      </c>
      <c r="P89" s="28">
        <v>4</v>
      </c>
      <c r="Q89" s="522">
        <v>348784.43214699998</v>
      </c>
      <c r="R89" s="522">
        <v>390301.24397200003</v>
      </c>
      <c r="S89" s="522">
        <v>59585.215387304102</v>
      </c>
      <c r="T89" s="522">
        <v>92693.351333312996</v>
      </c>
      <c r="U89" s="458">
        <f t="shared" si="8"/>
        <v>0.17083679744682839</v>
      </c>
      <c r="V89" s="458">
        <f t="shared" si="9"/>
        <v>0.23749181629552468</v>
      </c>
      <c r="W89" s="524">
        <v>1282101.8977089999</v>
      </c>
      <c r="X89" s="524">
        <v>2478688.3964260002</v>
      </c>
      <c r="Y89" s="458">
        <f t="shared" si="10"/>
        <v>3.6759149191860732</v>
      </c>
      <c r="Z89" s="458">
        <f t="shared" si="11"/>
        <v>6.350705857867621</v>
      </c>
    </row>
    <row r="90" spans="2:26" x14ac:dyDescent="0.2">
      <c r="B90" s="28" t="s">
        <v>79</v>
      </c>
      <c r="C90" s="28">
        <v>5</v>
      </c>
      <c r="D90" s="22"/>
      <c r="E90" s="22"/>
      <c r="F90" s="32"/>
      <c r="G90" s="32"/>
      <c r="H90" s="46"/>
      <c r="I90" s="46"/>
      <c r="J90" s="32"/>
      <c r="K90" s="32"/>
      <c r="L90" s="46"/>
      <c r="M90" s="46"/>
      <c r="N90" s="55"/>
      <c r="O90" s="28" t="s">
        <v>79</v>
      </c>
      <c r="P90" s="28">
        <v>5</v>
      </c>
      <c r="Q90" s="522">
        <v>322237.15209599998</v>
      </c>
      <c r="R90" s="522">
        <v>355162.92462100001</v>
      </c>
      <c r="S90" s="522">
        <v>31275.1564310963</v>
      </c>
      <c r="T90" s="522">
        <v>45945.627979286299</v>
      </c>
      <c r="U90" s="458">
        <f t="shared" si="8"/>
        <v>9.7056333286420354E-2</v>
      </c>
      <c r="V90" s="458">
        <f t="shared" si="9"/>
        <v>0.12936493308899177</v>
      </c>
      <c r="W90" s="524">
        <v>810776.095997</v>
      </c>
      <c r="X90" s="524">
        <v>1296766.697099</v>
      </c>
      <c r="Y90" s="458">
        <f t="shared" si="10"/>
        <v>2.5160850967161474</v>
      </c>
      <c r="Z90" s="458">
        <f t="shared" si="11"/>
        <v>3.651188249682312</v>
      </c>
    </row>
    <row r="91" spans="2:26" x14ac:dyDescent="0.2">
      <c r="B91" s="28" t="s">
        <v>79</v>
      </c>
      <c r="C91" s="28">
        <v>6</v>
      </c>
      <c r="D91" s="22"/>
      <c r="E91" s="22"/>
      <c r="F91" s="32"/>
      <c r="G91" s="32"/>
      <c r="H91" s="46"/>
      <c r="I91" s="46"/>
      <c r="J91" s="32"/>
      <c r="K91" s="32"/>
      <c r="L91" s="46"/>
      <c r="M91" s="46"/>
      <c r="N91" s="55"/>
      <c r="O91" s="28" t="s">
        <v>79</v>
      </c>
      <c r="P91" s="28">
        <v>6</v>
      </c>
      <c r="Q91" s="522">
        <v>195407.73805700001</v>
      </c>
      <c r="R91" s="522">
        <v>203290.90702899999</v>
      </c>
      <c r="S91" s="522">
        <v>20516.445958950098</v>
      </c>
      <c r="T91" s="522">
        <v>22822.812697144102</v>
      </c>
      <c r="U91" s="458">
        <f t="shared" si="8"/>
        <v>0.1049930067404265</v>
      </c>
      <c r="V91" s="458">
        <f t="shared" si="9"/>
        <v>0.11226676603832736</v>
      </c>
      <c r="W91" s="524">
        <v>626805.80359000002</v>
      </c>
      <c r="X91" s="524">
        <v>731315.20756699995</v>
      </c>
      <c r="Y91" s="458">
        <f t="shared" si="10"/>
        <v>3.207681588367612</v>
      </c>
      <c r="Z91" s="458">
        <f t="shared" si="11"/>
        <v>3.5973827765089164</v>
      </c>
    </row>
    <row r="92" spans="2:26" x14ac:dyDescent="0.2">
      <c r="B92" s="28" t="s">
        <v>79</v>
      </c>
      <c r="C92" s="28">
        <v>7</v>
      </c>
      <c r="D92" s="22"/>
      <c r="E92" s="22"/>
      <c r="F92" s="32"/>
      <c r="G92" s="32"/>
      <c r="H92" s="46"/>
      <c r="I92" s="46"/>
      <c r="J92" s="32"/>
      <c r="K92" s="32"/>
      <c r="L92" s="46"/>
      <c r="M92" s="46"/>
      <c r="N92" s="55"/>
      <c r="O92" s="28" t="s">
        <v>79</v>
      </c>
      <c r="P92" s="28">
        <v>7</v>
      </c>
      <c r="Q92" s="522">
        <v>114344.121744</v>
      </c>
      <c r="R92" s="522">
        <v>146113.36629999999</v>
      </c>
      <c r="S92" s="522">
        <v>6410.30273165569</v>
      </c>
      <c r="T92" s="522">
        <v>9745.9095360246793</v>
      </c>
      <c r="U92" s="458">
        <f t="shared" si="8"/>
        <v>5.6061497818028924E-2</v>
      </c>
      <c r="V92" s="458">
        <f t="shared" si="9"/>
        <v>6.6701012938230275E-2</v>
      </c>
      <c r="W92" s="524">
        <v>201948.13008999999</v>
      </c>
      <c r="X92" s="524">
        <v>379659.84460999997</v>
      </c>
      <c r="Y92" s="458">
        <f t="shared" si="10"/>
        <v>1.7661435236883687</v>
      </c>
      <c r="Z92" s="458">
        <f t="shared" si="11"/>
        <v>2.5983922910275181</v>
      </c>
    </row>
    <row r="93" spans="2:26" x14ac:dyDescent="0.2">
      <c r="B93" s="28" t="s">
        <v>79</v>
      </c>
      <c r="C93" s="28">
        <v>8</v>
      </c>
      <c r="D93" s="22"/>
      <c r="E93" s="22"/>
      <c r="F93" s="32"/>
      <c r="G93" s="32"/>
      <c r="H93" s="46"/>
      <c r="I93" s="46"/>
      <c r="J93" s="32"/>
      <c r="K93" s="32"/>
      <c r="L93" s="46"/>
      <c r="M93" s="46"/>
      <c r="N93" s="55"/>
      <c r="O93" s="28" t="s">
        <v>79</v>
      </c>
      <c r="P93" s="28">
        <v>8</v>
      </c>
      <c r="Q93" s="522">
        <v>46363.867332000002</v>
      </c>
      <c r="R93" s="522">
        <v>77008.212419999996</v>
      </c>
      <c r="S93" s="522">
        <v>3726.24270192718</v>
      </c>
      <c r="T93" s="522">
        <v>8278.1561483457408</v>
      </c>
      <c r="U93" s="458">
        <f t="shared" si="8"/>
        <v>8.0369540255227037E-2</v>
      </c>
      <c r="V93" s="458">
        <f t="shared" si="9"/>
        <v>0.10749705632948571</v>
      </c>
      <c r="W93" s="524">
        <v>165337.988954</v>
      </c>
      <c r="X93" s="524">
        <v>234990.61423199999</v>
      </c>
      <c r="Y93" s="458">
        <f>W93/Q93</f>
        <v>3.5660957221289635</v>
      </c>
      <c r="Z93" s="458">
        <f>X93/R93</f>
        <v>3.0515007016442572</v>
      </c>
    </row>
    <row r="94" spans="2:26" x14ac:dyDescent="0.2">
      <c r="W94" s="50"/>
      <c r="X94" s="50"/>
    </row>
    <row r="95" spans="2:26" x14ac:dyDescent="0.2">
      <c r="W95" s="47"/>
      <c r="Y95" s="47"/>
      <c r="Z95" s="47"/>
    </row>
    <row r="96" spans="2:26" x14ac:dyDescent="0.2">
      <c r="W96" s="47"/>
      <c r="Y96" s="47"/>
      <c r="Z96" s="47"/>
    </row>
    <row r="97" spans="17:26" x14ac:dyDescent="0.2">
      <c r="V97" s="48"/>
      <c r="Y97" s="47"/>
      <c r="Z97" s="47"/>
    </row>
    <row r="98" spans="17:26" x14ac:dyDescent="0.2">
      <c r="Y98" s="47"/>
      <c r="Z98" s="47"/>
    </row>
    <row r="99" spans="17:26" x14ac:dyDescent="0.2">
      <c r="Y99" s="47"/>
      <c r="Z99" s="47"/>
    </row>
    <row r="100" spans="17:26" x14ac:dyDescent="0.2">
      <c r="Q100" s="50"/>
      <c r="R100" s="50"/>
      <c r="U100" s="50"/>
      <c r="Y100" s="47"/>
      <c r="Z100" s="47"/>
    </row>
    <row r="101" spans="17:26" x14ac:dyDescent="0.2">
      <c r="Q101" s="50"/>
      <c r="R101" s="50"/>
      <c r="U101" s="50"/>
      <c r="Y101" s="47"/>
      <c r="Z101" s="47"/>
    </row>
    <row r="102" spans="17:26" x14ac:dyDescent="0.2">
      <c r="Q102" s="50"/>
      <c r="R102" s="50"/>
      <c r="U102" s="50"/>
      <c r="Y102" s="47"/>
      <c r="Z102" s="47"/>
    </row>
    <row r="103" spans="17:26" x14ac:dyDescent="0.2">
      <c r="Q103" s="50"/>
      <c r="R103" s="50"/>
      <c r="U103" s="50"/>
    </row>
    <row r="104" spans="17:26" x14ac:dyDescent="0.2">
      <c r="Q104" s="50"/>
      <c r="R104" s="50"/>
      <c r="U104" s="50"/>
    </row>
    <row r="105" spans="17:26" x14ac:dyDescent="0.2">
      <c r="Q105" s="50"/>
      <c r="R105" s="50"/>
      <c r="U105" s="50"/>
    </row>
    <row r="106" spans="17:26" x14ac:dyDescent="0.2">
      <c r="Q106" s="50"/>
      <c r="R106" s="50"/>
      <c r="U106" s="50"/>
      <c r="W106" s="47"/>
      <c r="X106" s="47"/>
    </row>
    <row r="107" spans="17:26" x14ac:dyDescent="0.2">
      <c r="Q107" s="50"/>
      <c r="R107" s="50"/>
      <c r="U107" s="50"/>
      <c r="W107" s="47"/>
      <c r="X107" s="47"/>
    </row>
    <row r="108" spans="17:26" x14ac:dyDescent="0.2">
      <c r="W108" s="47"/>
      <c r="X108" s="47"/>
    </row>
    <row r="109" spans="17:26" x14ac:dyDescent="0.2">
      <c r="W109" s="47"/>
      <c r="X109" s="47"/>
    </row>
    <row r="110" spans="17:26" x14ac:dyDescent="0.2">
      <c r="W110" s="47"/>
      <c r="X110" s="47"/>
    </row>
    <row r="111" spans="17:26" x14ac:dyDescent="0.2">
      <c r="W111" s="47"/>
      <c r="X111" s="47"/>
    </row>
    <row r="112" spans="17:26" x14ac:dyDescent="0.2">
      <c r="W112" s="47"/>
      <c r="X112" s="47"/>
    </row>
    <row r="113" spans="21:35" x14ac:dyDescent="0.2">
      <c r="W113" s="47"/>
      <c r="X113" s="47"/>
    </row>
    <row r="114" spans="21:35" x14ac:dyDescent="0.2">
      <c r="W114" s="28"/>
    </row>
    <row r="115" spans="21:35" x14ac:dyDescent="0.2">
      <c r="W115" s="28"/>
    </row>
    <row r="116" spans="21:35" x14ac:dyDescent="0.2">
      <c r="W116" s="28"/>
    </row>
    <row r="117" spans="21:35" x14ac:dyDescent="0.2">
      <c r="W117" s="28"/>
    </row>
    <row r="118" spans="21:35" x14ac:dyDescent="0.2">
      <c r="W118" s="28"/>
    </row>
    <row r="119" spans="21:35" x14ac:dyDescent="0.2">
      <c r="W119" s="28"/>
    </row>
    <row r="120" spans="21:35" x14ac:dyDescent="0.2">
      <c r="W120" s="28"/>
    </row>
    <row r="121" spans="21:35" x14ac:dyDescent="0.2">
      <c r="W121" s="28"/>
    </row>
    <row r="122" spans="21:35" x14ac:dyDescent="0.2">
      <c r="W122" s="28"/>
    </row>
    <row r="123" spans="21:35" x14ac:dyDescent="0.2">
      <c r="W123" s="28"/>
    </row>
    <row r="124" spans="21:35" x14ac:dyDescent="0.2">
      <c r="W124" s="28"/>
    </row>
    <row r="125" spans="21:35" x14ac:dyDescent="0.2">
      <c r="W125" s="28"/>
    </row>
    <row r="126" spans="21:35" x14ac:dyDescent="0.2">
      <c r="W126" s="28"/>
    </row>
    <row r="127" spans="21:35" x14ac:dyDescent="0.2">
      <c r="U127" t="s">
        <v>39</v>
      </c>
      <c r="V127" t="s">
        <v>40</v>
      </c>
      <c r="W127" s="28"/>
      <c r="X127" t="s">
        <v>97</v>
      </c>
      <c r="Z127" t="s">
        <v>98</v>
      </c>
      <c r="AB127" s="86" t="s">
        <v>99</v>
      </c>
      <c r="AC127" s="86"/>
      <c r="AD127" s="86" t="s">
        <v>100</v>
      </c>
      <c r="AE127" s="86"/>
    </row>
    <row r="128" spans="21:35" x14ac:dyDescent="0.2">
      <c r="U128">
        <v>49437.299427999998</v>
      </c>
      <c r="V128">
        <v>53383.865297999997</v>
      </c>
      <c r="W128" s="28" t="s">
        <v>71</v>
      </c>
      <c r="X128">
        <v>264.83848868040099</v>
      </c>
      <c r="Y128">
        <v>2349.5844112121299</v>
      </c>
      <c r="Z128">
        <v>4677.7099500000004</v>
      </c>
      <c r="AA128">
        <v>41997.478065000003</v>
      </c>
      <c r="AB128">
        <f>X128/U128</f>
        <v>5.3570581675099222E-3</v>
      </c>
      <c r="AC128">
        <f>Y128/V128</f>
        <v>4.4013006516037276E-2</v>
      </c>
      <c r="AD128">
        <f>Z128/U128</f>
        <v>9.4619042790000524E-2</v>
      </c>
      <c r="AE128">
        <f>AA128/V128</f>
        <v>0.78670732871367077</v>
      </c>
      <c r="AF128">
        <f t="shared" ref="AF128:AG135" si="12">AB128/$AC$130</f>
        <v>0.19699748176478901</v>
      </c>
      <c r="AG128">
        <f t="shared" si="12"/>
        <v>1.6185098569849594</v>
      </c>
      <c r="AI128">
        <f t="shared" ref="AI128:AI135" si="13">AE128/$AE$130</f>
        <v>2.3873019978214609</v>
      </c>
    </row>
    <row r="129" spans="21:35" x14ac:dyDescent="0.2">
      <c r="U129">
        <v>149084.94172199999</v>
      </c>
      <c r="V129">
        <v>119191.901654</v>
      </c>
      <c r="W129" s="28" t="s">
        <v>71</v>
      </c>
      <c r="X129">
        <v>17881.7241940924</v>
      </c>
      <c r="Y129">
        <v>2433.80868847804</v>
      </c>
      <c r="Z129">
        <v>208382.39837400001</v>
      </c>
      <c r="AA129">
        <v>76398.143901000003</v>
      </c>
      <c r="AB129">
        <f t="shared" ref="AB129:AB135" si="14">X129/U129</f>
        <v>0.11994319471537648</v>
      </c>
      <c r="AC129">
        <f t="shared" ref="AC129:AC135" si="15">Y129/V129</f>
        <v>2.0419245390874783E-2</v>
      </c>
      <c r="AD129">
        <f t="shared" ref="AD129:AD135" si="16">Z129/U129</f>
        <v>1.3977427630657193</v>
      </c>
      <c r="AE129">
        <f t="shared" ref="AE129:AE135" si="17">AA129/V129</f>
        <v>0.64096757280351802</v>
      </c>
      <c r="AF129">
        <f t="shared" si="12"/>
        <v>4.4107244265253076</v>
      </c>
      <c r="AG129">
        <f t="shared" si="12"/>
        <v>0.75088598924237027</v>
      </c>
      <c r="AI129">
        <f t="shared" si="13"/>
        <v>1.9450475561154144</v>
      </c>
    </row>
    <row r="130" spans="21:35" x14ac:dyDescent="0.2">
      <c r="U130">
        <v>207662.48100999999</v>
      </c>
      <c r="V130">
        <v>188981.26214100001</v>
      </c>
      <c r="W130" s="28" t="s">
        <v>71</v>
      </c>
      <c r="X130">
        <v>17993.0834115117</v>
      </c>
      <c r="Y130">
        <v>5139.0688083390996</v>
      </c>
      <c r="Z130">
        <v>200602.354834</v>
      </c>
      <c r="AA130">
        <v>62276.554894000001</v>
      </c>
      <c r="AB130">
        <f t="shared" si="14"/>
        <v>8.664580777422784E-2</v>
      </c>
      <c r="AC130">
        <f t="shared" si="15"/>
        <v>2.7193536280357842E-2</v>
      </c>
      <c r="AD130">
        <f t="shared" si="16"/>
        <v>0.96600191743033248</v>
      </c>
      <c r="AE130">
        <f t="shared" si="17"/>
        <v>0.32953825256778685</v>
      </c>
      <c r="AF130">
        <f t="shared" si="12"/>
        <v>3.186264812377968</v>
      </c>
      <c r="AG130">
        <f t="shared" si="12"/>
        <v>1</v>
      </c>
      <c r="AH130">
        <f>AF130/AG130</f>
        <v>3.186264812377968</v>
      </c>
      <c r="AI130">
        <f t="shared" si="13"/>
        <v>1</v>
      </c>
    </row>
    <row r="131" spans="21:35" x14ac:dyDescent="0.2">
      <c r="U131">
        <v>151492.34629700001</v>
      </c>
      <c r="V131">
        <v>159983.50701999999</v>
      </c>
      <c r="W131" s="28" t="s">
        <v>71</v>
      </c>
      <c r="X131">
        <v>18511.165940533701</v>
      </c>
      <c r="Y131">
        <v>3746.33131797134</v>
      </c>
      <c r="Z131">
        <v>98502.141149999996</v>
      </c>
      <c r="AA131">
        <v>50098.510679999999</v>
      </c>
      <c r="AB131">
        <f t="shared" si="14"/>
        <v>0.12219208688102731</v>
      </c>
      <c r="AC131">
        <f t="shared" si="15"/>
        <v>2.3416984586436155E-2</v>
      </c>
      <c r="AD131">
        <f t="shared" si="16"/>
        <v>0.65021199788461281</v>
      </c>
      <c r="AE131">
        <f t="shared" si="17"/>
        <v>0.31314797139518291</v>
      </c>
      <c r="AF131">
        <f t="shared" si="12"/>
        <v>4.4934239379998493</v>
      </c>
      <c r="AG131">
        <f t="shared" si="12"/>
        <v>0.86112318548840128</v>
      </c>
      <c r="AI131">
        <f t="shared" si="13"/>
        <v>0.95026288740414921</v>
      </c>
    </row>
    <row r="132" spans="21:35" x14ac:dyDescent="0.2">
      <c r="U132">
        <v>141019.253471</v>
      </c>
      <c r="V132">
        <v>158391.430333</v>
      </c>
      <c r="W132" s="28" t="s">
        <v>71</v>
      </c>
      <c r="X132">
        <v>18119.433850359401</v>
      </c>
      <c r="Y132">
        <v>9014.8342789549806</v>
      </c>
      <c r="Z132">
        <v>206298.161918</v>
      </c>
      <c r="AA132">
        <v>80126.309364000001</v>
      </c>
      <c r="AB132">
        <f t="shared" si="14"/>
        <v>0.12848907794059189</v>
      </c>
      <c r="AC132">
        <f t="shared" si="15"/>
        <v>5.6914911747449434E-2</v>
      </c>
      <c r="AD132">
        <f t="shared" si="16"/>
        <v>1.4629077720966968</v>
      </c>
      <c r="AE132">
        <f t="shared" si="17"/>
        <v>0.50587528122918979</v>
      </c>
      <c r="AF132">
        <f t="shared" si="12"/>
        <v>4.7249859899023434</v>
      </c>
      <c r="AG132">
        <f t="shared" si="12"/>
        <v>2.0929573543018614</v>
      </c>
      <c r="AI132">
        <f t="shared" si="13"/>
        <v>1.5351033674766785</v>
      </c>
    </row>
    <row r="133" spans="21:35" x14ac:dyDescent="0.2">
      <c r="U133">
        <v>90695.817014</v>
      </c>
      <c r="V133">
        <v>94503.782531000004</v>
      </c>
      <c r="W133" s="28" t="s">
        <v>71</v>
      </c>
      <c r="X133">
        <v>3723.5299082433698</v>
      </c>
      <c r="Y133">
        <v>5815.7766827276801</v>
      </c>
      <c r="Z133">
        <v>28623.213210000002</v>
      </c>
      <c r="AA133">
        <v>14664.489256999999</v>
      </c>
      <c r="AB133">
        <f t="shared" si="14"/>
        <v>4.1055144887978658E-2</v>
      </c>
      <c r="AC133">
        <f t="shared" si="15"/>
        <v>6.154014714511491E-2</v>
      </c>
      <c r="AD133">
        <f t="shared" si="16"/>
        <v>0.3155957369630582</v>
      </c>
      <c r="AE133">
        <f t="shared" si="17"/>
        <v>0.15517356939855415</v>
      </c>
      <c r="AF133">
        <f t="shared" si="12"/>
        <v>1.509739096258444</v>
      </c>
      <c r="AG133">
        <f t="shared" si="12"/>
        <v>2.263043191979631</v>
      </c>
      <c r="AI133">
        <f t="shared" si="13"/>
        <v>0.47088181171511961</v>
      </c>
    </row>
    <row r="134" spans="21:35" x14ac:dyDescent="0.2">
      <c r="U134">
        <v>43788.634205000002</v>
      </c>
      <c r="V134">
        <v>68960.217715000006</v>
      </c>
      <c r="W134" s="28" t="s">
        <v>71</v>
      </c>
      <c r="X134">
        <v>5491.9736485170597</v>
      </c>
      <c r="Y134">
        <v>0</v>
      </c>
      <c r="Z134">
        <v>39247.304080000002</v>
      </c>
      <c r="AA134">
        <v>0</v>
      </c>
      <c r="AB134">
        <f t="shared" si="14"/>
        <v>0.12542007185713866</v>
      </c>
      <c r="AC134">
        <f t="shared" si="15"/>
        <v>0</v>
      </c>
      <c r="AD134">
        <f t="shared" si="16"/>
        <v>0.89628975172554137</v>
      </c>
      <c r="AE134">
        <f t="shared" si="17"/>
        <v>0</v>
      </c>
      <c r="AF134">
        <f t="shared" si="12"/>
        <v>4.6121280647023024</v>
      </c>
      <c r="AG134">
        <f t="shared" si="12"/>
        <v>0</v>
      </c>
      <c r="AI134">
        <f t="shared" si="13"/>
        <v>0</v>
      </c>
    </row>
    <row r="135" spans="21:35" x14ac:dyDescent="0.2">
      <c r="U135">
        <v>24531.837340999999</v>
      </c>
      <c r="V135">
        <v>32456.878184000001</v>
      </c>
      <c r="W135" s="28" t="s">
        <v>71</v>
      </c>
      <c r="X135">
        <v>0</v>
      </c>
      <c r="Y135">
        <v>0</v>
      </c>
      <c r="Z135">
        <v>0</v>
      </c>
      <c r="AA135">
        <v>0</v>
      </c>
      <c r="AB135">
        <f t="shared" si="14"/>
        <v>0</v>
      </c>
      <c r="AC135">
        <f t="shared" si="15"/>
        <v>0</v>
      </c>
      <c r="AD135">
        <f t="shared" si="16"/>
        <v>0</v>
      </c>
      <c r="AE135">
        <f t="shared" si="17"/>
        <v>0</v>
      </c>
      <c r="AF135">
        <f t="shared" si="12"/>
        <v>0</v>
      </c>
      <c r="AG135">
        <f t="shared" si="12"/>
        <v>0</v>
      </c>
      <c r="AI135">
        <f t="shared" si="13"/>
        <v>0</v>
      </c>
    </row>
    <row r="136" spans="21:35" x14ac:dyDescent="0.2">
      <c r="W136" s="28"/>
    </row>
    <row r="137" spans="21:35" x14ac:dyDescent="0.2">
      <c r="W137" s="28"/>
    </row>
    <row r="138" spans="21:35" x14ac:dyDescent="0.2">
      <c r="W138" s="28"/>
    </row>
    <row r="139" spans="21:35" x14ac:dyDescent="0.2">
      <c r="W139" s="28"/>
    </row>
    <row r="140" spans="21:35" x14ac:dyDescent="0.2">
      <c r="W140" s="28"/>
    </row>
    <row r="141" spans="21:35" x14ac:dyDescent="0.2">
      <c r="W141" s="28"/>
    </row>
    <row r="142" spans="21:35" x14ac:dyDescent="0.2">
      <c r="W142" s="28"/>
    </row>
    <row r="143" spans="21:35" x14ac:dyDescent="0.2">
      <c r="W143" s="28"/>
    </row>
    <row r="144" spans="21:35" x14ac:dyDescent="0.2">
      <c r="W144" s="28"/>
    </row>
    <row r="145" spans="23:24" x14ac:dyDescent="0.2">
      <c r="W145" s="28"/>
    </row>
    <row r="146" spans="23:24" x14ac:dyDescent="0.2">
      <c r="W146" s="28"/>
    </row>
    <row r="147" spans="23:24" x14ac:dyDescent="0.2">
      <c r="W147">
        <v>0</v>
      </c>
      <c r="X147">
        <v>0</v>
      </c>
    </row>
    <row r="148" spans="23:24" x14ac:dyDescent="0.2">
      <c r="W148">
        <v>0</v>
      </c>
      <c r="X148">
        <v>0</v>
      </c>
    </row>
    <row r="149" spans="23:24" x14ac:dyDescent="0.2">
      <c r="W149">
        <v>2470923.7152880002</v>
      </c>
      <c r="X149">
        <v>2312223.1532709999</v>
      </c>
    </row>
    <row r="150" spans="23:24" x14ac:dyDescent="0.2">
      <c r="W150">
        <v>3771732.8050799998</v>
      </c>
      <c r="X150">
        <v>3619047.8499719999</v>
      </c>
    </row>
    <row r="151" spans="23:24" x14ac:dyDescent="0.2">
      <c r="W151">
        <v>3744973.709797</v>
      </c>
      <c r="X151">
        <v>3557197.403248</v>
      </c>
    </row>
    <row r="152" spans="23:24" x14ac:dyDescent="0.2">
      <c r="W152">
        <v>1843194.2768310001</v>
      </c>
      <c r="X152">
        <v>1385914.051131</v>
      </c>
    </row>
    <row r="153" spans="23:24" x14ac:dyDescent="0.2">
      <c r="W153">
        <v>807101.449685</v>
      </c>
      <c r="X153">
        <v>781380.56562600005</v>
      </c>
    </row>
    <row r="154" spans="23:24" x14ac:dyDescent="0.2">
      <c r="W154">
        <v>219728.81426099999</v>
      </c>
      <c r="X154">
        <v>356031.19452899997</v>
      </c>
    </row>
    <row r="155" spans="23:24" x14ac:dyDescent="0.2">
      <c r="W155">
        <v>1054395.5191029999</v>
      </c>
      <c r="X155">
        <v>763186.88105500001</v>
      </c>
    </row>
    <row r="156" spans="23:24" x14ac:dyDescent="0.2">
      <c r="W156">
        <v>2160154.5919750002</v>
      </c>
      <c r="X156">
        <v>1821872.57378</v>
      </c>
    </row>
    <row r="157" spans="23:24" x14ac:dyDescent="0.2">
      <c r="W157">
        <v>1184351.165883</v>
      </c>
      <c r="X157">
        <v>1456564.6242289999</v>
      </c>
    </row>
    <row r="158" spans="23:24" x14ac:dyDescent="0.2">
      <c r="W158">
        <v>645601.59391099995</v>
      </c>
      <c r="X158">
        <v>1255992.8389630001</v>
      </c>
    </row>
    <row r="159" spans="23:24" x14ac:dyDescent="0.2">
      <c r="W159">
        <v>715072.64294499997</v>
      </c>
      <c r="X159">
        <v>885848.65119600005</v>
      </c>
    </row>
    <row r="160" spans="23:24" x14ac:dyDescent="0.2">
      <c r="W160">
        <v>385347.49628299999</v>
      </c>
      <c r="X160">
        <v>852299.87735299999</v>
      </c>
    </row>
    <row r="161" spans="23:24" x14ac:dyDescent="0.2">
      <c r="W161">
        <v>294883.15097399999</v>
      </c>
      <c r="X161">
        <v>421699.77268499997</v>
      </c>
    </row>
    <row r="162" spans="23:24" x14ac:dyDescent="0.2">
      <c r="W162">
        <v>56795.333400000003</v>
      </c>
      <c r="X162">
        <v>85878.970455000002</v>
      </c>
    </row>
    <row r="163" spans="23:24" x14ac:dyDescent="0.2">
      <c r="W163">
        <v>0</v>
      </c>
      <c r="X163">
        <v>37319.768114999999</v>
      </c>
    </row>
    <row r="164" spans="23:24" x14ac:dyDescent="0.2">
      <c r="W164">
        <v>144179.30793000001</v>
      </c>
      <c r="X164">
        <v>66418.235814999993</v>
      </c>
    </row>
    <row r="165" spans="23:24" x14ac:dyDescent="0.2">
      <c r="W165">
        <v>120334.71041</v>
      </c>
      <c r="X165">
        <v>13313.348225</v>
      </c>
    </row>
    <row r="166" spans="23:24" x14ac:dyDescent="0.2">
      <c r="W166">
        <v>97034.722248000005</v>
      </c>
      <c r="X166">
        <v>41989.177544999999</v>
      </c>
    </row>
    <row r="167" spans="23:24" x14ac:dyDescent="0.2">
      <c r="W167">
        <v>192269.927455</v>
      </c>
      <c r="X167">
        <v>67336.604999999996</v>
      </c>
    </row>
    <row r="168" spans="23:24" x14ac:dyDescent="0.2">
      <c r="W168">
        <v>397.660394</v>
      </c>
      <c r="X168">
        <v>9404.0627399999994</v>
      </c>
    </row>
    <row r="169" spans="23:24" x14ac:dyDescent="0.2">
      <c r="W169">
        <v>39063.455199999997</v>
      </c>
      <c r="X169">
        <v>0</v>
      </c>
    </row>
    <row r="170" spans="23:24" x14ac:dyDescent="0.2">
      <c r="W170">
        <v>0</v>
      </c>
      <c r="X170">
        <v>0</v>
      </c>
    </row>
    <row r="171" spans="23:24" x14ac:dyDescent="0.2">
      <c r="W171">
        <v>11725.26561</v>
      </c>
      <c r="X171">
        <v>0</v>
      </c>
    </row>
    <row r="172" spans="23:24" x14ac:dyDescent="0.2">
      <c r="W172">
        <v>364896.51552000002</v>
      </c>
      <c r="X172">
        <v>468059.84637799999</v>
      </c>
    </row>
    <row r="173" spans="23:24" x14ac:dyDescent="0.2">
      <c r="W173">
        <v>412622.14985500003</v>
      </c>
      <c r="X173">
        <v>409898.96735400002</v>
      </c>
    </row>
    <row r="174" spans="23:24" x14ac:dyDescent="0.2">
      <c r="W174">
        <v>288891.304213</v>
      </c>
      <c r="X174">
        <v>255665.29968200001</v>
      </c>
    </row>
    <row r="175" spans="23:24" x14ac:dyDescent="0.2">
      <c r="W175">
        <v>98611.535833999995</v>
      </c>
      <c r="X175">
        <v>218001.43599599999</v>
      </c>
    </row>
    <row r="176" spans="23:24" x14ac:dyDescent="0.2">
      <c r="W176">
        <v>103820.33203000001</v>
      </c>
      <c r="X176">
        <v>69052.834627999997</v>
      </c>
    </row>
    <row r="177" spans="23:24" x14ac:dyDescent="0.2">
      <c r="W177">
        <v>19052.479449999999</v>
      </c>
      <c r="X177">
        <v>15227.596325</v>
      </c>
    </row>
    <row r="178" spans="23:24" x14ac:dyDescent="0.2">
      <c r="W178">
        <v>0</v>
      </c>
      <c r="X178">
        <v>62820.525543000003</v>
      </c>
    </row>
    <row r="179" spans="23:24" x14ac:dyDescent="0.2">
      <c r="W179">
        <v>0</v>
      </c>
      <c r="X179">
        <v>0</v>
      </c>
    </row>
    <row r="180" spans="23:24" x14ac:dyDescent="0.2">
      <c r="W180">
        <v>0</v>
      </c>
      <c r="X180">
        <v>0</v>
      </c>
    </row>
    <row r="181" spans="23:24" x14ac:dyDescent="0.2">
      <c r="W181">
        <v>0</v>
      </c>
      <c r="X181">
        <v>0</v>
      </c>
    </row>
    <row r="182" spans="23:24" x14ac:dyDescent="0.2">
      <c r="W182">
        <v>0</v>
      </c>
      <c r="X182">
        <v>6660.7665870000001</v>
      </c>
    </row>
    <row r="183" spans="23:24" x14ac:dyDescent="0.2">
      <c r="W183">
        <v>6714.6724400000003</v>
      </c>
      <c r="X183">
        <v>23326.452539999998</v>
      </c>
    </row>
    <row r="184" spans="23:24" x14ac:dyDescent="0.2">
      <c r="W184">
        <v>0</v>
      </c>
      <c r="X184">
        <v>0</v>
      </c>
    </row>
    <row r="185" spans="23:24" x14ac:dyDescent="0.2">
      <c r="W185">
        <v>0</v>
      </c>
      <c r="X185">
        <v>0</v>
      </c>
    </row>
    <row r="186" spans="23:24" x14ac:dyDescent="0.2">
      <c r="W186">
        <v>0</v>
      </c>
      <c r="X186">
        <v>0</v>
      </c>
    </row>
    <row r="187" spans="23:24" x14ac:dyDescent="0.2">
      <c r="W187">
        <v>0</v>
      </c>
      <c r="X187">
        <v>0</v>
      </c>
    </row>
    <row r="188" spans="23:24" x14ac:dyDescent="0.2">
      <c r="W188">
        <v>0</v>
      </c>
      <c r="X188">
        <v>0</v>
      </c>
    </row>
    <row r="189" spans="23:24" x14ac:dyDescent="0.2">
      <c r="W189">
        <v>0</v>
      </c>
      <c r="X189">
        <v>0</v>
      </c>
    </row>
    <row r="190" spans="23:24" x14ac:dyDescent="0.2">
      <c r="W190">
        <v>0</v>
      </c>
      <c r="X190">
        <v>0</v>
      </c>
    </row>
    <row r="191" spans="23:24" x14ac:dyDescent="0.2">
      <c r="W191">
        <v>0</v>
      </c>
      <c r="X191">
        <v>1596.7493320000001</v>
      </c>
    </row>
    <row r="192" spans="23:24" x14ac:dyDescent="0.2">
      <c r="W192">
        <v>1574.343787</v>
      </c>
      <c r="X192">
        <v>0</v>
      </c>
    </row>
    <row r="193" spans="23:24" x14ac:dyDescent="0.2">
      <c r="W193">
        <v>0</v>
      </c>
      <c r="X193">
        <v>0</v>
      </c>
    </row>
    <row r="194" spans="23:24" x14ac:dyDescent="0.2">
      <c r="W194">
        <v>0</v>
      </c>
      <c r="X194">
        <v>0</v>
      </c>
    </row>
    <row r="195" spans="23:24" x14ac:dyDescent="0.2">
      <c r="W195">
        <v>0</v>
      </c>
      <c r="X195">
        <v>0</v>
      </c>
    </row>
    <row r="196" spans="23:24" x14ac:dyDescent="0.2">
      <c r="W196">
        <v>0</v>
      </c>
      <c r="X196">
        <v>0</v>
      </c>
    </row>
    <row r="197" spans="23:24" x14ac:dyDescent="0.2">
      <c r="W197">
        <v>0</v>
      </c>
      <c r="X197">
        <v>0</v>
      </c>
    </row>
    <row r="198" spans="23:24" x14ac:dyDescent="0.2">
      <c r="W198">
        <v>0</v>
      </c>
      <c r="X198">
        <v>0</v>
      </c>
    </row>
    <row r="199" spans="23:24" x14ac:dyDescent="0.2">
      <c r="W199">
        <v>0</v>
      </c>
      <c r="X199">
        <v>0</v>
      </c>
    </row>
    <row r="200" spans="23:24" x14ac:dyDescent="0.2">
      <c r="W200">
        <v>0</v>
      </c>
      <c r="X200">
        <v>0</v>
      </c>
    </row>
    <row r="201" spans="23:24" x14ac:dyDescent="0.2">
      <c r="W201">
        <v>0</v>
      </c>
      <c r="X201">
        <v>0</v>
      </c>
    </row>
    <row r="202" spans="23:24" x14ac:dyDescent="0.2">
      <c r="W202">
        <v>0</v>
      </c>
      <c r="X202">
        <v>0</v>
      </c>
    </row>
    <row r="203" spans="23:24" x14ac:dyDescent="0.2">
      <c r="W203">
        <v>0</v>
      </c>
      <c r="X203">
        <v>0</v>
      </c>
    </row>
    <row r="204" spans="23:24" x14ac:dyDescent="0.2">
      <c r="W204">
        <v>0</v>
      </c>
      <c r="X204">
        <v>0</v>
      </c>
    </row>
    <row r="205" spans="23:24" x14ac:dyDescent="0.2">
      <c r="W205">
        <v>0</v>
      </c>
      <c r="X205">
        <v>0</v>
      </c>
    </row>
    <row r="206" spans="23:24" x14ac:dyDescent="0.2">
      <c r="W206">
        <v>0</v>
      </c>
      <c r="X206">
        <v>0</v>
      </c>
    </row>
    <row r="207" spans="23:24" x14ac:dyDescent="0.2">
      <c r="W207">
        <v>0</v>
      </c>
      <c r="X207">
        <v>2159.07701</v>
      </c>
    </row>
    <row r="208" spans="23:24" x14ac:dyDescent="0.2">
      <c r="W208">
        <v>2162.733455</v>
      </c>
      <c r="X208">
        <v>0</v>
      </c>
    </row>
    <row r="209" spans="23:24" x14ac:dyDescent="0.2">
      <c r="W209">
        <v>0</v>
      </c>
      <c r="X209">
        <v>0</v>
      </c>
    </row>
    <row r="210" spans="23:24" x14ac:dyDescent="0.2">
      <c r="W210">
        <v>0</v>
      </c>
      <c r="X210">
        <v>0</v>
      </c>
    </row>
    <row r="211" spans="23:24" x14ac:dyDescent="0.2">
      <c r="W211">
        <v>0</v>
      </c>
      <c r="X211">
        <v>0</v>
      </c>
    </row>
    <row r="212" spans="23:24" x14ac:dyDescent="0.2">
      <c r="W212">
        <v>0</v>
      </c>
      <c r="X212">
        <v>0</v>
      </c>
    </row>
    <row r="213" spans="23:24" x14ac:dyDescent="0.2">
      <c r="W213">
        <v>0</v>
      </c>
      <c r="X213">
        <v>0</v>
      </c>
    </row>
    <row r="214" spans="23:24" x14ac:dyDescent="0.2">
      <c r="W214">
        <v>0</v>
      </c>
      <c r="X214">
        <v>0</v>
      </c>
    </row>
    <row r="215" spans="23:24" x14ac:dyDescent="0.2">
      <c r="W215">
        <v>0</v>
      </c>
      <c r="X215">
        <v>10349.210445000001</v>
      </c>
    </row>
    <row r="216" spans="23:24" x14ac:dyDescent="0.2">
      <c r="W216">
        <v>19508.51571</v>
      </c>
      <c r="X216">
        <v>0</v>
      </c>
    </row>
    <row r="217" spans="23:24" x14ac:dyDescent="0.2">
      <c r="W217">
        <v>0</v>
      </c>
      <c r="X217">
        <v>0</v>
      </c>
    </row>
    <row r="218" spans="23:24" x14ac:dyDescent="0.2">
      <c r="W218">
        <v>0</v>
      </c>
      <c r="X218">
        <v>0</v>
      </c>
    </row>
    <row r="219" spans="23:24" x14ac:dyDescent="0.2">
      <c r="W219">
        <v>0</v>
      </c>
      <c r="X219">
        <v>0</v>
      </c>
    </row>
    <row r="220" spans="23:24" x14ac:dyDescent="0.2">
      <c r="W220">
        <v>81371.430519999994</v>
      </c>
      <c r="X220">
        <v>7798.2561999999998</v>
      </c>
    </row>
    <row r="221" spans="23:24" x14ac:dyDescent="0.2">
      <c r="W221">
        <v>26261.085215999999</v>
      </c>
      <c r="X221">
        <v>203458.453224</v>
      </c>
    </row>
    <row r="222" spans="23:24" x14ac:dyDescent="0.2">
      <c r="W222">
        <v>250943.366989</v>
      </c>
      <c r="X222">
        <v>107479.915983</v>
      </c>
    </row>
    <row r="223" spans="23:24" x14ac:dyDescent="0.2">
      <c r="W223">
        <v>79937.666354000001</v>
      </c>
      <c r="X223">
        <v>15025.189611</v>
      </c>
    </row>
    <row r="224" spans="23:24" x14ac:dyDescent="0.2">
      <c r="W224">
        <v>56981.544428000001</v>
      </c>
      <c r="X224">
        <v>11717.693467999999</v>
      </c>
    </row>
    <row r="225" spans="23:24" x14ac:dyDescent="0.2">
      <c r="W225">
        <v>8454.5460500000008</v>
      </c>
      <c r="X225">
        <v>50980.7618</v>
      </c>
    </row>
    <row r="226" spans="23:24" x14ac:dyDescent="0.2">
      <c r="W226">
        <v>0</v>
      </c>
      <c r="X226">
        <v>0</v>
      </c>
    </row>
  </sheetData>
  <mergeCells count="14">
    <mergeCell ref="B4:B5"/>
    <mergeCell ref="C4:C5"/>
    <mergeCell ref="L4:M4"/>
    <mergeCell ref="F4:G4"/>
    <mergeCell ref="J4:K4"/>
    <mergeCell ref="D4:E4"/>
    <mergeCell ref="H4:I4"/>
    <mergeCell ref="Y4:Z4"/>
    <mergeCell ref="O4:O5"/>
    <mergeCell ref="P4:P5"/>
    <mergeCell ref="Q4:R4"/>
    <mergeCell ref="S4:T4"/>
    <mergeCell ref="U4:V4"/>
    <mergeCell ref="W4:X4"/>
  </mergeCells>
  <pageMargins left="0.7" right="0.7" top="0.75" bottom="0.75" header="0.3" footer="0.3"/>
  <pageSetup orientation="portrait" horizontalDpi="1200" verticalDpi="120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2" tint="-0.749992370372631"/>
  </sheetPr>
  <dimension ref="B2:AH131"/>
  <sheetViews>
    <sheetView showGridLines="0" topLeftCell="E1" zoomScaleNormal="100" workbookViewId="0">
      <selection activeCell="O23" sqref="O23"/>
    </sheetView>
  </sheetViews>
  <sheetFormatPr defaultRowHeight="12.75" x14ac:dyDescent="0.2"/>
  <cols>
    <col min="1" max="1" width="3.5703125" style="4" customWidth="1"/>
    <col min="2" max="2" width="27.28515625" style="4" customWidth="1"/>
    <col min="3" max="3" width="11.42578125" style="4" bestFit="1" customWidth="1"/>
    <col min="4" max="4" width="9.140625" style="4"/>
    <col min="5" max="5" width="11.140625" style="4" bestFit="1" customWidth="1"/>
    <col min="6" max="9" width="9.140625" style="4"/>
    <col min="10" max="10" width="10.5703125" style="4" bestFit="1" customWidth="1"/>
    <col min="11" max="11" width="7.7109375" style="4" bestFit="1" customWidth="1"/>
    <col min="12" max="12" width="9.42578125" style="4" customWidth="1"/>
    <col min="13" max="14" width="9.140625" style="4"/>
    <col min="15" max="15" width="15.85546875" style="12" customWidth="1"/>
    <col min="16" max="16" width="16.85546875" style="4" customWidth="1"/>
    <col min="17" max="17" width="16" style="4" customWidth="1"/>
    <col min="18" max="18" width="13.28515625" style="4" customWidth="1"/>
    <col min="23" max="24" width="9.140625" style="4"/>
    <col min="25" max="25" width="0" style="4" hidden="1" customWidth="1"/>
    <col min="26" max="16384" width="9.140625" style="4"/>
  </cols>
  <sheetData>
    <row r="2" spans="2:34" x14ac:dyDescent="0.2">
      <c r="B2" s="56" t="s">
        <v>285</v>
      </c>
    </row>
    <row r="3" spans="2:34" ht="12.75" customHeight="1" x14ac:dyDescent="0.2">
      <c r="J3" s="481" t="s">
        <v>271</v>
      </c>
    </row>
    <row r="4" spans="2:34" x14ac:dyDescent="0.2">
      <c r="J4" s="482">
        <v>1</v>
      </c>
      <c r="P4" s="688" t="s">
        <v>223</v>
      </c>
      <c r="Q4" s="688"/>
    </row>
    <row r="5" spans="2:34" x14ac:dyDescent="0.2">
      <c r="C5" s="4" t="s">
        <v>36</v>
      </c>
      <c r="E5" s="685" t="s">
        <v>3</v>
      </c>
      <c r="F5" s="685"/>
      <c r="G5" s="685"/>
      <c r="H5" s="685"/>
      <c r="I5" s="685"/>
      <c r="J5" s="686" t="str">
        <f>IF(J4=1,"Entire Region", "Subarea")</f>
        <v>Entire Region</v>
      </c>
      <c r="K5" s="686"/>
      <c r="L5" s="686"/>
      <c r="M5" s="686"/>
      <c r="N5" s="687"/>
      <c r="O5" s="684" t="s">
        <v>246</v>
      </c>
      <c r="P5" s="688"/>
      <c r="Q5" s="688"/>
      <c r="Y5" s="4" t="s">
        <v>4</v>
      </c>
    </row>
    <row r="6" spans="2:34" x14ac:dyDescent="0.2">
      <c r="B6" s="316"/>
      <c r="C6" s="317" t="s">
        <v>19</v>
      </c>
      <c r="D6" s="319" t="s">
        <v>20</v>
      </c>
      <c r="E6" s="460" t="s">
        <v>24</v>
      </c>
      <c r="F6" s="461" t="s">
        <v>25</v>
      </c>
      <c r="G6" s="461" t="s">
        <v>21</v>
      </c>
      <c r="H6" s="461" t="s">
        <v>22</v>
      </c>
      <c r="I6" s="462" t="s">
        <v>23</v>
      </c>
      <c r="J6" s="440" t="str">
        <f>E6</f>
        <v>population</v>
      </c>
      <c r="K6" s="440" t="str">
        <f>F6</f>
        <v>deaths</v>
      </c>
      <c r="L6" s="440" t="str">
        <f>G6</f>
        <v>yll</v>
      </c>
      <c r="M6" s="440" t="str">
        <f>H6</f>
        <v>yld</v>
      </c>
      <c r="N6" s="440" t="str">
        <f>I6</f>
        <v>daly</v>
      </c>
      <c r="O6" s="684"/>
      <c r="P6" s="438" t="str">
        <f>J5</f>
        <v>Entire Region</v>
      </c>
      <c r="Q6" s="439" t="s">
        <v>3</v>
      </c>
      <c r="W6"/>
      <c r="X6"/>
      <c r="Y6" t="s">
        <v>245</v>
      </c>
      <c r="Z6"/>
      <c r="AB6"/>
      <c r="AC6"/>
      <c r="AD6"/>
      <c r="AE6"/>
      <c r="AF6"/>
      <c r="AG6"/>
      <c r="AH6"/>
    </row>
    <row r="7" spans="2:34" x14ac:dyDescent="0.2">
      <c r="B7" s="5" t="s">
        <v>5</v>
      </c>
      <c r="C7" s="3">
        <v>2</v>
      </c>
      <c r="D7" s="320" t="s">
        <v>6</v>
      </c>
      <c r="E7" s="15">
        <v>9881935</v>
      </c>
      <c r="F7" s="17">
        <v>0</v>
      </c>
      <c r="G7" s="16">
        <v>0</v>
      </c>
      <c r="H7" s="16">
        <v>0</v>
      </c>
      <c r="I7" s="408">
        <f t="shared" ref="I7:I22" si="0">G7+H7</f>
        <v>0</v>
      </c>
      <c r="J7" s="468">
        <f>IF($J$4=1,InputPopulationDeaths!E16,InputPopulationDeaths!F16)</f>
        <v>38504</v>
      </c>
      <c r="K7" s="502">
        <f>IF($J$4=1,InputPopulationDeaths!J16,InputPopulationDeaths!K16)</f>
        <v>0</v>
      </c>
      <c r="L7" s="13">
        <f t="shared" ref="L7:L38" si="1">$O7*G7/$E7*$J7</f>
        <v>0</v>
      </c>
      <c r="M7" s="13">
        <f t="shared" ref="M7:M38" si="2">$O7*H7/$E7*$J7</f>
        <v>0</v>
      </c>
      <c r="N7" s="409">
        <f t="shared" ref="N7:N38" si="3">$O7*I7/$E7*$J7</f>
        <v>0</v>
      </c>
      <c r="O7" s="318">
        <f t="shared" ref="O7:O38" si="4">IF(OR(F7 = 0, K7 = 0),1,(K7/J7)/(F7/E7))</f>
        <v>1</v>
      </c>
      <c r="P7" s="380">
        <f t="shared" ref="P7:P22" si="5">K7/J7*100000</f>
        <v>0</v>
      </c>
      <c r="Q7" s="380">
        <f>(F7/E7)*100000</f>
        <v>0</v>
      </c>
    </row>
    <row r="8" spans="2:34" x14ac:dyDescent="0.2">
      <c r="B8" s="5" t="s">
        <v>5</v>
      </c>
      <c r="C8" s="3">
        <v>2</v>
      </c>
      <c r="D8" s="320" t="s">
        <v>7</v>
      </c>
      <c r="E8" s="15">
        <v>20056351</v>
      </c>
      <c r="F8" s="17">
        <v>0</v>
      </c>
      <c r="G8" s="16">
        <v>0</v>
      </c>
      <c r="H8" s="16">
        <v>0</v>
      </c>
      <c r="I8" s="408">
        <f t="shared" si="0"/>
        <v>0</v>
      </c>
      <c r="J8" s="468">
        <f>IF($J$4=1,InputPopulationDeaths!E17,InputPopulationDeaths!F17)</f>
        <v>73835</v>
      </c>
      <c r="K8" s="502">
        <f>IF($J$4=1,InputPopulationDeaths!J17,InputPopulationDeaths!K17)</f>
        <v>0</v>
      </c>
      <c r="L8" s="13">
        <f t="shared" si="1"/>
        <v>0</v>
      </c>
      <c r="M8" s="13">
        <f t="shared" si="2"/>
        <v>0</v>
      </c>
      <c r="N8" s="409">
        <f t="shared" si="3"/>
        <v>0</v>
      </c>
      <c r="O8" s="318">
        <f t="shared" si="4"/>
        <v>1</v>
      </c>
      <c r="P8" s="380">
        <f t="shared" si="5"/>
        <v>0</v>
      </c>
      <c r="Q8" s="380">
        <f t="shared" ref="Q8:Q54" si="6">(F8/E8)*100000</f>
        <v>0</v>
      </c>
    </row>
    <row r="9" spans="2:34" x14ac:dyDescent="0.2">
      <c r="B9" s="5" t="s">
        <v>5</v>
      </c>
      <c r="C9" s="3">
        <v>2</v>
      </c>
      <c r="D9" s="320" t="s">
        <v>8</v>
      </c>
      <c r="E9" s="15">
        <v>31774758</v>
      </c>
      <c r="F9" s="17">
        <v>0</v>
      </c>
      <c r="G9" s="16">
        <v>0</v>
      </c>
      <c r="H9" s="16">
        <v>0</v>
      </c>
      <c r="I9" s="408">
        <f t="shared" si="0"/>
        <v>0</v>
      </c>
      <c r="J9" s="468">
        <f>IF($J$4=1,InputPopulationDeaths!E18,InputPopulationDeaths!F18)</f>
        <v>110381</v>
      </c>
      <c r="K9" s="502">
        <f>IF($J$4=1,InputPopulationDeaths!J18,InputPopulationDeaths!K18)</f>
        <v>0</v>
      </c>
      <c r="L9" s="13">
        <f t="shared" si="1"/>
        <v>0</v>
      </c>
      <c r="M9" s="13">
        <f t="shared" si="2"/>
        <v>0</v>
      </c>
      <c r="N9" s="409">
        <f t="shared" si="3"/>
        <v>0</v>
      </c>
      <c r="O9" s="318">
        <f t="shared" si="4"/>
        <v>1</v>
      </c>
      <c r="P9" s="380">
        <f t="shared" si="5"/>
        <v>0</v>
      </c>
      <c r="Q9" s="380">
        <f t="shared" si="6"/>
        <v>0</v>
      </c>
    </row>
    <row r="10" spans="2:34" x14ac:dyDescent="0.2">
      <c r="B10" s="5" t="s">
        <v>5</v>
      </c>
      <c r="C10" s="3">
        <v>2</v>
      </c>
      <c r="D10" s="320" t="s">
        <v>9</v>
      </c>
      <c r="E10" s="15">
        <v>30600206</v>
      </c>
      <c r="F10" s="17">
        <v>0</v>
      </c>
      <c r="G10" s="16">
        <v>0</v>
      </c>
      <c r="H10" s="16">
        <v>0</v>
      </c>
      <c r="I10" s="408">
        <f t="shared" si="0"/>
        <v>0</v>
      </c>
      <c r="J10" s="468">
        <f>IF($J$4=1,InputPopulationDeaths!E19,InputPopulationDeaths!F19)</f>
        <v>87117</v>
      </c>
      <c r="K10" s="502">
        <f>IF($J$4=1,InputPopulationDeaths!J19,InputPopulationDeaths!K19)</f>
        <v>0</v>
      </c>
      <c r="L10" s="13">
        <f t="shared" si="1"/>
        <v>0</v>
      </c>
      <c r="M10" s="13">
        <f t="shared" si="2"/>
        <v>0</v>
      </c>
      <c r="N10" s="409">
        <f t="shared" si="3"/>
        <v>0</v>
      </c>
      <c r="O10" s="318">
        <f t="shared" si="4"/>
        <v>1</v>
      </c>
      <c r="P10" s="380">
        <f t="shared" si="5"/>
        <v>0</v>
      </c>
      <c r="Q10" s="380">
        <f t="shared" si="6"/>
        <v>0</v>
      </c>
    </row>
    <row r="11" spans="2:34" x14ac:dyDescent="0.2">
      <c r="B11" s="5" t="s">
        <v>5</v>
      </c>
      <c r="C11" s="3">
        <v>2</v>
      </c>
      <c r="D11" s="320" t="s">
        <v>10</v>
      </c>
      <c r="E11" s="15">
        <v>33005514</v>
      </c>
      <c r="F11" s="17">
        <v>0</v>
      </c>
      <c r="G11" s="16">
        <v>0</v>
      </c>
      <c r="H11" s="16">
        <v>0</v>
      </c>
      <c r="I11" s="408">
        <f t="shared" si="0"/>
        <v>0</v>
      </c>
      <c r="J11" s="468">
        <f>IF($J$4=1,InputPopulationDeaths!E20,InputPopulationDeaths!F20)</f>
        <v>82694</v>
      </c>
      <c r="K11" s="502">
        <f>IF($J$4=1,InputPopulationDeaths!J20,InputPopulationDeaths!K20)</f>
        <v>0</v>
      </c>
      <c r="L11" s="13">
        <f t="shared" si="1"/>
        <v>0</v>
      </c>
      <c r="M11" s="13">
        <f t="shared" si="2"/>
        <v>0</v>
      </c>
      <c r="N11" s="409">
        <f t="shared" si="3"/>
        <v>0</v>
      </c>
      <c r="O11" s="318">
        <f t="shared" si="4"/>
        <v>1</v>
      </c>
      <c r="P11" s="380">
        <f t="shared" si="5"/>
        <v>0</v>
      </c>
      <c r="Q11" s="380">
        <f t="shared" si="6"/>
        <v>0</v>
      </c>
    </row>
    <row r="12" spans="2:34" x14ac:dyDescent="0.2">
      <c r="B12" s="5" t="s">
        <v>5</v>
      </c>
      <c r="C12" s="3">
        <v>2</v>
      </c>
      <c r="D12" s="320" t="s">
        <v>11</v>
      </c>
      <c r="E12" s="15">
        <v>15323140</v>
      </c>
      <c r="F12" s="17">
        <v>0</v>
      </c>
      <c r="G12" s="16">
        <v>0</v>
      </c>
      <c r="H12" s="16">
        <v>0</v>
      </c>
      <c r="I12" s="408">
        <f t="shared" si="0"/>
        <v>0</v>
      </c>
      <c r="J12" s="468">
        <f>IF($J$4=1,InputPopulationDeaths!E21,InputPopulationDeaths!F21)</f>
        <v>35399</v>
      </c>
      <c r="K12" s="502">
        <f>IF($J$4=1,InputPopulationDeaths!J21,InputPopulationDeaths!K21)</f>
        <v>0</v>
      </c>
      <c r="L12" s="13">
        <f t="shared" si="1"/>
        <v>0</v>
      </c>
      <c r="M12" s="13">
        <f t="shared" si="2"/>
        <v>0</v>
      </c>
      <c r="N12" s="409">
        <f t="shared" si="3"/>
        <v>0</v>
      </c>
      <c r="O12" s="318">
        <f t="shared" si="4"/>
        <v>1</v>
      </c>
      <c r="P12" s="380">
        <f t="shared" si="5"/>
        <v>0</v>
      </c>
      <c r="Q12" s="380">
        <f t="shared" si="6"/>
        <v>0</v>
      </c>
    </row>
    <row r="13" spans="2:34" x14ac:dyDescent="0.2">
      <c r="B13" s="5" t="s">
        <v>5</v>
      </c>
      <c r="C13" s="3">
        <v>2</v>
      </c>
      <c r="D13" s="320" t="s">
        <v>12</v>
      </c>
      <c r="E13" s="15">
        <v>9169601</v>
      </c>
      <c r="F13" s="17">
        <v>0</v>
      </c>
      <c r="G13" s="16">
        <v>0</v>
      </c>
      <c r="H13" s="16">
        <v>0</v>
      </c>
      <c r="I13" s="408">
        <f t="shared" si="0"/>
        <v>0</v>
      </c>
      <c r="J13" s="468">
        <f>IF($J$4=1,InputPopulationDeaths!E22,InputPopulationDeaths!F22)</f>
        <v>20855</v>
      </c>
      <c r="K13" s="502">
        <f>IF($J$4=1,InputPopulationDeaths!J22,InputPopulationDeaths!K22)</f>
        <v>0</v>
      </c>
      <c r="L13" s="13">
        <f t="shared" si="1"/>
        <v>0</v>
      </c>
      <c r="M13" s="13">
        <f t="shared" si="2"/>
        <v>0</v>
      </c>
      <c r="N13" s="409">
        <f t="shared" si="3"/>
        <v>0</v>
      </c>
      <c r="O13" s="318">
        <f t="shared" si="4"/>
        <v>1</v>
      </c>
      <c r="P13" s="380">
        <f t="shared" si="5"/>
        <v>0</v>
      </c>
      <c r="Q13" s="380">
        <f t="shared" si="6"/>
        <v>0</v>
      </c>
    </row>
    <row r="14" spans="2:34" x14ac:dyDescent="0.2">
      <c r="B14" s="5" t="s">
        <v>5</v>
      </c>
      <c r="C14" s="3">
        <v>2</v>
      </c>
      <c r="D14" s="320" t="s">
        <v>13</v>
      </c>
      <c r="E14" s="15">
        <v>7152707</v>
      </c>
      <c r="F14" s="17">
        <v>0</v>
      </c>
      <c r="G14" s="16">
        <v>0</v>
      </c>
      <c r="H14" s="16">
        <v>0</v>
      </c>
      <c r="I14" s="408">
        <f t="shared" si="0"/>
        <v>0</v>
      </c>
      <c r="J14" s="468">
        <f>IF($J$4=1,InputPopulationDeaths!E23,InputPopulationDeaths!F23)</f>
        <v>16854</v>
      </c>
      <c r="K14" s="502">
        <f>IF($J$4=1,InputPopulationDeaths!J23,InputPopulationDeaths!K23)</f>
        <v>0</v>
      </c>
      <c r="L14" s="13">
        <f t="shared" si="1"/>
        <v>0</v>
      </c>
      <c r="M14" s="13">
        <f t="shared" si="2"/>
        <v>0</v>
      </c>
      <c r="N14" s="409">
        <f t="shared" si="3"/>
        <v>0</v>
      </c>
      <c r="O14" s="318">
        <f t="shared" si="4"/>
        <v>1</v>
      </c>
      <c r="P14" s="380">
        <f t="shared" si="5"/>
        <v>0</v>
      </c>
      <c r="Q14" s="380">
        <f t="shared" si="6"/>
        <v>0</v>
      </c>
    </row>
    <row r="15" spans="2:34" x14ac:dyDescent="0.2">
      <c r="B15" s="5" t="s">
        <v>5</v>
      </c>
      <c r="C15" s="3">
        <v>1</v>
      </c>
      <c r="D15" s="320" t="s">
        <v>6</v>
      </c>
      <c r="E15" s="15">
        <v>10319427</v>
      </c>
      <c r="F15" s="16">
        <v>0</v>
      </c>
      <c r="G15" s="16">
        <v>0</v>
      </c>
      <c r="H15" s="16">
        <v>0</v>
      </c>
      <c r="I15" s="408">
        <f t="shared" si="0"/>
        <v>0</v>
      </c>
      <c r="J15" s="468">
        <f>IF($J$4=1,InputPopulationDeaths!E24,InputPopulationDeaths!F24)</f>
        <v>40476</v>
      </c>
      <c r="K15" s="502">
        <f>IF($J$4=1,InputPopulationDeaths!J24,InputPopulationDeaths!K24)</f>
        <v>0</v>
      </c>
      <c r="L15" s="13">
        <f t="shared" si="1"/>
        <v>0</v>
      </c>
      <c r="M15" s="13">
        <f t="shared" si="2"/>
        <v>0</v>
      </c>
      <c r="N15" s="409">
        <f t="shared" si="3"/>
        <v>0</v>
      </c>
      <c r="O15" s="318">
        <f t="shared" si="4"/>
        <v>1</v>
      </c>
      <c r="P15" s="380">
        <f t="shared" si="5"/>
        <v>0</v>
      </c>
      <c r="Q15" s="380">
        <f t="shared" si="6"/>
        <v>0</v>
      </c>
      <c r="R15"/>
    </row>
    <row r="16" spans="2:34" x14ac:dyDescent="0.2">
      <c r="B16" s="5" t="s">
        <v>5</v>
      </c>
      <c r="C16" s="3">
        <v>1</v>
      </c>
      <c r="D16" s="320" t="s">
        <v>7</v>
      </c>
      <c r="E16" s="15">
        <v>20969500</v>
      </c>
      <c r="F16" s="16">
        <v>0</v>
      </c>
      <c r="G16" s="16">
        <v>0</v>
      </c>
      <c r="H16" s="16">
        <v>0</v>
      </c>
      <c r="I16" s="408">
        <f t="shared" si="0"/>
        <v>0</v>
      </c>
      <c r="J16" s="468">
        <f>IF($J$4=1,InputPopulationDeaths!E25,InputPopulationDeaths!F25)</f>
        <v>76614</v>
      </c>
      <c r="K16" s="502">
        <f>IF($J$4=1,InputPopulationDeaths!J25,InputPopulationDeaths!K25)</f>
        <v>0</v>
      </c>
      <c r="L16" s="13">
        <f t="shared" si="1"/>
        <v>0</v>
      </c>
      <c r="M16" s="13">
        <f t="shared" si="2"/>
        <v>0</v>
      </c>
      <c r="N16" s="409">
        <f t="shared" si="3"/>
        <v>0</v>
      </c>
      <c r="O16" s="318">
        <f t="shared" si="4"/>
        <v>1</v>
      </c>
      <c r="P16" s="380">
        <f t="shared" si="5"/>
        <v>0</v>
      </c>
      <c r="Q16" s="380">
        <f t="shared" si="6"/>
        <v>0</v>
      </c>
      <c r="R16"/>
    </row>
    <row r="17" spans="2:18" x14ac:dyDescent="0.2">
      <c r="B17" s="5" t="s">
        <v>5</v>
      </c>
      <c r="C17" s="3">
        <v>1</v>
      </c>
      <c r="D17" s="320" t="s">
        <v>8</v>
      </c>
      <c r="E17" s="15">
        <v>32953433</v>
      </c>
      <c r="F17" s="16">
        <v>94.716930000000005</v>
      </c>
      <c r="G17" s="16">
        <v>5665.1390000000001</v>
      </c>
      <c r="H17" s="16">
        <v>300.30263000000002</v>
      </c>
      <c r="I17" s="408">
        <f t="shared" si="0"/>
        <v>5965.4416300000003</v>
      </c>
      <c r="J17" s="468">
        <f>IF($J$4=1,InputPopulationDeaths!E26,InputPopulationDeaths!F26)</f>
        <v>116710</v>
      </c>
      <c r="K17" s="502">
        <f>IF($J$4=1,InputPopulationDeaths!J26,InputPopulationDeaths!K26)</f>
        <v>0</v>
      </c>
      <c r="L17" s="13">
        <f t="shared" si="1"/>
        <v>20.064021029007812</v>
      </c>
      <c r="M17" s="13">
        <f t="shared" si="2"/>
        <v>1.0635711292143675</v>
      </c>
      <c r="N17" s="409">
        <f t="shared" si="3"/>
        <v>21.127592158222182</v>
      </c>
      <c r="O17" s="318">
        <f t="shared" si="4"/>
        <v>1</v>
      </c>
      <c r="P17" s="380">
        <f t="shared" si="5"/>
        <v>0</v>
      </c>
      <c r="Q17" s="380">
        <f t="shared" si="6"/>
        <v>0.28742659376338725</v>
      </c>
      <c r="R17"/>
    </row>
    <row r="18" spans="2:18" x14ac:dyDescent="0.2">
      <c r="B18" s="5" t="s">
        <v>5</v>
      </c>
      <c r="C18" s="3">
        <v>1</v>
      </c>
      <c r="D18" s="320" t="s">
        <v>9</v>
      </c>
      <c r="E18" s="15">
        <v>30432499</v>
      </c>
      <c r="F18" s="16">
        <v>2492.761</v>
      </c>
      <c r="G18" s="16">
        <v>116347.2</v>
      </c>
      <c r="H18" s="16">
        <v>8597.7450000000008</v>
      </c>
      <c r="I18" s="408">
        <f t="shared" si="0"/>
        <v>124944.94499999999</v>
      </c>
      <c r="J18" s="468">
        <f>IF($J$4=1,InputPopulationDeaths!E27,InputPopulationDeaths!F27)</f>
        <v>89486</v>
      </c>
      <c r="K18" s="502">
        <f>IF($J$4=1,InputPopulationDeaths!J27,InputPopulationDeaths!K27)</f>
        <v>3</v>
      </c>
      <c r="L18" s="13">
        <f t="shared" si="1"/>
        <v>140.02208795789088</v>
      </c>
      <c r="M18" s="13">
        <f t="shared" si="2"/>
        <v>10.347255513063628</v>
      </c>
      <c r="N18" s="409">
        <f t="shared" si="3"/>
        <v>150.36934347095448</v>
      </c>
      <c r="O18" s="318">
        <f t="shared" si="4"/>
        <v>0.40928246089484438</v>
      </c>
      <c r="P18" s="380">
        <f t="shared" si="5"/>
        <v>3.352479717497709</v>
      </c>
      <c r="Q18" s="380">
        <f t="shared" si="6"/>
        <v>8.191115031335416</v>
      </c>
      <c r="R18"/>
    </row>
    <row r="19" spans="2:18" x14ac:dyDescent="0.2">
      <c r="B19" s="5" t="s">
        <v>5</v>
      </c>
      <c r="C19" s="3">
        <v>1</v>
      </c>
      <c r="D19" s="320" t="s">
        <v>10</v>
      </c>
      <c r="E19" s="15">
        <v>31666007</v>
      </c>
      <c r="F19" s="16">
        <v>10670.67</v>
      </c>
      <c r="G19" s="16">
        <v>361032</v>
      </c>
      <c r="H19" s="16">
        <v>42267.199999999997</v>
      </c>
      <c r="I19" s="408">
        <f t="shared" si="0"/>
        <v>403299.2</v>
      </c>
      <c r="J19" s="468">
        <f>IF($J$4=1,InputPopulationDeaths!E28,InputPopulationDeaths!F28)</f>
        <v>81265</v>
      </c>
      <c r="K19" s="502">
        <f>IF($J$4=1,InputPopulationDeaths!J28,InputPopulationDeaths!K28)</f>
        <v>21</v>
      </c>
      <c r="L19" s="13">
        <f t="shared" si="1"/>
        <v>710.51508480723328</v>
      </c>
      <c r="M19" s="13">
        <f t="shared" si="2"/>
        <v>83.182330631534853</v>
      </c>
      <c r="N19" s="409">
        <f t="shared" si="3"/>
        <v>793.69741543876819</v>
      </c>
      <c r="O19" s="318">
        <f t="shared" si="4"/>
        <v>0.7668622673750537</v>
      </c>
      <c r="P19" s="380">
        <f t="shared" si="5"/>
        <v>25.84138312926844</v>
      </c>
      <c r="Q19" s="380">
        <f t="shared" si="6"/>
        <v>33.69755460484803</v>
      </c>
      <c r="R19"/>
    </row>
    <row r="20" spans="2:18" x14ac:dyDescent="0.2">
      <c r="B20" s="5" t="s">
        <v>5</v>
      </c>
      <c r="C20" s="3">
        <v>1</v>
      </c>
      <c r="D20" s="320" t="s">
        <v>11</v>
      </c>
      <c r="E20" s="15">
        <v>13930047</v>
      </c>
      <c r="F20" s="16">
        <v>9557.9599999999991</v>
      </c>
      <c r="G20" s="16">
        <v>223173.7</v>
      </c>
      <c r="H20" s="16">
        <v>39838.800000000003</v>
      </c>
      <c r="I20" s="408">
        <f t="shared" si="0"/>
        <v>263012.5</v>
      </c>
      <c r="J20" s="468">
        <f>IF($J$4=1,InputPopulationDeaths!E29,InputPopulationDeaths!F29)</f>
        <v>33077</v>
      </c>
      <c r="K20" s="502">
        <f>IF($J$4=1,InputPopulationDeaths!J29,InputPopulationDeaths!K29)</f>
        <v>18</v>
      </c>
      <c r="L20" s="13">
        <f t="shared" si="1"/>
        <v>420.29121276925207</v>
      </c>
      <c r="M20" s="13">
        <f t="shared" si="2"/>
        <v>75.02630268383632</v>
      </c>
      <c r="N20" s="409">
        <f t="shared" si="3"/>
        <v>495.31751545308845</v>
      </c>
      <c r="O20" s="318">
        <f t="shared" si="4"/>
        <v>0.7931106193723213</v>
      </c>
      <c r="P20" s="380">
        <f t="shared" si="5"/>
        <v>54.418478096562566</v>
      </c>
      <c r="Q20" s="380">
        <f t="shared" si="6"/>
        <v>68.613982422313427</v>
      </c>
      <c r="R20"/>
    </row>
    <row r="21" spans="2:18" x14ac:dyDescent="0.2">
      <c r="B21" s="5" t="s">
        <v>5</v>
      </c>
      <c r="C21" s="3">
        <v>1</v>
      </c>
      <c r="D21" s="320" t="s">
        <v>12</v>
      </c>
      <c r="E21" s="15">
        <v>7426360</v>
      </c>
      <c r="F21" s="16">
        <v>8317.74</v>
      </c>
      <c r="G21" s="16">
        <v>122873.9</v>
      </c>
      <c r="H21" s="16">
        <v>34594.9</v>
      </c>
      <c r="I21" s="408">
        <f t="shared" si="0"/>
        <v>157468.79999999999</v>
      </c>
      <c r="J21" s="468">
        <f>IF($J$4=1,InputPopulationDeaths!E30,InputPopulationDeaths!F30)</f>
        <v>16815</v>
      </c>
      <c r="K21" s="502">
        <f>IF($J$4=1,InputPopulationDeaths!J30,InputPopulationDeaths!K30)</f>
        <v>11</v>
      </c>
      <c r="L21" s="13">
        <f t="shared" si="1"/>
        <v>162.49761353444563</v>
      </c>
      <c r="M21" s="13">
        <f t="shared" si="2"/>
        <v>45.750877041119338</v>
      </c>
      <c r="N21" s="409">
        <f t="shared" si="3"/>
        <v>208.24849057556494</v>
      </c>
      <c r="O21" s="318">
        <f t="shared" si="4"/>
        <v>0.58407211288303262</v>
      </c>
      <c r="P21" s="380">
        <f t="shared" si="5"/>
        <v>65.417781742491826</v>
      </c>
      <c r="Q21" s="380">
        <f t="shared" si="6"/>
        <v>112.00291933060073</v>
      </c>
      <c r="R21"/>
    </row>
    <row r="22" spans="2:18" x14ac:dyDescent="0.2">
      <c r="B22" s="5" t="s">
        <v>5</v>
      </c>
      <c r="C22" s="3">
        <v>1</v>
      </c>
      <c r="D22" s="320" t="s">
        <v>13</v>
      </c>
      <c r="E22" s="15">
        <v>4084053</v>
      </c>
      <c r="F22" s="16">
        <v>11428</v>
      </c>
      <c r="G22" s="16">
        <v>62575</v>
      </c>
      <c r="H22" s="16">
        <v>35683.199999999997</v>
      </c>
      <c r="I22" s="408">
        <f t="shared" si="0"/>
        <v>98258.2</v>
      </c>
      <c r="J22" s="468">
        <f>IF($J$4=1,InputPopulationDeaths!E31,InputPopulationDeaths!F31)</f>
        <v>10368</v>
      </c>
      <c r="K22" s="502">
        <f>IF($J$4=1,InputPopulationDeaths!J31,InputPopulationDeaths!K31)</f>
        <v>26</v>
      </c>
      <c r="L22" s="13">
        <f t="shared" si="1"/>
        <v>142.36524326216309</v>
      </c>
      <c r="M22" s="13">
        <f t="shared" si="2"/>
        <v>81.183339166958348</v>
      </c>
      <c r="N22" s="409">
        <f t="shared" si="3"/>
        <v>223.54858242912144</v>
      </c>
      <c r="O22" s="318">
        <f t="shared" si="4"/>
        <v>0.8961887692185535</v>
      </c>
      <c r="P22" s="380">
        <f t="shared" si="5"/>
        <v>250.77160493827159</v>
      </c>
      <c r="Q22" s="380">
        <f t="shared" si="6"/>
        <v>279.82007089526019</v>
      </c>
      <c r="R22"/>
    </row>
    <row r="23" spans="2:18" x14ac:dyDescent="0.2">
      <c r="B23" s="5" t="s">
        <v>14</v>
      </c>
      <c r="C23" s="3"/>
      <c r="D23" s="320"/>
      <c r="E23" s="15">
        <f>SUM(E7:E22)</f>
        <v>308745538</v>
      </c>
      <c r="F23" s="15">
        <f>SUM(F7:F22)</f>
        <v>42561.847929999996</v>
      </c>
      <c r="G23" s="15">
        <f>SUM(G7:G22)</f>
        <v>891666.93900000001</v>
      </c>
      <c r="H23" s="15">
        <f>SUM(H7:H22)</f>
        <v>161282.14763000002</v>
      </c>
      <c r="I23" s="407">
        <f>SUM(I7:I22)</f>
        <v>1052949.08663</v>
      </c>
      <c r="J23" s="468">
        <f>IF($J$4=1,InputPopulationDeaths!E32,InputPopulationDeaths!F32)</f>
        <v>930450</v>
      </c>
      <c r="K23" s="502">
        <f>IF($J$4=1,InputPopulationDeaths!J32,InputPopulationDeaths!K32)</f>
        <v>79</v>
      </c>
      <c r="L23" s="13">
        <f t="shared" si="1"/>
        <v>1655.0429928900883</v>
      </c>
      <c r="M23" s="13">
        <f t="shared" si="2"/>
        <v>299.35940948158924</v>
      </c>
      <c r="N23" s="409">
        <f t="shared" si="3"/>
        <v>1954.4024023716772</v>
      </c>
      <c r="O23" s="318">
        <f t="shared" si="4"/>
        <v>0.6159057594224675</v>
      </c>
      <c r="P23" s="380">
        <f>SUMPRODUCT(P7:P22,E7:E22)/E23</f>
        <v>10.326789679302465</v>
      </c>
      <c r="Q23" s="380">
        <f t="shared" si="6"/>
        <v>13.785413128788278</v>
      </c>
      <c r="R23" s="9"/>
    </row>
    <row r="24" spans="2:18" x14ac:dyDescent="0.2">
      <c r="B24" s="5" t="s">
        <v>15</v>
      </c>
      <c r="C24" s="3">
        <v>2</v>
      </c>
      <c r="D24" s="320" t="s">
        <v>6</v>
      </c>
      <c r="E24" s="15">
        <v>9881935</v>
      </c>
      <c r="F24" s="16">
        <v>0</v>
      </c>
      <c r="G24" s="16">
        <v>0</v>
      </c>
      <c r="H24" s="16">
        <v>0</v>
      </c>
      <c r="I24" s="408">
        <f t="shared" ref="I24:I39" si="7">G24+H24</f>
        <v>0</v>
      </c>
      <c r="J24" s="468">
        <f>IF($J$4=1,InputPopulationDeaths!E33,InputPopulationDeaths!F33)</f>
        <v>38504</v>
      </c>
      <c r="K24" s="502">
        <f>IF($J$4=1,InputPopulationDeaths!J33,InputPopulationDeaths!K33)</f>
        <v>0</v>
      </c>
      <c r="L24" s="13">
        <f t="shared" si="1"/>
        <v>0</v>
      </c>
      <c r="M24" s="13">
        <f t="shared" si="2"/>
        <v>0</v>
      </c>
      <c r="N24" s="409">
        <f t="shared" si="3"/>
        <v>0</v>
      </c>
      <c r="O24" s="318">
        <f t="shared" si="4"/>
        <v>1</v>
      </c>
      <c r="P24" s="380">
        <f t="shared" ref="P24:P39" si="8">K24/J24*100000</f>
        <v>0</v>
      </c>
      <c r="Q24" s="380">
        <f t="shared" si="6"/>
        <v>0</v>
      </c>
      <c r="R24" s="9"/>
    </row>
    <row r="25" spans="2:18" x14ac:dyDescent="0.2">
      <c r="B25" s="5" t="s">
        <v>15</v>
      </c>
      <c r="C25" s="3">
        <v>2</v>
      </c>
      <c r="D25" s="320" t="s">
        <v>7</v>
      </c>
      <c r="E25" s="15">
        <v>20056351</v>
      </c>
      <c r="F25" s="16">
        <v>0</v>
      </c>
      <c r="G25" s="16">
        <v>0</v>
      </c>
      <c r="H25" s="16">
        <v>0</v>
      </c>
      <c r="I25" s="408">
        <f t="shared" si="7"/>
        <v>0</v>
      </c>
      <c r="J25" s="468">
        <f>IF($J$4=1,InputPopulationDeaths!E34,InputPopulationDeaths!F34)</f>
        <v>73835</v>
      </c>
      <c r="K25" s="502">
        <f>IF($J$4=1,InputPopulationDeaths!J34,InputPopulationDeaths!K34)</f>
        <v>0</v>
      </c>
      <c r="L25" s="13">
        <f t="shared" si="1"/>
        <v>0</v>
      </c>
      <c r="M25" s="13">
        <f t="shared" si="2"/>
        <v>0</v>
      </c>
      <c r="N25" s="409">
        <f t="shared" si="3"/>
        <v>0</v>
      </c>
      <c r="O25" s="318">
        <f t="shared" si="4"/>
        <v>1</v>
      </c>
      <c r="P25" s="380">
        <f t="shared" si="8"/>
        <v>0</v>
      </c>
      <c r="Q25" s="380">
        <f t="shared" si="6"/>
        <v>0</v>
      </c>
      <c r="R25" s="9"/>
    </row>
    <row r="26" spans="2:18" x14ac:dyDescent="0.2">
      <c r="B26" s="5" t="s">
        <v>15</v>
      </c>
      <c r="C26" s="3">
        <v>2</v>
      </c>
      <c r="D26" s="320" t="s">
        <v>8</v>
      </c>
      <c r="E26" s="15">
        <v>31774758</v>
      </c>
      <c r="F26" s="16">
        <v>103.2166</v>
      </c>
      <c r="G26" s="16">
        <v>6312.1040000000003</v>
      </c>
      <c r="H26" s="16">
        <v>146.88910000000001</v>
      </c>
      <c r="I26" s="408">
        <f t="shared" si="7"/>
        <v>6458.9931000000006</v>
      </c>
      <c r="J26" s="468">
        <f>IF($J$4=1,InputPopulationDeaths!E35,InputPopulationDeaths!F35)</f>
        <v>110381</v>
      </c>
      <c r="K26" s="502">
        <f>IF($J$4=1,InputPopulationDeaths!J35,InputPopulationDeaths!K35)</f>
        <v>1</v>
      </c>
      <c r="L26" s="13">
        <f t="shared" si="1"/>
        <v>61.153961668956356</v>
      </c>
      <c r="M26" s="13">
        <f t="shared" si="2"/>
        <v>1.4231150803262267</v>
      </c>
      <c r="N26" s="409">
        <f t="shared" si="3"/>
        <v>62.577076749282583</v>
      </c>
      <c r="O26" s="318">
        <f t="shared" si="4"/>
        <v>2.7889349080798409</v>
      </c>
      <c r="P26" s="380">
        <f t="shared" si="8"/>
        <v>0.905953017276524</v>
      </c>
      <c r="Q26" s="380">
        <f t="shared" si="6"/>
        <v>0.32483835124723842</v>
      </c>
      <c r="R26" s="9"/>
    </row>
    <row r="27" spans="2:18" x14ac:dyDescent="0.2">
      <c r="B27" s="5" t="s">
        <v>15</v>
      </c>
      <c r="C27" s="3">
        <v>2</v>
      </c>
      <c r="D27" s="320" t="s">
        <v>9</v>
      </c>
      <c r="E27" s="15">
        <v>30600206</v>
      </c>
      <c r="F27" s="16">
        <v>803.8</v>
      </c>
      <c r="G27" s="16">
        <v>37653.11</v>
      </c>
      <c r="H27" s="16">
        <v>1298.8050000000001</v>
      </c>
      <c r="I27" s="408">
        <f t="shared" si="7"/>
        <v>38951.915000000001</v>
      </c>
      <c r="J27" s="468">
        <f>IF($J$4=1,InputPopulationDeaths!E36,InputPopulationDeaths!F36)</f>
        <v>87117</v>
      </c>
      <c r="K27" s="502">
        <f>IF($J$4=1,InputPopulationDeaths!J36,InputPopulationDeaths!K36)</f>
        <v>0</v>
      </c>
      <c r="L27" s="13">
        <f t="shared" si="1"/>
        <v>107.19620592979015</v>
      </c>
      <c r="M27" s="13">
        <f t="shared" si="2"/>
        <v>3.6976220089825538</v>
      </c>
      <c r="N27" s="409">
        <f t="shared" si="3"/>
        <v>110.8938279387727</v>
      </c>
      <c r="O27" s="318">
        <f t="shared" si="4"/>
        <v>1</v>
      </c>
      <c r="P27" s="380">
        <f t="shared" si="8"/>
        <v>0</v>
      </c>
      <c r="Q27" s="380">
        <f t="shared" si="6"/>
        <v>2.6267797020712869</v>
      </c>
      <c r="R27" s="9"/>
    </row>
    <row r="28" spans="2:18" x14ac:dyDescent="0.2">
      <c r="B28" s="5" t="s">
        <v>15</v>
      </c>
      <c r="C28" s="3">
        <v>2</v>
      </c>
      <c r="D28" s="320" t="s">
        <v>10</v>
      </c>
      <c r="E28" s="15">
        <v>33005514</v>
      </c>
      <c r="F28" s="16">
        <v>5451.97</v>
      </c>
      <c r="G28" s="16">
        <v>181482.4</v>
      </c>
      <c r="H28" s="16">
        <v>8305.17</v>
      </c>
      <c r="I28" s="408">
        <f t="shared" si="7"/>
        <v>189787.57</v>
      </c>
      <c r="J28" s="468">
        <f>IF($J$4=1,InputPopulationDeaths!E37,InputPopulationDeaths!F37)</f>
        <v>82694</v>
      </c>
      <c r="K28" s="502">
        <f>IF($J$4=1,InputPopulationDeaths!J37,InputPopulationDeaths!K37)</f>
        <v>21</v>
      </c>
      <c r="L28" s="13">
        <f t="shared" si="1"/>
        <v>699.03730211281413</v>
      </c>
      <c r="M28" s="13">
        <f t="shared" si="2"/>
        <v>31.990009115970921</v>
      </c>
      <c r="N28" s="409">
        <f t="shared" si="3"/>
        <v>731.02731122878515</v>
      </c>
      <c r="O28" s="318">
        <f t="shared" si="4"/>
        <v>1.5373697733982417</v>
      </c>
      <c r="P28" s="380">
        <f t="shared" si="8"/>
        <v>25.394829129078289</v>
      </c>
      <c r="Q28" s="380">
        <f t="shared" si="6"/>
        <v>16.518361144140947</v>
      </c>
      <c r="R28" s="9"/>
    </row>
    <row r="29" spans="2:18" x14ac:dyDescent="0.2">
      <c r="B29" s="5" t="s">
        <v>15</v>
      </c>
      <c r="C29" s="3">
        <v>2</v>
      </c>
      <c r="D29" s="320" t="s">
        <v>11</v>
      </c>
      <c r="E29" s="15">
        <v>15323140</v>
      </c>
      <c r="F29" s="16">
        <v>7354.05</v>
      </c>
      <c r="G29" s="16">
        <v>170263.3</v>
      </c>
      <c r="H29" s="16">
        <v>9603.35</v>
      </c>
      <c r="I29" s="408">
        <f t="shared" si="7"/>
        <v>179866.65</v>
      </c>
      <c r="J29" s="468">
        <f>IF($J$4=1,InputPopulationDeaths!E38,InputPopulationDeaths!F38)</f>
        <v>35399</v>
      </c>
      <c r="K29" s="502">
        <f>IF($J$4=1,InputPopulationDeaths!J38,InputPopulationDeaths!K38)</f>
        <v>11</v>
      </c>
      <c r="L29" s="13">
        <f t="shared" si="1"/>
        <v>254.67549173584621</v>
      </c>
      <c r="M29" s="13">
        <f t="shared" si="2"/>
        <v>14.364445441627403</v>
      </c>
      <c r="N29" s="409">
        <f t="shared" si="3"/>
        <v>269.03993717747363</v>
      </c>
      <c r="O29" s="318">
        <f t="shared" si="4"/>
        <v>0.64747481877636748</v>
      </c>
      <c r="P29" s="380">
        <f t="shared" si="8"/>
        <v>31.074324133450098</v>
      </c>
      <c r="Q29" s="380">
        <f t="shared" si="6"/>
        <v>47.993100630810652</v>
      </c>
      <c r="R29" s="9"/>
    </row>
    <row r="30" spans="2:18" x14ac:dyDescent="0.2">
      <c r="B30" s="5" t="s">
        <v>15</v>
      </c>
      <c r="C30" s="3">
        <v>2</v>
      </c>
      <c r="D30" s="320" t="s">
        <v>12</v>
      </c>
      <c r="E30" s="15">
        <v>9169601</v>
      </c>
      <c r="F30" s="16">
        <v>8376.92</v>
      </c>
      <c r="G30" s="16">
        <v>123770.5</v>
      </c>
      <c r="H30" s="16">
        <v>9438.77</v>
      </c>
      <c r="I30" s="408">
        <f t="shared" si="7"/>
        <v>133209.26999999999</v>
      </c>
      <c r="J30" s="468">
        <f>IF($J$4=1,InputPopulationDeaths!E39,InputPopulationDeaths!F39)</f>
        <v>20855</v>
      </c>
      <c r="K30" s="502">
        <f>IF($J$4=1,InputPopulationDeaths!J39,InputPopulationDeaths!K39)</f>
        <v>21</v>
      </c>
      <c r="L30" s="13">
        <f t="shared" si="1"/>
        <v>310.27877788017548</v>
      </c>
      <c r="M30" s="13">
        <f t="shared" si="2"/>
        <v>23.661938994284291</v>
      </c>
      <c r="N30" s="409">
        <f t="shared" si="3"/>
        <v>333.94071687445972</v>
      </c>
      <c r="O30" s="318">
        <f t="shared" si="4"/>
        <v>1.1022374713709304</v>
      </c>
      <c r="P30" s="380">
        <f t="shared" si="8"/>
        <v>100.69527691201151</v>
      </c>
      <c r="Q30" s="380">
        <f t="shared" si="6"/>
        <v>91.35533814393888</v>
      </c>
      <c r="R30" s="9"/>
    </row>
    <row r="31" spans="2:18" x14ac:dyDescent="0.2">
      <c r="B31" s="5" t="s">
        <v>15</v>
      </c>
      <c r="C31" s="3">
        <v>2</v>
      </c>
      <c r="D31" s="320" t="s">
        <v>13</v>
      </c>
      <c r="E31" s="15">
        <v>7152707</v>
      </c>
      <c r="F31" s="16">
        <v>9741.3700000000008</v>
      </c>
      <c r="G31" s="16">
        <v>62005.5</v>
      </c>
      <c r="H31" s="16">
        <v>8061.82</v>
      </c>
      <c r="I31" s="408">
        <f t="shared" si="7"/>
        <v>70067.320000000007</v>
      </c>
      <c r="J31" s="468">
        <f>IF($J$4=1,InputPopulationDeaths!E40,InputPopulationDeaths!F40)</f>
        <v>16854</v>
      </c>
      <c r="K31" s="502">
        <f>IF($J$4=1,InputPopulationDeaths!J40,InputPopulationDeaths!K40)</f>
        <v>16</v>
      </c>
      <c r="L31" s="13">
        <f t="shared" si="1"/>
        <v>101.84275928334515</v>
      </c>
      <c r="M31" s="13">
        <f t="shared" si="2"/>
        <v>13.2413736466226</v>
      </c>
      <c r="N31" s="409">
        <f t="shared" si="3"/>
        <v>115.08413292996775</v>
      </c>
      <c r="O31" s="318">
        <f t="shared" si="4"/>
        <v>0.69705554943119874</v>
      </c>
      <c r="P31" s="380">
        <f t="shared" si="8"/>
        <v>94.932953601518932</v>
      </c>
      <c r="Q31" s="380">
        <f t="shared" si="6"/>
        <v>136.19137481795354</v>
      </c>
      <c r="R31" s="9"/>
    </row>
    <row r="32" spans="2:18" x14ac:dyDescent="0.2">
      <c r="B32" s="5" t="s">
        <v>15</v>
      </c>
      <c r="C32" s="3">
        <v>1</v>
      </c>
      <c r="D32" s="320" t="s">
        <v>6</v>
      </c>
      <c r="E32" s="15">
        <v>10319427</v>
      </c>
      <c r="F32" s="16">
        <v>0</v>
      </c>
      <c r="G32" s="16">
        <v>0</v>
      </c>
      <c r="H32" s="16">
        <v>0</v>
      </c>
      <c r="I32" s="408">
        <f t="shared" si="7"/>
        <v>0</v>
      </c>
      <c r="J32" s="468">
        <f>IF($J$4=1,InputPopulationDeaths!E41,InputPopulationDeaths!F41)</f>
        <v>40476</v>
      </c>
      <c r="K32" s="502">
        <f>IF($J$4=1,InputPopulationDeaths!J41,InputPopulationDeaths!K41)</f>
        <v>0</v>
      </c>
      <c r="L32" s="13">
        <f t="shared" si="1"/>
        <v>0</v>
      </c>
      <c r="M32" s="13">
        <f t="shared" si="2"/>
        <v>0</v>
      </c>
      <c r="N32" s="409">
        <f t="shared" si="3"/>
        <v>0</v>
      </c>
      <c r="O32" s="318">
        <f t="shared" si="4"/>
        <v>1</v>
      </c>
      <c r="P32" s="380">
        <f t="shared" si="8"/>
        <v>0</v>
      </c>
      <c r="Q32" s="380">
        <f t="shared" si="6"/>
        <v>0</v>
      </c>
      <c r="R32" s="9"/>
    </row>
    <row r="33" spans="2:18" x14ac:dyDescent="0.2">
      <c r="B33" s="5" t="s">
        <v>15</v>
      </c>
      <c r="C33" s="3">
        <v>1</v>
      </c>
      <c r="D33" s="320" t="s">
        <v>7</v>
      </c>
      <c r="E33" s="15">
        <v>20969500</v>
      </c>
      <c r="F33" s="16">
        <v>0</v>
      </c>
      <c r="G33" s="16">
        <v>0</v>
      </c>
      <c r="H33" s="16">
        <v>0</v>
      </c>
      <c r="I33" s="408">
        <f t="shared" si="7"/>
        <v>0</v>
      </c>
      <c r="J33" s="468">
        <f>IF($J$4=1,InputPopulationDeaths!E42,InputPopulationDeaths!F42)</f>
        <v>76614</v>
      </c>
      <c r="K33" s="502">
        <f>IF($J$4=1,InputPopulationDeaths!J42,InputPopulationDeaths!K42)</f>
        <v>0</v>
      </c>
      <c r="L33" s="13">
        <f t="shared" si="1"/>
        <v>0</v>
      </c>
      <c r="M33" s="13">
        <f t="shared" si="2"/>
        <v>0</v>
      </c>
      <c r="N33" s="409">
        <f t="shared" si="3"/>
        <v>0</v>
      </c>
      <c r="O33" s="318">
        <f t="shared" si="4"/>
        <v>1</v>
      </c>
      <c r="P33" s="380">
        <f t="shared" si="8"/>
        <v>0</v>
      </c>
      <c r="Q33" s="380">
        <f t="shared" si="6"/>
        <v>0</v>
      </c>
      <c r="R33" s="9"/>
    </row>
    <row r="34" spans="2:18" x14ac:dyDescent="0.2">
      <c r="B34" s="5" t="s">
        <v>15</v>
      </c>
      <c r="C34" s="3">
        <v>1</v>
      </c>
      <c r="D34" s="320" t="s">
        <v>8</v>
      </c>
      <c r="E34" s="15">
        <v>32953433</v>
      </c>
      <c r="F34" s="16">
        <v>67.92313</v>
      </c>
      <c r="G34" s="16">
        <v>4136.2629999999999</v>
      </c>
      <c r="H34" s="16">
        <v>116.4747</v>
      </c>
      <c r="I34" s="408">
        <f t="shared" si="7"/>
        <v>4252.7376999999997</v>
      </c>
      <c r="J34" s="468">
        <f>IF($J$4=1,InputPopulationDeaths!E43,InputPopulationDeaths!F43)</f>
        <v>116710</v>
      </c>
      <c r="K34" s="502">
        <f>IF($J$4=1,InputPopulationDeaths!J43,InputPopulationDeaths!K43)</f>
        <v>0</v>
      </c>
      <c r="L34" s="13">
        <f t="shared" si="1"/>
        <v>14.649255351635139</v>
      </c>
      <c r="M34" s="13">
        <f t="shared" si="2"/>
        <v>0.41251429667434042</v>
      </c>
      <c r="N34" s="409">
        <f t="shared" si="3"/>
        <v>15.061769648309479</v>
      </c>
      <c r="O34" s="318">
        <f t="shared" si="4"/>
        <v>1</v>
      </c>
      <c r="P34" s="380">
        <f t="shared" si="8"/>
        <v>0</v>
      </c>
      <c r="Q34" s="380">
        <f t="shared" si="6"/>
        <v>0.20611852488934915</v>
      </c>
      <c r="R34" s="9"/>
    </row>
    <row r="35" spans="2:18" x14ac:dyDescent="0.2">
      <c r="B35" s="5" t="s">
        <v>15</v>
      </c>
      <c r="C35" s="3">
        <v>1</v>
      </c>
      <c r="D35" s="320" t="s">
        <v>9</v>
      </c>
      <c r="E35" s="15">
        <v>30432499</v>
      </c>
      <c r="F35" s="16">
        <v>702.66330000000005</v>
      </c>
      <c r="G35" s="16">
        <v>32869.550000000003</v>
      </c>
      <c r="H35" s="16">
        <v>1243.095</v>
      </c>
      <c r="I35" s="408">
        <f t="shared" si="7"/>
        <v>34112.645000000004</v>
      </c>
      <c r="J35" s="468">
        <f>IF($J$4=1,InputPopulationDeaths!E44,InputPopulationDeaths!F44)</f>
        <v>89486</v>
      </c>
      <c r="K35" s="502">
        <f>IF($J$4=1,InputPopulationDeaths!J44,InputPopulationDeaths!K44)</f>
        <v>2</v>
      </c>
      <c r="L35" s="13">
        <f t="shared" si="1"/>
        <v>93.557042185069292</v>
      </c>
      <c r="M35" s="13">
        <f t="shared" si="2"/>
        <v>3.5382380152770181</v>
      </c>
      <c r="N35" s="409">
        <f t="shared" si="3"/>
        <v>97.095280200346323</v>
      </c>
      <c r="O35" s="318">
        <f t="shared" si="4"/>
        <v>0.96797746184902789</v>
      </c>
      <c r="P35" s="380">
        <f t="shared" si="8"/>
        <v>2.2349864783318059</v>
      </c>
      <c r="Q35" s="380">
        <f t="shared" si="6"/>
        <v>2.3089240880283941</v>
      </c>
      <c r="R35" s="9"/>
    </row>
    <row r="36" spans="2:18" x14ac:dyDescent="0.2">
      <c r="B36" s="5" t="s">
        <v>15</v>
      </c>
      <c r="C36" s="3">
        <v>1</v>
      </c>
      <c r="D36" s="320" t="s">
        <v>10</v>
      </c>
      <c r="E36" s="15">
        <v>31666007</v>
      </c>
      <c r="F36" s="16">
        <v>4273.8370000000004</v>
      </c>
      <c r="G36" s="16">
        <v>142695</v>
      </c>
      <c r="H36" s="16">
        <v>6929.54</v>
      </c>
      <c r="I36" s="408">
        <f t="shared" si="7"/>
        <v>149624.54</v>
      </c>
      <c r="J36" s="468">
        <f>IF($J$4=1,InputPopulationDeaths!E45,InputPopulationDeaths!F45)</f>
        <v>81265</v>
      </c>
      <c r="K36" s="502">
        <f>IF($J$4=1,InputPopulationDeaths!J45,InputPopulationDeaths!K45)</f>
        <v>9</v>
      </c>
      <c r="L36" s="13">
        <f t="shared" si="1"/>
        <v>300.49227427250969</v>
      </c>
      <c r="M36" s="13">
        <f t="shared" si="2"/>
        <v>14.592475099073736</v>
      </c>
      <c r="N36" s="409">
        <f t="shared" si="3"/>
        <v>315.08474937158343</v>
      </c>
      <c r="O36" s="318">
        <f t="shared" si="4"/>
        <v>0.82056751251302462</v>
      </c>
      <c r="P36" s="380">
        <f t="shared" si="8"/>
        <v>11.07487848397219</v>
      </c>
      <c r="Q36" s="380">
        <f t="shared" si="6"/>
        <v>13.496608524087044</v>
      </c>
    </row>
    <row r="37" spans="2:18" x14ac:dyDescent="0.2">
      <c r="B37" s="5" t="s">
        <v>15</v>
      </c>
      <c r="C37" s="3">
        <v>1</v>
      </c>
      <c r="D37" s="320" t="s">
        <v>11</v>
      </c>
      <c r="E37" s="15">
        <v>13930047</v>
      </c>
      <c r="F37" s="16">
        <v>5497.69</v>
      </c>
      <c r="G37" s="16">
        <v>126962.6</v>
      </c>
      <c r="H37" s="16">
        <v>7703.3</v>
      </c>
      <c r="I37" s="408">
        <f t="shared" si="7"/>
        <v>134665.9</v>
      </c>
      <c r="J37" s="468">
        <f>IF($J$4=1,InputPopulationDeaths!E46,InputPopulationDeaths!F46)</f>
        <v>33077</v>
      </c>
      <c r="K37" s="502">
        <f>IF($J$4=1,InputPopulationDeaths!J46,InputPopulationDeaths!K46)</f>
        <v>6</v>
      </c>
      <c r="L37" s="13">
        <f t="shared" si="1"/>
        <v>138.56285094285056</v>
      </c>
      <c r="M37" s="13">
        <f t="shared" si="2"/>
        <v>8.4071309950179067</v>
      </c>
      <c r="N37" s="409">
        <f t="shared" si="3"/>
        <v>146.96998193786845</v>
      </c>
      <c r="O37" s="318">
        <f t="shared" si="4"/>
        <v>0.45961846857715827</v>
      </c>
      <c r="P37" s="380">
        <f t="shared" si="8"/>
        <v>18.139492698854191</v>
      </c>
      <c r="Q37" s="380">
        <f t="shared" si="6"/>
        <v>39.466413860628037</v>
      </c>
    </row>
    <row r="38" spans="2:18" x14ac:dyDescent="0.2">
      <c r="B38" s="5" t="s">
        <v>15</v>
      </c>
      <c r="C38" s="3">
        <v>1</v>
      </c>
      <c r="D38" s="320" t="s">
        <v>12</v>
      </c>
      <c r="E38" s="15">
        <v>7426360</v>
      </c>
      <c r="F38" s="16">
        <v>7400.1</v>
      </c>
      <c r="G38" s="16">
        <v>108048.7</v>
      </c>
      <c r="H38" s="16">
        <v>8795.9500000000007</v>
      </c>
      <c r="I38" s="408">
        <f t="shared" si="7"/>
        <v>116844.65</v>
      </c>
      <c r="J38" s="468">
        <f>IF($J$4=1,InputPopulationDeaths!E47,InputPopulationDeaths!F47)</f>
        <v>16815</v>
      </c>
      <c r="K38" s="502">
        <f>IF($J$4=1,InputPopulationDeaths!J47,InputPopulationDeaths!K47)</f>
        <v>9</v>
      </c>
      <c r="L38" s="13">
        <f t="shared" si="1"/>
        <v>131.408805286415</v>
      </c>
      <c r="M38" s="13">
        <f t="shared" si="2"/>
        <v>10.697632464426155</v>
      </c>
      <c r="N38" s="409">
        <f t="shared" si="3"/>
        <v>142.10643775084117</v>
      </c>
      <c r="O38" s="318">
        <f t="shared" si="4"/>
        <v>0.53713573632181177</v>
      </c>
      <c r="P38" s="380">
        <f t="shared" si="8"/>
        <v>53.523639607493308</v>
      </c>
      <c r="Q38" s="380">
        <f t="shared" si="6"/>
        <v>99.646394734432491</v>
      </c>
    </row>
    <row r="39" spans="2:18" x14ac:dyDescent="0.2">
      <c r="B39" s="5" t="s">
        <v>15</v>
      </c>
      <c r="C39" s="3">
        <v>1</v>
      </c>
      <c r="D39" s="320" t="s">
        <v>13</v>
      </c>
      <c r="E39" s="15">
        <v>4084053</v>
      </c>
      <c r="F39" s="16">
        <v>14135</v>
      </c>
      <c r="G39" s="16">
        <v>77397.7</v>
      </c>
      <c r="H39" s="16">
        <v>11593.9</v>
      </c>
      <c r="I39" s="408">
        <f t="shared" si="7"/>
        <v>88991.599999999991</v>
      </c>
      <c r="J39" s="468">
        <f>IF($J$4=1,InputPopulationDeaths!E48,InputPopulationDeaths!F48)</f>
        <v>10368</v>
      </c>
      <c r="K39" s="502">
        <f>IF($J$4=1,InputPopulationDeaths!J48,InputPopulationDeaths!K48)</f>
        <v>15</v>
      </c>
      <c r="L39" s="13">
        <f t="shared" ref="L39:L70" si="9">$O39*G39/$E39*$J39</f>
        <v>82.134099752387698</v>
      </c>
      <c r="M39" s="13">
        <f t="shared" ref="M39:M70" si="10">$O39*H39/$E39*$J39</f>
        <v>12.30339582596392</v>
      </c>
      <c r="N39" s="409">
        <f t="shared" ref="N39:N70" si="11">$O39*I39/$E39*$J39</f>
        <v>94.437495578351601</v>
      </c>
      <c r="O39" s="318">
        <f t="shared" ref="O39:O70" si="12">IF(OR(F39 = 0, K39 = 0),1,(K39/J39)/(F39/E39))</f>
        <v>0.41801496236685926</v>
      </c>
      <c r="P39" s="380">
        <f t="shared" si="8"/>
        <v>144.67592592592592</v>
      </c>
      <c r="Q39" s="380">
        <f t="shared" si="6"/>
        <v>346.10226654747134</v>
      </c>
    </row>
    <row r="40" spans="2:18" x14ac:dyDescent="0.2">
      <c r="B40" s="5" t="s">
        <v>16</v>
      </c>
      <c r="C40" s="3"/>
      <c r="D40" s="320"/>
      <c r="E40" s="15">
        <f>SUM(E24:E39)</f>
        <v>308745538</v>
      </c>
      <c r="F40" s="15">
        <f>SUM(F24:F39)</f>
        <v>63908.540030000004</v>
      </c>
      <c r="G40" s="15">
        <f>SUM(G24:G39)</f>
        <v>1073596.727</v>
      </c>
      <c r="H40" s="15">
        <f>SUM(H24:H39)</f>
        <v>73237.063800000004</v>
      </c>
      <c r="I40" s="407">
        <f>SUM(I24:I39)</f>
        <v>1146833.7908000001</v>
      </c>
      <c r="J40" s="468">
        <f>IF($J$4=1,InputPopulationDeaths!E49,InputPopulationDeaths!F49)</f>
        <v>930450</v>
      </c>
      <c r="K40" s="502">
        <f>IF($J$4=1,InputPopulationDeaths!J49,InputPopulationDeaths!K49)</f>
        <v>111</v>
      </c>
      <c r="L40" s="13">
        <f t="shared" si="9"/>
        <v>1864.6840725990526</v>
      </c>
      <c r="M40" s="13">
        <f t="shared" si="10"/>
        <v>127.20231252323914</v>
      </c>
      <c r="N40" s="409">
        <f t="shared" si="11"/>
        <v>1991.886385122292</v>
      </c>
      <c r="O40" s="318">
        <f t="shared" si="12"/>
        <v>0.57633067065789212</v>
      </c>
      <c r="P40" s="380">
        <f>SUMPRODUCT(P24:P39,E24:E39)/E40</f>
        <v>14.915916011435927</v>
      </c>
      <c r="Q40" s="380">
        <f t="shared" si="6"/>
        <v>20.69942142127411</v>
      </c>
    </row>
    <row r="41" spans="2:18" x14ac:dyDescent="0.2">
      <c r="B41" s="5" t="s">
        <v>17</v>
      </c>
      <c r="C41" s="3">
        <v>2</v>
      </c>
      <c r="D41" s="320" t="s">
        <v>6</v>
      </c>
      <c r="E41" s="15">
        <v>9881935</v>
      </c>
      <c r="F41" s="16">
        <v>78.372600000000006</v>
      </c>
      <c r="G41" s="16">
        <v>6657.37</v>
      </c>
      <c r="H41" s="16">
        <v>58.744799999999998</v>
      </c>
      <c r="I41" s="408">
        <f t="shared" ref="I41:I56" si="13">G41+H41</f>
        <v>6716.1148000000003</v>
      </c>
      <c r="J41" s="468">
        <f>IF($J$4=1,InputPopulationDeaths!E50,InputPopulationDeaths!F50)</f>
        <v>38504</v>
      </c>
      <c r="K41" s="502">
        <f>IF($J$4=1,InputPopulationDeaths!J50,InputPopulationDeaths!K50)</f>
        <v>0</v>
      </c>
      <c r="L41" s="13">
        <f t="shared" si="9"/>
        <v>25.939795645286072</v>
      </c>
      <c r="M41" s="13">
        <f t="shared" si="10"/>
        <v>0.22889340794085369</v>
      </c>
      <c r="N41" s="409">
        <f t="shared" si="11"/>
        <v>26.168689053226924</v>
      </c>
      <c r="O41" s="318">
        <f t="shared" si="12"/>
        <v>1</v>
      </c>
      <c r="P41" s="380">
        <f t="shared" ref="P41:P56" si="14">K41/J41*100000</f>
        <v>0</v>
      </c>
      <c r="Q41" s="380">
        <f t="shared" si="6"/>
        <v>0.79308961251010057</v>
      </c>
    </row>
    <row r="42" spans="2:18" x14ac:dyDescent="0.2">
      <c r="B42" s="5" t="s">
        <v>17</v>
      </c>
      <c r="C42" s="3">
        <v>2</v>
      </c>
      <c r="D42" s="320" t="s">
        <v>7</v>
      </c>
      <c r="E42" s="15">
        <v>20056351</v>
      </c>
      <c r="F42" s="16">
        <v>45.125300000000003</v>
      </c>
      <c r="G42" s="16">
        <v>3401.45</v>
      </c>
      <c r="H42" s="16">
        <v>246.52699999999999</v>
      </c>
      <c r="I42" s="408">
        <f t="shared" si="13"/>
        <v>3647.9769999999999</v>
      </c>
      <c r="J42" s="468">
        <f>IF($J$4=1,InputPopulationDeaths!E51,InputPopulationDeaths!F51)</f>
        <v>73835</v>
      </c>
      <c r="K42" s="502">
        <f>IF($J$4=1,InputPopulationDeaths!J51,InputPopulationDeaths!K51)</f>
        <v>0</v>
      </c>
      <c r="L42" s="13">
        <f t="shared" si="9"/>
        <v>12.522021615497254</v>
      </c>
      <c r="M42" s="13">
        <f t="shared" si="10"/>
        <v>0.9075589595036504</v>
      </c>
      <c r="N42" s="409">
        <f t="shared" si="11"/>
        <v>13.429580575000905</v>
      </c>
      <c r="O42" s="318">
        <f t="shared" si="12"/>
        <v>1</v>
      </c>
      <c r="P42" s="380">
        <f t="shared" si="14"/>
        <v>0</v>
      </c>
      <c r="Q42" s="380">
        <f t="shared" si="6"/>
        <v>0.22499257217825919</v>
      </c>
    </row>
    <row r="43" spans="2:18" x14ac:dyDescent="0.2">
      <c r="B43" s="5" t="s">
        <v>17</v>
      </c>
      <c r="C43" s="3">
        <v>2</v>
      </c>
      <c r="D43" s="320" t="s">
        <v>8</v>
      </c>
      <c r="E43" s="15">
        <v>31774758</v>
      </c>
      <c r="F43" s="16">
        <v>601.83190000000002</v>
      </c>
      <c r="G43" s="16">
        <v>37229.519999999997</v>
      </c>
      <c r="H43" s="16">
        <v>6142.6790000000001</v>
      </c>
      <c r="I43" s="408">
        <f t="shared" si="13"/>
        <v>43372.198999999993</v>
      </c>
      <c r="J43" s="468">
        <f>IF($J$4=1,InputPopulationDeaths!E52,InputPopulationDeaths!F52)</f>
        <v>110381</v>
      </c>
      <c r="K43" s="502">
        <f>IF($J$4=1,InputPopulationDeaths!J52,InputPopulationDeaths!K52)</f>
        <v>0</v>
      </c>
      <c r="L43" s="13">
        <f t="shared" si="9"/>
        <v>129.33006907936166</v>
      </c>
      <c r="M43" s="13">
        <f t="shared" si="10"/>
        <v>21.338795112113836</v>
      </c>
      <c r="N43" s="409">
        <f t="shared" si="11"/>
        <v>150.66886419147548</v>
      </c>
      <c r="O43" s="318">
        <f t="shared" si="12"/>
        <v>1</v>
      </c>
      <c r="P43" s="380">
        <f t="shared" si="14"/>
        <v>0</v>
      </c>
      <c r="Q43" s="380">
        <f t="shared" si="6"/>
        <v>1.8940565967489036</v>
      </c>
    </row>
    <row r="44" spans="2:18" x14ac:dyDescent="0.2">
      <c r="B44" s="5" t="s">
        <v>17</v>
      </c>
      <c r="C44" s="3">
        <v>2</v>
      </c>
      <c r="D44" s="320" t="s">
        <v>9</v>
      </c>
      <c r="E44" s="15">
        <v>30600206</v>
      </c>
      <c r="F44" s="16">
        <v>5425.509</v>
      </c>
      <c r="G44" s="16">
        <v>252192.7</v>
      </c>
      <c r="H44" s="16">
        <v>25697.02</v>
      </c>
      <c r="I44" s="408">
        <f t="shared" si="13"/>
        <v>277889.72000000003</v>
      </c>
      <c r="J44" s="468">
        <f>IF($J$4=1,InputPopulationDeaths!E53,InputPopulationDeaths!F53)</f>
        <v>87117</v>
      </c>
      <c r="K44" s="502">
        <f>IF($J$4=1,InputPopulationDeaths!J53,InputPopulationDeaths!K53)</f>
        <v>10</v>
      </c>
      <c r="L44" s="13">
        <f t="shared" si="9"/>
        <v>464.82772399787746</v>
      </c>
      <c r="M44" s="13">
        <f t="shared" si="10"/>
        <v>47.363334942398957</v>
      </c>
      <c r="N44" s="409">
        <f t="shared" si="11"/>
        <v>512.19105894027643</v>
      </c>
      <c r="O44" s="318">
        <f t="shared" si="12"/>
        <v>0.64741230639189862</v>
      </c>
      <c r="P44" s="380">
        <f t="shared" si="14"/>
        <v>11.478815845357392</v>
      </c>
      <c r="Q44" s="380">
        <f t="shared" si="6"/>
        <v>17.730302207769451</v>
      </c>
    </row>
    <row r="45" spans="2:18" x14ac:dyDescent="0.2">
      <c r="B45" s="5" t="s">
        <v>17</v>
      </c>
      <c r="C45" s="3">
        <v>2</v>
      </c>
      <c r="D45" s="320" t="s">
        <v>10</v>
      </c>
      <c r="E45" s="15">
        <v>33005514</v>
      </c>
      <c r="F45" s="16">
        <v>37320.83</v>
      </c>
      <c r="G45" s="16">
        <v>1247929</v>
      </c>
      <c r="H45" s="16">
        <v>93788.5</v>
      </c>
      <c r="I45" s="408">
        <f t="shared" si="13"/>
        <v>1341717.5</v>
      </c>
      <c r="J45" s="468">
        <f>IF($J$4=1,InputPopulationDeaths!E54,InputPopulationDeaths!F54)</f>
        <v>82694</v>
      </c>
      <c r="K45" s="502">
        <f>IF($J$4=1,InputPopulationDeaths!J54,InputPopulationDeaths!K54)</f>
        <v>88</v>
      </c>
      <c r="L45" s="13">
        <f t="shared" si="9"/>
        <v>2942.5324142040786</v>
      </c>
      <c r="M45" s="13">
        <f t="shared" si="10"/>
        <v>221.14695734258862</v>
      </c>
      <c r="N45" s="409">
        <f t="shared" si="11"/>
        <v>3163.6793715466679</v>
      </c>
      <c r="O45" s="318">
        <f t="shared" si="12"/>
        <v>0.94111756503158617</v>
      </c>
      <c r="P45" s="380">
        <f t="shared" si="14"/>
        <v>106.41642682661379</v>
      </c>
      <c r="Q45" s="380">
        <f t="shared" si="6"/>
        <v>113.07453051632524</v>
      </c>
    </row>
    <row r="46" spans="2:18" x14ac:dyDescent="0.2">
      <c r="B46" s="5" t="s">
        <v>17</v>
      </c>
      <c r="C46" s="3">
        <v>2</v>
      </c>
      <c r="D46" s="320" t="s">
        <v>11</v>
      </c>
      <c r="E46" s="15">
        <v>15323140</v>
      </c>
      <c r="F46" s="16">
        <v>46256.5</v>
      </c>
      <c r="G46" s="16">
        <v>1072270</v>
      </c>
      <c r="H46" s="16">
        <v>91209.7</v>
      </c>
      <c r="I46" s="408">
        <f t="shared" si="13"/>
        <v>1163479.7</v>
      </c>
      <c r="J46" s="468">
        <f>IF($J$4=1,InputPopulationDeaths!E55,InputPopulationDeaths!F55)</f>
        <v>35399</v>
      </c>
      <c r="K46" s="502">
        <f>IF($J$4=1,InputPopulationDeaths!J55,InputPopulationDeaths!K55)</f>
        <v>98</v>
      </c>
      <c r="L46" s="13">
        <f t="shared" si="9"/>
        <v>2271.7339184763223</v>
      </c>
      <c r="M46" s="13">
        <f t="shared" si="10"/>
        <v>193.23880103336825</v>
      </c>
      <c r="N46" s="409">
        <f t="shared" si="11"/>
        <v>2464.9727195096898</v>
      </c>
      <c r="O46" s="318">
        <f t="shared" si="12"/>
        <v>0.91708604042908914</v>
      </c>
      <c r="P46" s="380">
        <f t="shared" si="14"/>
        <v>276.84397864346448</v>
      </c>
      <c r="Q46" s="380">
        <f t="shared" si="6"/>
        <v>301.87350634400002</v>
      </c>
    </row>
    <row r="47" spans="2:18" x14ac:dyDescent="0.2">
      <c r="B47" s="5" t="s">
        <v>17</v>
      </c>
      <c r="C47" s="3">
        <v>2</v>
      </c>
      <c r="D47" s="320" t="s">
        <v>12</v>
      </c>
      <c r="E47" s="15">
        <v>9169601</v>
      </c>
      <c r="F47" s="16">
        <v>60668.2</v>
      </c>
      <c r="G47" s="16">
        <v>886284</v>
      </c>
      <c r="H47" s="16">
        <v>78977.7</v>
      </c>
      <c r="I47" s="408">
        <f t="shared" si="13"/>
        <v>965261.7</v>
      </c>
      <c r="J47" s="468">
        <f>IF($J$4=1,InputPopulationDeaths!E56,InputPopulationDeaths!F56)</f>
        <v>20855</v>
      </c>
      <c r="K47" s="502">
        <f>IF($J$4=1,InputPopulationDeaths!J56,InputPopulationDeaths!K56)</f>
        <v>117</v>
      </c>
      <c r="L47" s="13">
        <f t="shared" si="9"/>
        <v>1709.2187999643966</v>
      </c>
      <c r="M47" s="13">
        <f t="shared" si="10"/>
        <v>152.31028611364766</v>
      </c>
      <c r="N47" s="409">
        <f t="shared" si="11"/>
        <v>1861.529086078044</v>
      </c>
      <c r="O47" s="318">
        <f t="shared" si="12"/>
        <v>0.84793975292395241</v>
      </c>
      <c r="P47" s="380">
        <f t="shared" si="14"/>
        <v>561.01654279549268</v>
      </c>
      <c r="Q47" s="380">
        <f t="shared" si="6"/>
        <v>661.62311751623645</v>
      </c>
    </row>
    <row r="48" spans="2:18" x14ac:dyDescent="0.2">
      <c r="B48" s="5" t="s">
        <v>17</v>
      </c>
      <c r="C48" s="3">
        <v>2</v>
      </c>
      <c r="D48" s="320" t="s">
        <v>13</v>
      </c>
      <c r="E48" s="15">
        <v>7152707</v>
      </c>
      <c r="F48" s="16">
        <v>127113</v>
      </c>
      <c r="G48" s="16">
        <v>809099</v>
      </c>
      <c r="H48" s="16">
        <v>67471</v>
      </c>
      <c r="I48" s="408">
        <f t="shared" si="13"/>
        <v>876570</v>
      </c>
      <c r="J48" s="468">
        <f>IF($J$4=1,InputPopulationDeaths!E57,InputPopulationDeaths!F57)</f>
        <v>16854</v>
      </c>
      <c r="K48" s="502">
        <f>IF($J$4=1,InputPopulationDeaths!J57,InputPopulationDeaths!K57)</f>
        <v>244</v>
      </c>
      <c r="L48" s="13">
        <f t="shared" si="9"/>
        <v>1553.107518507155</v>
      </c>
      <c r="M48" s="13">
        <f t="shared" si="10"/>
        <v>129.51408589208026</v>
      </c>
      <c r="N48" s="409">
        <f t="shared" si="11"/>
        <v>1682.6216043992351</v>
      </c>
      <c r="O48" s="318">
        <f t="shared" si="12"/>
        <v>0.81464294972056039</v>
      </c>
      <c r="P48" s="380">
        <f t="shared" si="14"/>
        <v>1447.7275424231636</v>
      </c>
      <c r="Q48" s="380">
        <f t="shared" si="6"/>
        <v>1777.1313713814925</v>
      </c>
    </row>
    <row r="49" spans="2:17" x14ac:dyDescent="0.2">
      <c r="B49" s="5" t="s">
        <v>17</v>
      </c>
      <c r="C49" s="3">
        <v>1</v>
      </c>
      <c r="D49" s="320" t="s">
        <v>6</v>
      </c>
      <c r="E49" s="15">
        <v>10319427</v>
      </c>
      <c r="F49" s="16">
        <v>61.214399999999998</v>
      </c>
      <c r="G49" s="16">
        <v>5196.62</v>
      </c>
      <c r="H49" s="16">
        <v>22.8568</v>
      </c>
      <c r="I49" s="408">
        <f t="shared" si="13"/>
        <v>5219.4767999999995</v>
      </c>
      <c r="J49" s="468">
        <f>IF($J$4=1,InputPopulationDeaths!E58,InputPopulationDeaths!F58)</f>
        <v>40476</v>
      </c>
      <c r="K49" s="502">
        <f>IF($J$4=1,InputPopulationDeaths!J58,InputPopulationDeaths!K58)</f>
        <v>0</v>
      </c>
      <c r="L49" s="13">
        <f t="shared" si="9"/>
        <v>20.382758763640656</v>
      </c>
      <c r="M49" s="13">
        <f t="shared" si="10"/>
        <v>8.9651473555653824E-2</v>
      </c>
      <c r="N49" s="409">
        <f t="shared" si="11"/>
        <v>20.472410237196307</v>
      </c>
      <c r="O49" s="318">
        <f t="shared" si="12"/>
        <v>1</v>
      </c>
      <c r="P49" s="380">
        <f t="shared" si="14"/>
        <v>0</v>
      </c>
      <c r="Q49" s="380">
        <f t="shared" si="6"/>
        <v>0.59319572685576438</v>
      </c>
    </row>
    <row r="50" spans="2:17" x14ac:dyDescent="0.2">
      <c r="B50" s="5" t="s">
        <v>17</v>
      </c>
      <c r="C50" s="3">
        <v>1</v>
      </c>
      <c r="D50" s="320" t="s">
        <v>7</v>
      </c>
      <c r="E50" s="15">
        <v>20969500</v>
      </c>
      <c r="F50" s="16">
        <v>30.742899999999999</v>
      </c>
      <c r="G50" s="16">
        <v>2337.2199999999998</v>
      </c>
      <c r="H50" s="16">
        <v>126.18600000000001</v>
      </c>
      <c r="I50" s="408">
        <f t="shared" si="13"/>
        <v>2463.4059999999999</v>
      </c>
      <c r="J50" s="468">
        <f>IF($J$4=1,InputPopulationDeaths!E59,InputPopulationDeaths!F59)</f>
        <v>76614</v>
      </c>
      <c r="K50" s="502">
        <f>IF($J$4=1,InputPopulationDeaths!J59,InputPopulationDeaths!K59)</f>
        <v>0</v>
      </c>
      <c r="L50" s="13">
        <f t="shared" si="9"/>
        <v>8.5392485791268271</v>
      </c>
      <c r="M50" s="13">
        <f t="shared" si="10"/>
        <v>0.46103217549297792</v>
      </c>
      <c r="N50" s="409">
        <f t="shared" si="11"/>
        <v>9.0002807546198049</v>
      </c>
      <c r="O50" s="318">
        <f t="shared" si="12"/>
        <v>1</v>
      </c>
      <c r="P50" s="380">
        <f t="shared" si="14"/>
        <v>0</v>
      </c>
      <c r="Q50" s="380">
        <f t="shared" si="6"/>
        <v>0.14660769212427574</v>
      </c>
    </row>
    <row r="51" spans="2:17" x14ac:dyDescent="0.2">
      <c r="B51" s="5" t="s">
        <v>17</v>
      </c>
      <c r="C51" s="3">
        <v>1</v>
      </c>
      <c r="D51" s="320" t="s">
        <v>8</v>
      </c>
      <c r="E51" s="15">
        <v>32953433</v>
      </c>
      <c r="F51" s="16">
        <v>243.5378</v>
      </c>
      <c r="G51" s="16">
        <v>15107.02</v>
      </c>
      <c r="H51" s="16">
        <v>4036.587</v>
      </c>
      <c r="I51" s="408">
        <f t="shared" si="13"/>
        <v>19143.607</v>
      </c>
      <c r="J51" s="468">
        <f>IF($J$4=1,InputPopulationDeaths!E60,InputPopulationDeaths!F60)</f>
        <v>116710</v>
      </c>
      <c r="K51" s="502">
        <f>IF($J$4=1,InputPopulationDeaths!J60,InputPopulationDeaths!K60)</f>
        <v>0</v>
      </c>
      <c r="L51" s="13">
        <f t="shared" si="9"/>
        <v>53.503994688504832</v>
      </c>
      <c r="M51" s="13">
        <f t="shared" si="10"/>
        <v>14.296236412455116</v>
      </c>
      <c r="N51" s="409">
        <f t="shared" si="11"/>
        <v>67.800231100959948</v>
      </c>
      <c r="O51" s="318">
        <f t="shared" si="12"/>
        <v>1</v>
      </c>
      <c r="P51" s="380">
        <f t="shared" si="14"/>
        <v>0</v>
      </c>
      <c r="Q51" s="380">
        <f t="shared" si="6"/>
        <v>0.73903620299590633</v>
      </c>
    </row>
    <row r="52" spans="2:17" x14ac:dyDescent="0.2">
      <c r="B52" s="5" t="s">
        <v>17</v>
      </c>
      <c r="C52" s="3">
        <v>1</v>
      </c>
      <c r="D52" s="320" t="s">
        <v>9</v>
      </c>
      <c r="E52" s="15">
        <v>30432499</v>
      </c>
      <c r="F52" s="16">
        <v>2039.413</v>
      </c>
      <c r="G52" s="16">
        <v>94878.6</v>
      </c>
      <c r="H52" s="16">
        <v>19350.240000000002</v>
      </c>
      <c r="I52" s="408">
        <f t="shared" si="13"/>
        <v>114228.84000000001</v>
      </c>
      <c r="J52" s="468">
        <f>IF($J$4=1,InputPopulationDeaths!E61,InputPopulationDeaths!F61)</f>
        <v>89486</v>
      </c>
      <c r="K52" s="502">
        <f>IF($J$4=1,InputPopulationDeaths!J61,InputPopulationDeaths!K61)</f>
        <v>3</v>
      </c>
      <c r="L52" s="13">
        <f t="shared" si="9"/>
        <v>139.56751280883273</v>
      </c>
      <c r="M52" s="13">
        <f t="shared" si="10"/>
        <v>28.464425793108113</v>
      </c>
      <c r="N52" s="409">
        <f t="shared" si="11"/>
        <v>168.03193860194085</v>
      </c>
      <c r="O52" s="318">
        <f t="shared" si="12"/>
        <v>0.50026324069852113</v>
      </c>
      <c r="P52" s="380">
        <f t="shared" si="14"/>
        <v>3.352479717497709</v>
      </c>
      <c r="Q52" s="380">
        <f t="shared" si="6"/>
        <v>6.7014312561055212</v>
      </c>
    </row>
    <row r="53" spans="2:17" x14ac:dyDescent="0.2">
      <c r="B53" s="5" t="s">
        <v>17</v>
      </c>
      <c r="C53" s="3">
        <v>1</v>
      </c>
      <c r="D53" s="320" t="s">
        <v>10</v>
      </c>
      <c r="E53" s="15">
        <v>31666007</v>
      </c>
      <c r="F53" s="16">
        <v>13597.68</v>
      </c>
      <c r="G53" s="16">
        <v>452097</v>
      </c>
      <c r="H53" s="16">
        <v>72390.3</v>
      </c>
      <c r="I53" s="408">
        <f t="shared" si="13"/>
        <v>524487.30000000005</v>
      </c>
      <c r="J53" s="468">
        <f>IF($J$4=1,InputPopulationDeaths!E62,InputPopulationDeaths!F62)</f>
        <v>81265</v>
      </c>
      <c r="K53" s="502">
        <f>IF($J$4=1,InputPopulationDeaths!J62,InputPopulationDeaths!K62)</f>
        <v>15</v>
      </c>
      <c r="L53" s="13">
        <f t="shared" si="9"/>
        <v>498.72147307481856</v>
      </c>
      <c r="M53" s="13">
        <f t="shared" si="10"/>
        <v>79.855865118167216</v>
      </c>
      <c r="N53" s="409">
        <f t="shared" si="11"/>
        <v>578.57733819298585</v>
      </c>
      <c r="O53" s="318">
        <f t="shared" si="12"/>
        <v>0.42984928261979582</v>
      </c>
      <c r="P53" s="380">
        <f t="shared" si="14"/>
        <v>18.458130806620314</v>
      </c>
      <c r="Q53" s="380">
        <f t="shared" si="6"/>
        <v>42.940936632774701</v>
      </c>
    </row>
    <row r="54" spans="2:17" x14ac:dyDescent="0.2">
      <c r="B54" s="5" t="s">
        <v>17</v>
      </c>
      <c r="C54" s="3">
        <v>1</v>
      </c>
      <c r="D54" s="320" t="s">
        <v>11</v>
      </c>
      <c r="E54" s="15">
        <v>13930047</v>
      </c>
      <c r="F54" s="16">
        <v>23268.7</v>
      </c>
      <c r="G54" s="16">
        <v>534482</v>
      </c>
      <c r="H54" s="16">
        <v>71881.399999999994</v>
      </c>
      <c r="I54" s="408">
        <f t="shared" si="13"/>
        <v>606363.4</v>
      </c>
      <c r="J54" s="468">
        <f>IF($J$4=1,InputPopulationDeaths!E63,InputPopulationDeaths!F63)</f>
        <v>33077</v>
      </c>
      <c r="K54" s="502">
        <f>IF($J$4=1,InputPopulationDeaths!J63,InputPopulationDeaths!K63)</f>
        <v>37</v>
      </c>
      <c r="L54" s="13">
        <f t="shared" si="9"/>
        <v>849.88993798536228</v>
      </c>
      <c r="M54" s="13">
        <f t="shared" si="10"/>
        <v>114.29997378452599</v>
      </c>
      <c r="N54" s="409">
        <f t="shared" si="11"/>
        <v>964.18991176988834</v>
      </c>
      <c r="O54" s="318">
        <f t="shared" si="12"/>
        <v>0.66966264241192675</v>
      </c>
      <c r="P54" s="380">
        <f t="shared" si="14"/>
        <v>111.86020497626748</v>
      </c>
      <c r="Q54" s="380">
        <f t="shared" si="6"/>
        <v>167.03963741113006</v>
      </c>
    </row>
    <row r="55" spans="2:17" x14ac:dyDescent="0.2">
      <c r="B55" s="5" t="s">
        <v>17</v>
      </c>
      <c r="C55" s="3">
        <v>1</v>
      </c>
      <c r="D55" s="320" t="s">
        <v>12</v>
      </c>
      <c r="E55" s="15">
        <v>7426360</v>
      </c>
      <c r="F55" s="16">
        <v>44649.8</v>
      </c>
      <c r="G55" s="16">
        <v>642094</v>
      </c>
      <c r="H55" s="16">
        <v>68504.899999999994</v>
      </c>
      <c r="I55" s="408">
        <f t="shared" si="13"/>
        <v>710598.9</v>
      </c>
      <c r="J55" s="468">
        <f>IF($J$4=1,InputPopulationDeaths!E64,InputPopulationDeaths!F64)</f>
        <v>16815</v>
      </c>
      <c r="K55" s="502">
        <f>IF($J$4=1,InputPopulationDeaths!J64,InputPopulationDeaths!K64)</f>
        <v>71</v>
      </c>
      <c r="L55" s="13">
        <f t="shared" si="9"/>
        <v>1021.0275074020487</v>
      </c>
      <c r="M55" s="13">
        <f t="shared" si="10"/>
        <v>108.93325166070171</v>
      </c>
      <c r="N55" s="409">
        <f t="shared" si="11"/>
        <v>1129.9607590627506</v>
      </c>
      <c r="O55" s="318">
        <f t="shared" si="12"/>
        <v>0.70229238186760035</v>
      </c>
      <c r="P55" s="380">
        <f t="shared" si="14"/>
        <v>422.24204579244719</v>
      </c>
      <c r="Q55" s="380">
        <f t="shared" ref="Q55:Q101" si="15">(F55/E55)*100000</f>
        <v>601.23398273178248</v>
      </c>
    </row>
    <row r="56" spans="2:17" x14ac:dyDescent="0.2">
      <c r="B56" s="5" t="s">
        <v>17</v>
      </c>
      <c r="C56" s="3">
        <v>1</v>
      </c>
      <c r="D56" s="320" t="s">
        <v>13</v>
      </c>
      <c r="E56" s="15">
        <v>4084053</v>
      </c>
      <c r="F56" s="16">
        <v>201486</v>
      </c>
      <c r="G56" s="16">
        <v>1103260</v>
      </c>
      <c r="H56" s="16">
        <v>85129</v>
      </c>
      <c r="I56" s="408">
        <f t="shared" si="13"/>
        <v>1188389</v>
      </c>
      <c r="J56" s="468">
        <f>IF($J$4=1,InputPopulationDeaths!E65,InputPopulationDeaths!F65)</f>
        <v>10368</v>
      </c>
      <c r="K56" s="502">
        <f>IF($J$4=1,InputPopulationDeaths!J65,InputPopulationDeaths!K65)</f>
        <v>287</v>
      </c>
      <c r="L56" s="13">
        <f t="shared" si="9"/>
        <v>1571.5018413190001</v>
      </c>
      <c r="M56" s="13">
        <f t="shared" si="10"/>
        <v>121.25915944532127</v>
      </c>
      <c r="N56" s="409">
        <f t="shared" si="11"/>
        <v>1692.7610007643211</v>
      </c>
      <c r="O56" s="318">
        <f t="shared" si="12"/>
        <v>0.56109112907991776</v>
      </c>
      <c r="P56" s="380">
        <f t="shared" si="14"/>
        <v>2768.1327160493829</v>
      </c>
      <c r="Q56" s="380">
        <f t="shared" si="15"/>
        <v>4933.481519461182</v>
      </c>
    </row>
    <row r="57" spans="2:17" x14ac:dyDescent="0.2">
      <c r="B57" s="5" t="s">
        <v>14</v>
      </c>
      <c r="C57" s="3"/>
      <c r="D57" s="320"/>
      <c r="E57" s="15">
        <f>SUM(E41:E56)</f>
        <v>308745538</v>
      </c>
      <c r="F57" s="15">
        <f>SUM(F41:F56)</f>
        <v>562886.45689999999</v>
      </c>
      <c r="G57" s="15">
        <f>SUM(G41:G56)</f>
        <v>7164515.4999999991</v>
      </c>
      <c r="H57" s="15">
        <f>SUM(H41:H56)</f>
        <v>685033.3406</v>
      </c>
      <c r="I57" s="407">
        <f>SUM(I41:I56)</f>
        <v>7849548.8406000007</v>
      </c>
      <c r="J57" s="468">
        <f>IF($J$4=1,InputPopulationDeaths!E66,InputPopulationDeaths!F66)</f>
        <v>930450</v>
      </c>
      <c r="K57" s="502">
        <f>IF($J$4=1,InputPopulationDeaths!J66,InputPopulationDeaths!K66)</f>
        <v>970</v>
      </c>
      <c r="L57" s="13">
        <f t="shared" si="9"/>
        <v>12346.326598926558</v>
      </c>
      <c r="M57" s="13">
        <f t="shared" si="10"/>
        <v>1180.4909004944298</v>
      </c>
      <c r="N57" s="409">
        <f t="shared" si="11"/>
        <v>13526.817499420989</v>
      </c>
      <c r="O57" s="318">
        <f t="shared" si="12"/>
        <v>0.57181900343275227</v>
      </c>
      <c r="P57" s="380">
        <f>SUMPRODUCT(P41:P56,E41:E56)/E57</f>
        <v>130.49850303192764</v>
      </c>
      <c r="Q57" s="380">
        <f t="shared" si="15"/>
        <v>182.3140378145319</v>
      </c>
    </row>
    <row r="58" spans="2:17" x14ac:dyDescent="0.2">
      <c r="B58" s="5" t="s">
        <v>18</v>
      </c>
      <c r="C58" s="3">
        <v>2</v>
      </c>
      <c r="D58" s="320" t="s">
        <v>6</v>
      </c>
      <c r="E58" s="15">
        <v>9881935</v>
      </c>
      <c r="F58" s="16">
        <v>0</v>
      </c>
      <c r="G58" s="16">
        <v>0</v>
      </c>
      <c r="H58" s="16">
        <v>0</v>
      </c>
      <c r="I58" s="408">
        <f t="shared" ref="I58:I73" si="16">G58+H58</f>
        <v>0</v>
      </c>
      <c r="J58" s="468">
        <f>IF($J$4=1,InputPopulationDeaths!E67,InputPopulationDeaths!F67)</f>
        <v>38504</v>
      </c>
      <c r="K58" s="502">
        <f>IF($J$4=1,InputPopulationDeaths!J67,InputPopulationDeaths!K67)</f>
        <v>0</v>
      </c>
      <c r="L58" s="13">
        <f t="shared" si="9"/>
        <v>0</v>
      </c>
      <c r="M58" s="13">
        <f t="shared" si="10"/>
        <v>0</v>
      </c>
      <c r="N58" s="409">
        <f t="shared" si="11"/>
        <v>0</v>
      </c>
      <c r="O58" s="318">
        <f t="shared" si="12"/>
        <v>1</v>
      </c>
      <c r="P58" s="380">
        <f t="shared" ref="P58:P73" si="17">K58/J58*100000</f>
        <v>0</v>
      </c>
      <c r="Q58" s="380">
        <f t="shared" si="15"/>
        <v>0</v>
      </c>
    </row>
    <row r="59" spans="2:17" x14ac:dyDescent="0.2">
      <c r="B59" s="5" t="s">
        <v>18</v>
      </c>
      <c r="C59" s="3">
        <v>2</v>
      </c>
      <c r="D59" s="320" t="s">
        <v>7</v>
      </c>
      <c r="E59" s="15">
        <v>20056351</v>
      </c>
      <c r="F59" s="16">
        <v>19.432400000000001</v>
      </c>
      <c r="G59" s="16">
        <v>1481.55</v>
      </c>
      <c r="H59" s="16">
        <v>0</v>
      </c>
      <c r="I59" s="408">
        <f t="shared" si="16"/>
        <v>1481.55</v>
      </c>
      <c r="J59" s="468">
        <f>IF($J$4=1,InputPopulationDeaths!E68,InputPopulationDeaths!F68)</f>
        <v>73835</v>
      </c>
      <c r="K59" s="502">
        <f>IF($J$4=1,InputPopulationDeaths!J68,InputPopulationDeaths!K68)</f>
        <v>0</v>
      </c>
      <c r="L59" s="13">
        <f t="shared" si="9"/>
        <v>5.4541448865748308</v>
      </c>
      <c r="M59" s="13">
        <f t="shared" si="10"/>
        <v>0</v>
      </c>
      <c r="N59" s="409">
        <f t="shared" si="11"/>
        <v>5.4541448865748308</v>
      </c>
      <c r="O59" s="318">
        <f t="shared" si="12"/>
        <v>1</v>
      </c>
      <c r="P59" s="380">
        <f t="shared" si="17"/>
        <v>0</v>
      </c>
      <c r="Q59" s="380">
        <f t="shared" si="15"/>
        <v>9.6889010368835293E-2</v>
      </c>
    </row>
    <row r="60" spans="2:17" x14ac:dyDescent="0.2">
      <c r="B60" s="5" t="s">
        <v>18</v>
      </c>
      <c r="C60" s="3">
        <v>2</v>
      </c>
      <c r="D60" s="320" t="s">
        <v>8</v>
      </c>
      <c r="E60" s="15">
        <v>31774758</v>
      </c>
      <c r="F60" s="16">
        <v>19.06353</v>
      </c>
      <c r="G60" s="16">
        <v>1221.8489999999999</v>
      </c>
      <c r="H60" s="16">
        <v>0</v>
      </c>
      <c r="I60" s="408">
        <f t="shared" si="16"/>
        <v>1221.8489999999999</v>
      </c>
      <c r="J60" s="468">
        <f>IF($J$4=1,InputPopulationDeaths!E69,InputPopulationDeaths!F69)</f>
        <v>110381</v>
      </c>
      <c r="K60" s="502">
        <f>IF($J$4=1,InputPopulationDeaths!J69,InputPopulationDeaths!K69)</f>
        <v>0</v>
      </c>
      <c r="L60" s="13">
        <f t="shared" si="9"/>
        <v>4.2445300281751948</v>
      </c>
      <c r="M60" s="13">
        <f t="shared" si="10"/>
        <v>0</v>
      </c>
      <c r="N60" s="409">
        <f t="shared" si="11"/>
        <v>4.2445300281751948</v>
      </c>
      <c r="O60" s="318">
        <f t="shared" si="12"/>
        <v>1</v>
      </c>
      <c r="P60" s="380">
        <f t="shared" si="17"/>
        <v>0</v>
      </c>
      <c r="Q60" s="380">
        <f t="shared" si="15"/>
        <v>5.999583065274644E-2</v>
      </c>
    </row>
    <row r="61" spans="2:17" x14ac:dyDescent="0.2">
      <c r="B61" s="5" t="s">
        <v>18</v>
      </c>
      <c r="C61" s="3">
        <v>2</v>
      </c>
      <c r="D61" s="320" t="s">
        <v>9</v>
      </c>
      <c r="E61" s="15">
        <v>30600206</v>
      </c>
      <c r="F61" s="16">
        <v>40.686630000000001</v>
      </c>
      <c r="G61" s="16">
        <v>1910.9749999999999</v>
      </c>
      <c r="H61" s="16">
        <v>294.92700000000002</v>
      </c>
      <c r="I61" s="408">
        <f t="shared" si="16"/>
        <v>2205.902</v>
      </c>
      <c r="J61" s="468">
        <f>IF($J$4=1,InputPopulationDeaths!E70,InputPopulationDeaths!F70)</f>
        <v>87117</v>
      </c>
      <c r="K61" s="502">
        <f>IF($J$4=1,InputPopulationDeaths!J70,InputPopulationDeaths!K70)</f>
        <v>0</v>
      </c>
      <c r="L61" s="13">
        <f t="shared" si="9"/>
        <v>5.440434259658252</v>
      </c>
      <c r="M61" s="13">
        <f t="shared" si="10"/>
        <v>0.83963995075719433</v>
      </c>
      <c r="N61" s="409">
        <f t="shared" si="11"/>
        <v>6.2800742104154468</v>
      </c>
      <c r="O61" s="318">
        <f t="shared" si="12"/>
        <v>1</v>
      </c>
      <c r="P61" s="380">
        <f t="shared" si="17"/>
        <v>0</v>
      </c>
      <c r="Q61" s="380">
        <f t="shared" si="15"/>
        <v>0.13296194803394462</v>
      </c>
    </row>
    <row r="62" spans="2:17" x14ac:dyDescent="0.2">
      <c r="B62" s="5" t="s">
        <v>18</v>
      </c>
      <c r="C62" s="3">
        <v>2</v>
      </c>
      <c r="D62" s="320" t="s">
        <v>10</v>
      </c>
      <c r="E62" s="15">
        <v>33005514</v>
      </c>
      <c r="F62" s="16">
        <v>521.61800000000005</v>
      </c>
      <c r="G62" s="16">
        <v>16764.240000000002</v>
      </c>
      <c r="H62" s="16">
        <v>23878.560000000001</v>
      </c>
      <c r="I62" s="408">
        <f t="shared" si="16"/>
        <v>40642.800000000003</v>
      </c>
      <c r="J62" s="468">
        <f>IF($J$4=1,InputPopulationDeaths!E71,InputPopulationDeaths!F71)</f>
        <v>82694</v>
      </c>
      <c r="K62" s="502">
        <f>IF($J$4=1,InputPopulationDeaths!J71,InputPopulationDeaths!K71)</f>
        <v>0</v>
      </c>
      <c r="L62" s="13">
        <f t="shared" si="9"/>
        <v>42.002135235948764</v>
      </c>
      <c r="M62" s="13">
        <f t="shared" si="10"/>
        <v>59.826780477952866</v>
      </c>
      <c r="N62" s="409">
        <f t="shared" si="11"/>
        <v>101.82891571390164</v>
      </c>
      <c r="O62" s="318">
        <f t="shared" si="12"/>
        <v>1</v>
      </c>
      <c r="P62" s="380">
        <f t="shared" si="17"/>
        <v>0</v>
      </c>
      <c r="Q62" s="380">
        <f t="shared" si="15"/>
        <v>1.5803965361666539</v>
      </c>
    </row>
    <row r="63" spans="2:17" x14ac:dyDescent="0.2">
      <c r="B63" s="5" t="s">
        <v>18</v>
      </c>
      <c r="C63" s="3">
        <v>2</v>
      </c>
      <c r="D63" s="320" t="s">
        <v>11</v>
      </c>
      <c r="E63" s="15">
        <v>15323140</v>
      </c>
      <c r="F63" s="16">
        <v>2246.4229999999998</v>
      </c>
      <c r="G63" s="16">
        <v>50685.7</v>
      </c>
      <c r="H63" s="16">
        <v>37513.1</v>
      </c>
      <c r="I63" s="408">
        <f t="shared" si="16"/>
        <v>88198.799999999988</v>
      </c>
      <c r="J63" s="468">
        <f>IF($J$4=1,InputPopulationDeaths!E72,InputPopulationDeaths!F72)</f>
        <v>35399</v>
      </c>
      <c r="K63" s="502">
        <f>IF($J$4=1,InputPopulationDeaths!J72,InputPopulationDeaths!K72)</f>
        <v>4</v>
      </c>
      <c r="L63" s="13">
        <f t="shared" si="9"/>
        <v>90.251390766565322</v>
      </c>
      <c r="M63" s="13">
        <f t="shared" si="10"/>
        <v>66.796146585037633</v>
      </c>
      <c r="N63" s="409">
        <f t="shared" si="11"/>
        <v>157.04753735160295</v>
      </c>
      <c r="O63" s="318">
        <f t="shared" si="12"/>
        <v>0.77077075883382695</v>
      </c>
      <c r="P63" s="380">
        <f t="shared" si="17"/>
        <v>11.29975423034549</v>
      </c>
      <c r="Q63" s="380">
        <f t="shared" si="15"/>
        <v>14.660330715506088</v>
      </c>
    </row>
    <row r="64" spans="2:17" x14ac:dyDescent="0.2">
      <c r="B64" s="5" t="s">
        <v>18</v>
      </c>
      <c r="C64" s="3">
        <v>2</v>
      </c>
      <c r="D64" s="320" t="s">
        <v>12</v>
      </c>
      <c r="E64" s="15">
        <v>9169601</v>
      </c>
      <c r="F64" s="16">
        <v>9678.02</v>
      </c>
      <c r="G64" s="16">
        <v>136846.79999999999</v>
      </c>
      <c r="H64" s="16">
        <v>71693.5</v>
      </c>
      <c r="I64" s="408">
        <f t="shared" si="16"/>
        <v>208540.3</v>
      </c>
      <c r="J64" s="468">
        <f>IF($J$4=1,InputPopulationDeaths!E73,InputPopulationDeaths!F73)</f>
        <v>20855</v>
      </c>
      <c r="K64" s="502">
        <f>IF($J$4=1,InputPopulationDeaths!J73,InputPopulationDeaths!K73)</f>
        <v>30</v>
      </c>
      <c r="L64" s="13">
        <f t="shared" si="9"/>
        <v>424.19875139749655</v>
      </c>
      <c r="M64" s="13">
        <f t="shared" si="10"/>
        <v>222.23605654875689</v>
      </c>
      <c r="N64" s="409">
        <f t="shared" si="11"/>
        <v>646.4348079462535</v>
      </c>
      <c r="O64" s="318">
        <f t="shared" si="12"/>
        <v>1.3629344961464338</v>
      </c>
      <c r="P64" s="380">
        <f t="shared" si="17"/>
        <v>143.85039558858787</v>
      </c>
      <c r="Q64" s="380">
        <f t="shared" si="15"/>
        <v>105.54461420949504</v>
      </c>
    </row>
    <row r="65" spans="2:17" x14ac:dyDescent="0.2">
      <c r="B65" s="5" t="s">
        <v>18</v>
      </c>
      <c r="C65" s="3">
        <v>2</v>
      </c>
      <c r="D65" s="320" t="s">
        <v>13</v>
      </c>
      <c r="E65" s="15">
        <v>7152707</v>
      </c>
      <c r="F65" s="16">
        <v>38971.599999999999</v>
      </c>
      <c r="G65" s="16">
        <v>248061</v>
      </c>
      <c r="H65" s="16">
        <v>172288</v>
      </c>
      <c r="I65" s="408">
        <f t="shared" si="16"/>
        <v>420349</v>
      </c>
      <c r="J65" s="468">
        <f>IF($J$4=1,InputPopulationDeaths!E74,InputPopulationDeaths!F74)</f>
        <v>16854</v>
      </c>
      <c r="K65" s="502">
        <f>IF($J$4=1,InputPopulationDeaths!J74,InputPopulationDeaths!K74)</f>
        <v>231</v>
      </c>
      <c r="L65" s="13">
        <f t="shared" si="9"/>
        <v>1470.355104742941</v>
      </c>
      <c r="M65" s="13">
        <f t="shared" si="10"/>
        <v>1021.218733641934</v>
      </c>
      <c r="N65" s="409">
        <f t="shared" si="11"/>
        <v>2491.5738383848748</v>
      </c>
      <c r="O65" s="318">
        <f t="shared" si="12"/>
        <v>2.5155397777756106</v>
      </c>
      <c r="P65" s="380">
        <f t="shared" si="17"/>
        <v>1370.5945176219295</v>
      </c>
      <c r="Q65" s="380">
        <f t="shared" si="15"/>
        <v>544.85106128351129</v>
      </c>
    </row>
    <row r="66" spans="2:17" x14ac:dyDescent="0.2">
      <c r="B66" s="5" t="s">
        <v>18</v>
      </c>
      <c r="C66" s="3">
        <v>1</v>
      </c>
      <c r="D66" s="320" t="s">
        <v>6</v>
      </c>
      <c r="E66" s="15">
        <v>10319427</v>
      </c>
      <c r="F66" s="16">
        <v>0</v>
      </c>
      <c r="G66" s="16">
        <v>0</v>
      </c>
      <c r="H66" s="16">
        <v>0</v>
      </c>
      <c r="I66" s="408">
        <f t="shared" si="16"/>
        <v>0</v>
      </c>
      <c r="J66" s="468">
        <f>IF($J$4=1,InputPopulationDeaths!E75,InputPopulationDeaths!F75)</f>
        <v>40476</v>
      </c>
      <c r="K66" s="502">
        <f>IF($J$4=1,InputPopulationDeaths!J75,InputPopulationDeaths!K75)</f>
        <v>0</v>
      </c>
      <c r="L66" s="13">
        <f t="shared" si="9"/>
        <v>0</v>
      </c>
      <c r="M66" s="13">
        <f t="shared" si="10"/>
        <v>0</v>
      </c>
      <c r="N66" s="409">
        <f t="shared" si="11"/>
        <v>0</v>
      </c>
      <c r="O66" s="318">
        <f t="shared" si="12"/>
        <v>1</v>
      </c>
      <c r="P66" s="380">
        <f t="shared" si="17"/>
        <v>0</v>
      </c>
      <c r="Q66" s="380">
        <f t="shared" si="15"/>
        <v>0</v>
      </c>
    </row>
    <row r="67" spans="2:17" x14ac:dyDescent="0.2">
      <c r="B67" s="5" t="s">
        <v>18</v>
      </c>
      <c r="C67" s="3">
        <v>1</v>
      </c>
      <c r="D67" s="320" t="s">
        <v>7</v>
      </c>
      <c r="E67" s="15">
        <v>20969500</v>
      </c>
      <c r="F67" s="16">
        <v>15.087199999999999</v>
      </c>
      <c r="G67" s="16">
        <v>1154.1500000000001</v>
      </c>
      <c r="H67" s="16">
        <v>0</v>
      </c>
      <c r="I67" s="408">
        <f t="shared" si="16"/>
        <v>1154.1500000000001</v>
      </c>
      <c r="J67" s="468">
        <f>IF($J$4=1,InputPopulationDeaths!E76,InputPopulationDeaths!F76)</f>
        <v>76614</v>
      </c>
      <c r="K67" s="502">
        <f>IF($J$4=1,InputPopulationDeaths!J76,InputPopulationDeaths!K76)</f>
        <v>0</v>
      </c>
      <c r="L67" s="13">
        <f t="shared" si="9"/>
        <v>4.2167933474808654</v>
      </c>
      <c r="M67" s="13">
        <f t="shared" si="10"/>
        <v>0</v>
      </c>
      <c r="N67" s="409">
        <f t="shared" si="11"/>
        <v>4.2167933474808654</v>
      </c>
      <c r="O67" s="318">
        <f t="shared" si="12"/>
        <v>1</v>
      </c>
      <c r="P67" s="380">
        <f t="shared" si="17"/>
        <v>0</v>
      </c>
      <c r="Q67" s="380">
        <f t="shared" si="15"/>
        <v>7.1948305872815269E-2</v>
      </c>
    </row>
    <row r="68" spans="2:17" x14ac:dyDescent="0.2">
      <c r="B68" s="5" t="s">
        <v>18</v>
      </c>
      <c r="C68" s="3">
        <v>1</v>
      </c>
      <c r="D68" s="320" t="s">
        <v>8</v>
      </c>
      <c r="E68" s="15">
        <v>32953433</v>
      </c>
      <c r="F68" s="16">
        <v>13.38456</v>
      </c>
      <c r="G68" s="16">
        <v>859.19100000000003</v>
      </c>
      <c r="H68" s="16">
        <v>0</v>
      </c>
      <c r="I68" s="408">
        <f t="shared" si="16"/>
        <v>859.19100000000003</v>
      </c>
      <c r="J68" s="468">
        <f>IF($J$4=1,InputPopulationDeaths!E77,InputPopulationDeaths!F77)</f>
        <v>116710</v>
      </c>
      <c r="K68" s="502">
        <f>IF($J$4=1,InputPopulationDeaths!J77,InputPopulationDeaths!K77)</f>
        <v>0</v>
      </c>
      <c r="L68" s="13">
        <f t="shared" si="9"/>
        <v>3.0429661641019314</v>
      </c>
      <c r="M68" s="13">
        <f t="shared" si="10"/>
        <v>0</v>
      </c>
      <c r="N68" s="409">
        <f t="shared" si="11"/>
        <v>3.0429661641019314</v>
      </c>
      <c r="O68" s="318">
        <f t="shared" si="12"/>
        <v>1</v>
      </c>
      <c r="P68" s="380">
        <f t="shared" si="17"/>
        <v>0</v>
      </c>
      <c r="Q68" s="380">
        <f t="shared" si="15"/>
        <v>4.061658765567764E-2</v>
      </c>
    </row>
    <row r="69" spans="2:17" x14ac:dyDescent="0.2">
      <c r="B69" s="5" t="s">
        <v>18</v>
      </c>
      <c r="C69" s="3">
        <v>1</v>
      </c>
      <c r="D69" s="320" t="s">
        <v>9</v>
      </c>
      <c r="E69" s="15">
        <v>30432499</v>
      </c>
      <c r="F69" s="16">
        <v>32.003329999999998</v>
      </c>
      <c r="G69" s="16">
        <v>1512.452</v>
      </c>
      <c r="H69" s="16">
        <v>344.99599999999998</v>
      </c>
      <c r="I69" s="408">
        <f t="shared" si="16"/>
        <v>1857.4479999999999</v>
      </c>
      <c r="J69" s="468">
        <f>IF($J$4=1,InputPopulationDeaths!E78,InputPopulationDeaths!F78)</f>
        <v>89486</v>
      </c>
      <c r="K69" s="502">
        <f>IF($J$4=1,InputPopulationDeaths!J78,InputPopulationDeaths!K78)</f>
        <v>0</v>
      </c>
      <c r="L69" s="13">
        <f t="shared" si="9"/>
        <v>4.4473271706014019</v>
      </c>
      <c r="M69" s="13">
        <f t="shared" si="10"/>
        <v>1.0144520847926422</v>
      </c>
      <c r="N69" s="409">
        <f t="shared" si="11"/>
        <v>5.4617792553940436</v>
      </c>
      <c r="O69" s="318">
        <f t="shared" si="12"/>
        <v>1</v>
      </c>
      <c r="P69" s="380">
        <f t="shared" si="17"/>
        <v>0</v>
      </c>
      <c r="Q69" s="380">
        <f t="shared" si="15"/>
        <v>0.10516168915342772</v>
      </c>
    </row>
    <row r="70" spans="2:17" x14ac:dyDescent="0.2">
      <c r="B70" s="5" t="s">
        <v>18</v>
      </c>
      <c r="C70" s="3">
        <v>1</v>
      </c>
      <c r="D70" s="320" t="s">
        <v>10</v>
      </c>
      <c r="E70" s="15">
        <v>31666007</v>
      </c>
      <c r="F70" s="16">
        <v>485.49459999999999</v>
      </c>
      <c r="G70" s="16">
        <v>15556.44</v>
      </c>
      <c r="H70" s="16">
        <v>32693.96</v>
      </c>
      <c r="I70" s="408">
        <f t="shared" si="16"/>
        <v>48250.400000000001</v>
      </c>
      <c r="J70" s="468">
        <f>IF($J$4=1,InputPopulationDeaths!E79,InputPopulationDeaths!F79)</f>
        <v>81265</v>
      </c>
      <c r="K70" s="502">
        <f>IF($J$4=1,InputPopulationDeaths!J79,InputPopulationDeaths!K79)</f>
        <v>0</v>
      </c>
      <c r="L70" s="13">
        <f t="shared" si="9"/>
        <v>39.92275049392871</v>
      </c>
      <c r="M70" s="13">
        <f t="shared" si="10"/>
        <v>83.903052866753939</v>
      </c>
      <c r="N70" s="409">
        <f t="shared" si="11"/>
        <v>123.82580336068266</v>
      </c>
      <c r="O70" s="318">
        <f t="shared" si="12"/>
        <v>1</v>
      </c>
      <c r="P70" s="380">
        <f t="shared" si="17"/>
        <v>0</v>
      </c>
      <c r="Q70" s="380">
        <f t="shared" si="15"/>
        <v>1.5331727805150805</v>
      </c>
    </row>
    <row r="71" spans="2:17" x14ac:dyDescent="0.2">
      <c r="B71" s="5" t="s">
        <v>18</v>
      </c>
      <c r="C71" s="3">
        <v>1</v>
      </c>
      <c r="D71" s="320" t="s">
        <v>11</v>
      </c>
      <c r="E71" s="15">
        <v>13930047</v>
      </c>
      <c r="F71" s="16">
        <v>2182.6660000000002</v>
      </c>
      <c r="G71" s="16">
        <v>49122.5</v>
      </c>
      <c r="H71" s="16">
        <v>51734.1</v>
      </c>
      <c r="I71" s="408">
        <f t="shared" si="16"/>
        <v>100856.6</v>
      </c>
      <c r="J71" s="468">
        <f>IF($J$4=1,InputPopulationDeaths!E80,InputPopulationDeaths!F80)</f>
        <v>33077</v>
      </c>
      <c r="K71" s="502">
        <f>IF($J$4=1,InputPopulationDeaths!J80,InputPopulationDeaths!K80)</f>
        <v>5</v>
      </c>
      <c r="L71" s="13">
        <f t="shared" ref="L71:L102" si="18">$O71*G71/$E71*$J71</f>
        <v>112.5286690680113</v>
      </c>
      <c r="M71" s="13">
        <f t="shared" ref="M71:M102" si="19">$O71*H71/$E71*$J71</f>
        <v>118.51126099916338</v>
      </c>
      <c r="N71" s="409">
        <f t="shared" ref="N71:N102" si="20">$O71*I71/$E71*$J71</f>
        <v>231.03993006717471</v>
      </c>
      <c r="O71" s="318">
        <f t="shared" ref="O71:O102" si="21">IF(OR(F71 = 0, K71 = 0),1,(K71/J71)/(F71/E71))</f>
        <v>0.96473756502062025</v>
      </c>
      <c r="P71" s="380">
        <f t="shared" si="17"/>
        <v>15.116243915711824</v>
      </c>
      <c r="Q71" s="380">
        <f t="shared" si="15"/>
        <v>15.668762639494327</v>
      </c>
    </row>
    <row r="72" spans="2:17" x14ac:dyDescent="0.2">
      <c r="B72" s="5" t="s">
        <v>18</v>
      </c>
      <c r="C72" s="3">
        <v>1</v>
      </c>
      <c r="D72" s="320" t="s">
        <v>12</v>
      </c>
      <c r="E72" s="15">
        <v>7426360</v>
      </c>
      <c r="F72" s="16">
        <v>11473.4</v>
      </c>
      <c r="G72" s="16">
        <v>160299.5</v>
      </c>
      <c r="H72" s="16">
        <v>102646.9</v>
      </c>
      <c r="I72" s="408">
        <f t="shared" si="16"/>
        <v>262946.40000000002</v>
      </c>
      <c r="J72" s="468">
        <f>IF($J$4=1,InputPopulationDeaths!E81,InputPopulationDeaths!F81)</f>
        <v>16815</v>
      </c>
      <c r="K72" s="502">
        <f>IF($J$4=1,InputPopulationDeaths!J81,InputPopulationDeaths!K81)</f>
        <v>25</v>
      </c>
      <c r="L72" s="13">
        <f t="shared" si="18"/>
        <v>349.28508550211797</v>
      </c>
      <c r="M72" s="13">
        <f t="shared" si="19"/>
        <v>223.66277650914293</v>
      </c>
      <c r="N72" s="409">
        <f t="shared" si="20"/>
        <v>572.94786201126101</v>
      </c>
      <c r="O72" s="318">
        <f t="shared" si="21"/>
        <v>0.9623365936172753</v>
      </c>
      <c r="P72" s="380">
        <f t="shared" si="17"/>
        <v>148.67677668748144</v>
      </c>
      <c r="Q72" s="380">
        <f t="shared" si="15"/>
        <v>154.49560753855184</v>
      </c>
    </row>
    <row r="73" spans="2:17" x14ac:dyDescent="0.2">
      <c r="B73" s="5" t="s">
        <v>18</v>
      </c>
      <c r="C73" s="3">
        <v>1</v>
      </c>
      <c r="D73" s="320" t="s">
        <v>13</v>
      </c>
      <c r="E73" s="15">
        <v>4084053</v>
      </c>
      <c r="F73" s="16">
        <v>92582.399999999994</v>
      </c>
      <c r="G73" s="16">
        <v>506944</v>
      </c>
      <c r="H73" s="16">
        <v>336824</v>
      </c>
      <c r="I73" s="408">
        <f t="shared" si="16"/>
        <v>843768</v>
      </c>
      <c r="J73" s="468">
        <f>IF($J$4=1,InputPopulationDeaths!E82,InputPopulationDeaths!F82)</f>
        <v>10368</v>
      </c>
      <c r="K73" s="502">
        <f>IF($J$4=1,InputPopulationDeaths!J82,InputPopulationDeaths!K82)</f>
        <v>110</v>
      </c>
      <c r="L73" s="13">
        <f t="shared" si="18"/>
        <v>602.31577492050337</v>
      </c>
      <c r="M73" s="13">
        <f t="shared" si="19"/>
        <v>400.19096502142963</v>
      </c>
      <c r="N73" s="409">
        <f t="shared" si="20"/>
        <v>1002.506739941933</v>
      </c>
      <c r="O73" s="318">
        <f t="shared" si="21"/>
        <v>0.46801592544307286</v>
      </c>
      <c r="P73" s="380">
        <f t="shared" si="17"/>
        <v>1060.9567901234568</v>
      </c>
      <c r="Q73" s="380">
        <f t="shared" si="15"/>
        <v>2266.924547747054</v>
      </c>
    </row>
    <row r="74" spans="2:17" x14ac:dyDescent="0.2">
      <c r="B74" s="5" t="s">
        <v>14</v>
      </c>
      <c r="D74" s="321"/>
      <c r="E74" s="15">
        <f>SUM(E58:E73)</f>
        <v>308745538</v>
      </c>
      <c r="F74" s="15">
        <f>SUM(F58:F73)</f>
        <v>158281.27924999999</v>
      </c>
      <c r="G74" s="15">
        <f>SUM(G58:G73)</f>
        <v>1192420.3470000001</v>
      </c>
      <c r="H74" s="15">
        <f>SUM(H58:H73)</f>
        <v>829912.04299999995</v>
      </c>
      <c r="I74" s="407">
        <f>SUM(I58:I73)</f>
        <v>2022332.3900000001</v>
      </c>
      <c r="J74" s="468">
        <f>IF($J$4=1,InputPopulationDeaths!E83,InputPopulationDeaths!F83)</f>
        <v>930450</v>
      </c>
      <c r="K74" s="502">
        <f>IF($J$4=1,InputPopulationDeaths!J83,InputPopulationDeaths!K83)</f>
        <v>405</v>
      </c>
      <c r="L74" s="13">
        <f t="shared" si="18"/>
        <v>3051.0888136823046</v>
      </c>
      <c r="M74" s="13">
        <f t="shared" si="19"/>
        <v>2123.5257827561436</v>
      </c>
      <c r="N74" s="409">
        <f t="shared" si="20"/>
        <v>5174.6145964384486</v>
      </c>
      <c r="O74" s="318">
        <f t="shared" si="21"/>
        <v>0.84904971637010207</v>
      </c>
      <c r="P74" s="380">
        <f>SUMPRODUCT(P58:P73,E58:E73)/E74</f>
        <v>54.87807394559637</v>
      </c>
      <c r="Q74" s="380">
        <f t="shared" si="15"/>
        <v>51.265932546043786</v>
      </c>
    </row>
    <row r="75" spans="2:17" x14ac:dyDescent="0.2">
      <c r="B75" s="1" t="s">
        <v>26</v>
      </c>
      <c r="C75" s="2">
        <v>2</v>
      </c>
      <c r="D75" s="322" t="s">
        <v>6</v>
      </c>
      <c r="E75" s="15">
        <v>9881935</v>
      </c>
      <c r="F75" s="16">
        <v>13.9099</v>
      </c>
      <c r="G75" s="16">
        <v>1181.96</v>
      </c>
      <c r="H75" s="16">
        <v>2794.14</v>
      </c>
      <c r="I75" s="408">
        <f t="shared" ref="I75:I90" si="22">G75+H75</f>
        <v>3976.1</v>
      </c>
      <c r="J75" s="468">
        <f>IF($J$4=1,InputPopulationDeaths!E84,InputPopulationDeaths!F84)</f>
        <v>38504</v>
      </c>
      <c r="K75" s="502">
        <f>IF($J$4=1,InputPopulationDeaths!J84,InputPopulationDeaths!K84)</f>
        <v>0</v>
      </c>
      <c r="L75" s="13">
        <f t="shared" si="18"/>
        <v>4.6053923487657027</v>
      </c>
      <c r="M75" s="13">
        <f t="shared" si="19"/>
        <v>10.887095144827404</v>
      </c>
      <c r="N75" s="409">
        <f t="shared" si="20"/>
        <v>15.492487493593107</v>
      </c>
      <c r="O75" s="318">
        <f t="shared" si="21"/>
        <v>1</v>
      </c>
      <c r="P75" s="380">
        <f t="shared" ref="P75:P90" si="23">K75/J75*100000</f>
        <v>0</v>
      </c>
      <c r="Q75" s="380">
        <f t="shared" si="15"/>
        <v>0.14076089348897763</v>
      </c>
    </row>
    <row r="76" spans="2:17" x14ac:dyDescent="0.2">
      <c r="B76" s="1" t="s">
        <v>26</v>
      </c>
      <c r="C76" s="2">
        <v>2</v>
      </c>
      <c r="D76" s="322" t="s">
        <v>7</v>
      </c>
      <c r="E76" s="15">
        <v>20056351</v>
      </c>
      <c r="F76" s="16">
        <v>13.4093</v>
      </c>
      <c r="G76" s="16">
        <v>1005.06</v>
      </c>
      <c r="H76" s="16">
        <v>6466.73</v>
      </c>
      <c r="I76" s="408">
        <f t="shared" si="22"/>
        <v>7471.7899999999991</v>
      </c>
      <c r="J76" s="468">
        <f>IF($J$4=1,InputPopulationDeaths!E85,InputPopulationDeaths!F85)</f>
        <v>73835</v>
      </c>
      <c r="K76" s="502">
        <f>IF($J$4=1,InputPopulationDeaths!J85,InputPopulationDeaths!K85)</f>
        <v>0</v>
      </c>
      <c r="L76" s="13">
        <f t="shared" si="18"/>
        <v>3.7000053050527484</v>
      </c>
      <c r="M76" s="13">
        <f t="shared" si="19"/>
        <v>23.806474545145321</v>
      </c>
      <c r="N76" s="409">
        <f t="shared" si="20"/>
        <v>27.506479850198069</v>
      </c>
      <c r="O76" s="318">
        <f t="shared" si="21"/>
        <v>1</v>
      </c>
      <c r="P76" s="380">
        <f t="shared" si="23"/>
        <v>0</v>
      </c>
      <c r="Q76" s="380">
        <f t="shared" si="15"/>
        <v>6.6858123893025215E-2</v>
      </c>
    </row>
    <row r="77" spans="2:17" x14ac:dyDescent="0.2">
      <c r="B77" s="1" t="s">
        <v>26</v>
      </c>
      <c r="C77" s="2">
        <v>2</v>
      </c>
      <c r="D77" s="322" t="s">
        <v>8</v>
      </c>
      <c r="E77" s="15">
        <v>31774758</v>
      </c>
      <c r="F77" s="16">
        <v>236.9785</v>
      </c>
      <c r="G77" s="16">
        <v>14559.01</v>
      </c>
      <c r="H77" s="16">
        <v>19363.77</v>
      </c>
      <c r="I77" s="408">
        <f t="shared" si="22"/>
        <v>33922.78</v>
      </c>
      <c r="J77" s="468">
        <f>IF($J$4=1,InputPopulationDeaths!E86,InputPopulationDeaths!F86)</f>
        <v>110381</v>
      </c>
      <c r="K77" s="502">
        <f>IF($J$4=1,InputPopulationDeaths!J86,InputPopulationDeaths!K86)</f>
        <v>0</v>
      </c>
      <c r="L77" s="13">
        <f t="shared" si="18"/>
        <v>50.57593460853424</v>
      </c>
      <c r="M77" s="13">
        <f t="shared" si="19"/>
        <v>67.266988984463708</v>
      </c>
      <c r="N77" s="409">
        <f t="shared" si="20"/>
        <v>117.84292359299793</v>
      </c>
      <c r="O77" s="318">
        <f t="shared" si="21"/>
        <v>1</v>
      </c>
      <c r="P77" s="380">
        <f t="shared" si="23"/>
        <v>0</v>
      </c>
      <c r="Q77" s="380">
        <f t="shared" si="15"/>
        <v>0.74580741102733183</v>
      </c>
    </row>
    <row r="78" spans="2:17" x14ac:dyDescent="0.2">
      <c r="B78" s="1" t="s">
        <v>26</v>
      </c>
      <c r="C78" s="2">
        <v>2</v>
      </c>
      <c r="D78" s="322" t="s">
        <v>9</v>
      </c>
      <c r="E78" s="15">
        <v>30600206</v>
      </c>
      <c r="F78" s="16">
        <v>1388.8440000000001</v>
      </c>
      <c r="G78" s="16">
        <v>65603.899999999994</v>
      </c>
      <c r="H78" s="16">
        <v>78132.2</v>
      </c>
      <c r="I78" s="408">
        <f t="shared" si="22"/>
        <v>143736.09999999998</v>
      </c>
      <c r="J78" s="468">
        <f>IF($J$4=1,InputPopulationDeaths!E87,InputPopulationDeaths!F87)</f>
        <v>87117</v>
      </c>
      <c r="K78" s="502">
        <f>IF($J$4=1,InputPopulationDeaths!J87,InputPopulationDeaths!K87)</f>
        <v>3</v>
      </c>
      <c r="L78" s="13">
        <f t="shared" si="18"/>
        <v>141.70900403501039</v>
      </c>
      <c r="M78" s="13">
        <f t="shared" si="19"/>
        <v>168.77100667893586</v>
      </c>
      <c r="N78" s="409">
        <f t="shared" si="20"/>
        <v>310.48001071394623</v>
      </c>
      <c r="O78" s="318">
        <f t="shared" si="21"/>
        <v>0.75873344199348602</v>
      </c>
      <c r="P78" s="380">
        <f t="shared" si="23"/>
        <v>3.4436447536072179</v>
      </c>
      <c r="Q78" s="380">
        <f t="shared" si="15"/>
        <v>4.5386753278719754</v>
      </c>
    </row>
    <row r="79" spans="2:17" x14ac:dyDescent="0.2">
      <c r="B79" s="1" t="s">
        <v>26</v>
      </c>
      <c r="C79" s="2">
        <v>2</v>
      </c>
      <c r="D79" s="322" t="s">
        <v>10</v>
      </c>
      <c r="E79" s="15">
        <v>33005514</v>
      </c>
      <c r="F79" s="16">
        <v>6810.29</v>
      </c>
      <c r="G79" s="16">
        <v>227513.1</v>
      </c>
      <c r="H79" s="16">
        <v>194181.8</v>
      </c>
      <c r="I79" s="408">
        <f t="shared" si="22"/>
        <v>421694.9</v>
      </c>
      <c r="J79" s="468">
        <f>IF($J$4=1,InputPopulationDeaths!E88,InputPopulationDeaths!F88)</f>
        <v>82694</v>
      </c>
      <c r="K79" s="502">
        <f>IF($J$4=1,InputPopulationDeaths!J88,InputPopulationDeaths!K88)</f>
        <v>13</v>
      </c>
      <c r="L79" s="13">
        <f t="shared" si="18"/>
        <v>434.29432520494726</v>
      </c>
      <c r="M79" s="13">
        <f t="shared" si="19"/>
        <v>370.66900234791763</v>
      </c>
      <c r="N79" s="409">
        <f t="shared" si="20"/>
        <v>804.96332755286494</v>
      </c>
      <c r="O79" s="318">
        <f t="shared" si="21"/>
        <v>0.76188644568007813</v>
      </c>
      <c r="P79" s="380">
        <f t="shared" si="23"/>
        <v>15.720608508477035</v>
      </c>
      <c r="Q79" s="380">
        <f t="shared" si="15"/>
        <v>20.633794704727215</v>
      </c>
    </row>
    <row r="80" spans="2:17" x14ac:dyDescent="0.2">
      <c r="B80" s="1" t="s">
        <v>26</v>
      </c>
      <c r="C80" s="2">
        <v>2</v>
      </c>
      <c r="D80" s="322" t="s">
        <v>11</v>
      </c>
      <c r="E80" s="15">
        <v>15323140</v>
      </c>
      <c r="F80" s="16">
        <v>8800.6</v>
      </c>
      <c r="G80" s="16">
        <v>203952.6</v>
      </c>
      <c r="H80" s="16">
        <v>130067.9</v>
      </c>
      <c r="I80" s="408">
        <f t="shared" si="22"/>
        <v>334020.5</v>
      </c>
      <c r="J80" s="468">
        <f>IF($J$4=1,InputPopulationDeaths!E89,InputPopulationDeaths!F89)</f>
        <v>35399</v>
      </c>
      <c r="K80" s="502">
        <f>IF($J$4=1,InputPopulationDeaths!J89,InputPopulationDeaths!K89)</f>
        <v>14</v>
      </c>
      <c r="L80" s="13">
        <f t="shared" si="18"/>
        <v>324.44792400518145</v>
      </c>
      <c r="M80" s="13">
        <f t="shared" si="19"/>
        <v>206.91209690248391</v>
      </c>
      <c r="N80" s="409">
        <f t="shared" si="20"/>
        <v>531.36002090766533</v>
      </c>
      <c r="O80" s="318">
        <f t="shared" si="21"/>
        <v>0.68860873818843793</v>
      </c>
      <c r="P80" s="380">
        <f t="shared" si="23"/>
        <v>39.549139806209219</v>
      </c>
      <c r="Q80" s="380">
        <f t="shared" si="15"/>
        <v>57.433398115529847</v>
      </c>
    </row>
    <row r="81" spans="2:17" x14ac:dyDescent="0.2">
      <c r="B81" s="1" t="s">
        <v>26</v>
      </c>
      <c r="C81" s="2">
        <v>2</v>
      </c>
      <c r="D81" s="322" t="s">
        <v>12</v>
      </c>
      <c r="E81" s="15">
        <v>9169601</v>
      </c>
      <c r="F81" s="16">
        <v>10205.59</v>
      </c>
      <c r="G81" s="16">
        <v>150476.20000000001</v>
      </c>
      <c r="H81" s="16">
        <v>87594.3</v>
      </c>
      <c r="I81" s="408">
        <f t="shared" si="22"/>
        <v>238070.5</v>
      </c>
      <c r="J81" s="468">
        <f>IF($J$4=1,InputPopulationDeaths!E90,InputPopulationDeaths!F90)</f>
        <v>20855</v>
      </c>
      <c r="K81" s="502">
        <f>IF($J$4=1,InputPopulationDeaths!J90,InputPopulationDeaths!K90)</f>
        <v>25</v>
      </c>
      <c r="L81" s="13">
        <f t="shared" si="18"/>
        <v>368.61220174433822</v>
      </c>
      <c r="M81" s="13">
        <f t="shared" si="19"/>
        <v>214.5743166245166</v>
      </c>
      <c r="N81" s="409">
        <f t="shared" si="20"/>
        <v>583.18651836885476</v>
      </c>
      <c r="O81" s="318">
        <f t="shared" si="21"/>
        <v>1.0770655520157018</v>
      </c>
      <c r="P81" s="380">
        <f t="shared" si="23"/>
        <v>119.87532965715656</v>
      </c>
      <c r="Q81" s="380">
        <f t="shared" si="15"/>
        <v>111.29808156319996</v>
      </c>
    </row>
    <row r="82" spans="2:17" x14ac:dyDescent="0.2">
      <c r="B82" s="1" t="s">
        <v>26</v>
      </c>
      <c r="C82" s="2">
        <v>2</v>
      </c>
      <c r="D82" s="322" t="s">
        <v>13</v>
      </c>
      <c r="E82" s="15">
        <v>7152707</v>
      </c>
      <c r="F82" s="16">
        <v>13867.2</v>
      </c>
      <c r="G82" s="16">
        <v>88267.1</v>
      </c>
      <c r="H82" s="16">
        <v>52907.9</v>
      </c>
      <c r="I82" s="408">
        <f t="shared" si="22"/>
        <v>141175</v>
      </c>
      <c r="J82" s="468">
        <f>IF($J$4=1,InputPopulationDeaths!E91,InputPopulationDeaths!F91)</f>
        <v>16854</v>
      </c>
      <c r="K82" s="502">
        <f>IF($J$4=1,InputPopulationDeaths!J91,InputPopulationDeaths!K91)</f>
        <v>47</v>
      </c>
      <c r="L82" s="13">
        <f t="shared" si="18"/>
        <v>299.1630394023307</v>
      </c>
      <c r="M82" s="13">
        <f t="shared" si="19"/>
        <v>179.32036027460481</v>
      </c>
      <c r="N82" s="409">
        <f t="shared" si="20"/>
        <v>478.48339967693551</v>
      </c>
      <c r="O82" s="318">
        <f t="shared" si="21"/>
        <v>1.438389566862101</v>
      </c>
      <c r="P82" s="380">
        <f t="shared" si="23"/>
        <v>278.86555120446184</v>
      </c>
      <c r="Q82" s="380">
        <f t="shared" si="15"/>
        <v>193.87345238662789</v>
      </c>
    </row>
    <row r="83" spans="2:17" x14ac:dyDescent="0.2">
      <c r="B83" s="1" t="s">
        <v>26</v>
      </c>
      <c r="C83" s="2">
        <v>1</v>
      </c>
      <c r="D83" s="322" t="s">
        <v>6</v>
      </c>
      <c r="E83" s="15">
        <v>10319427</v>
      </c>
      <c r="F83" s="16">
        <v>12.4541</v>
      </c>
      <c r="G83" s="16">
        <v>1059.08</v>
      </c>
      <c r="H83" s="16">
        <v>2343.7399999999998</v>
      </c>
      <c r="I83" s="408">
        <f t="shared" si="22"/>
        <v>3402.8199999999997</v>
      </c>
      <c r="J83" s="468">
        <f>IF($J$4=1,InputPopulationDeaths!E92,InputPopulationDeaths!F92)</f>
        <v>40476</v>
      </c>
      <c r="K83" s="502">
        <f>IF($J$4=1,InputPopulationDeaths!J92,InputPopulationDeaths!K92)</f>
        <v>0</v>
      </c>
      <c r="L83" s="13">
        <f t="shared" si="18"/>
        <v>4.1540409249467043</v>
      </c>
      <c r="M83" s="13">
        <f t="shared" si="19"/>
        <v>9.1928767207714142</v>
      </c>
      <c r="N83" s="409">
        <f t="shared" si="20"/>
        <v>13.34691764571812</v>
      </c>
      <c r="O83" s="318">
        <f t="shared" si="21"/>
        <v>1</v>
      </c>
      <c r="P83" s="380">
        <f t="shared" si="23"/>
        <v>0</v>
      </c>
      <c r="Q83" s="380">
        <f t="shared" si="15"/>
        <v>0.12068596444356842</v>
      </c>
    </row>
    <row r="84" spans="2:17" x14ac:dyDescent="0.2">
      <c r="B84" s="1" t="s">
        <v>26</v>
      </c>
      <c r="C84" s="2">
        <v>1</v>
      </c>
      <c r="D84" s="322" t="s">
        <v>7</v>
      </c>
      <c r="E84" s="15">
        <v>20969500</v>
      </c>
      <c r="F84" s="16">
        <v>14.139900000000001</v>
      </c>
      <c r="G84" s="16">
        <v>1061.49</v>
      </c>
      <c r="H84" s="16">
        <v>5917.75</v>
      </c>
      <c r="I84" s="408">
        <f t="shared" si="22"/>
        <v>6979.24</v>
      </c>
      <c r="J84" s="468">
        <f>IF($J$4=1,InputPopulationDeaths!E93,InputPopulationDeaths!F93)</f>
        <v>76614</v>
      </c>
      <c r="K84" s="502">
        <f>IF($J$4=1,InputPopulationDeaths!J93,InputPopulationDeaths!K93)</f>
        <v>0</v>
      </c>
      <c r="L84" s="13">
        <f t="shared" si="18"/>
        <v>3.8782515014664156</v>
      </c>
      <c r="M84" s="13">
        <f t="shared" si="19"/>
        <v>21.62104477932235</v>
      </c>
      <c r="N84" s="409">
        <f t="shared" si="20"/>
        <v>25.499296280788762</v>
      </c>
      <c r="O84" s="318">
        <f t="shared" si="21"/>
        <v>1</v>
      </c>
      <c r="P84" s="380">
        <f t="shared" si="23"/>
        <v>0</v>
      </c>
      <c r="Q84" s="380">
        <f t="shared" si="15"/>
        <v>6.7430792341257539E-2</v>
      </c>
    </row>
    <row r="85" spans="2:17" x14ac:dyDescent="0.2">
      <c r="B85" s="1" t="s">
        <v>26</v>
      </c>
      <c r="C85" s="2">
        <v>1</v>
      </c>
      <c r="D85" s="322" t="s">
        <v>8</v>
      </c>
      <c r="E85" s="15">
        <v>32953433</v>
      </c>
      <c r="F85" s="16">
        <v>179.4615</v>
      </c>
      <c r="G85" s="16">
        <v>11047.18</v>
      </c>
      <c r="H85" s="16">
        <v>17548.5</v>
      </c>
      <c r="I85" s="408">
        <f t="shared" si="22"/>
        <v>28595.68</v>
      </c>
      <c r="J85" s="468">
        <f>IF($J$4=1,InputPopulationDeaths!E94,InputPopulationDeaths!F94)</f>
        <v>116710</v>
      </c>
      <c r="K85" s="502">
        <f>IF($J$4=1,InputPopulationDeaths!J94,InputPopulationDeaths!K94)</f>
        <v>0</v>
      </c>
      <c r="L85" s="13">
        <f t="shared" si="18"/>
        <v>39.125403954119136</v>
      </c>
      <c r="M85" s="13">
        <f t="shared" si="19"/>
        <v>62.150897449743702</v>
      </c>
      <c r="N85" s="409">
        <f t="shared" si="20"/>
        <v>101.27630140386285</v>
      </c>
      <c r="O85" s="318">
        <f t="shared" si="21"/>
        <v>1</v>
      </c>
      <c r="P85" s="380">
        <f t="shared" si="23"/>
        <v>0</v>
      </c>
      <c r="Q85" s="380">
        <f t="shared" si="15"/>
        <v>0.5445912114831859</v>
      </c>
    </row>
    <row r="86" spans="2:17" x14ac:dyDescent="0.2">
      <c r="B86" s="1" t="s">
        <v>26</v>
      </c>
      <c r="C86" s="2">
        <v>1</v>
      </c>
      <c r="D86" s="322" t="s">
        <v>9</v>
      </c>
      <c r="E86" s="15">
        <v>30432499</v>
      </c>
      <c r="F86" s="16">
        <v>912.41099999999994</v>
      </c>
      <c r="G86" s="16">
        <v>43186.83</v>
      </c>
      <c r="H86" s="16">
        <v>67573.5</v>
      </c>
      <c r="I86" s="408">
        <f t="shared" si="22"/>
        <v>110760.33</v>
      </c>
      <c r="J86" s="468">
        <f>IF($J$4=1,InputPopulationDeaths!E95,InputPopulationDeaths!F95)</f>
        <v>89486</v>
      </c>
      <c r="K86" s="502">
        <f>IF($J$4=1,InputPopulationDeaths!J95,InputPopulationDeaths!K95)</f>
        <v>5</v>
      </c>
      <c r="L86" s="13">
        <f t="shared" si="18"/>
        <v>236.66324715506499</v>
      </c>
      <c r="M86" s="13">
        <f t="shared" si="19"/>
        <v>370.30187053860595</v>
      </c>
      <c r="N86" s="409">
        <f t="shared" si="20"/>
        <v>606.965117693671</v>
      </c>
      <c r="O86" s="318">
        <f t="shared" si="21"/>
        <v>1.8636399541118589</v>
      </c>
      <c r="P86" s="380">
        <f t="shared" si="23"/>
        <v>5.5874661958295153</v>
      </c>
      <c r="Q86" s="380">
        <f t="shared" si="15"/>
        <v>2.998146816664645</v>
      </c>
    </row>
    <row r="87" spans="2:17" x14ac:dyDescent="0.2">
      <c r="B87" s="1" t="s">
        <v>26</v>
      </c>
      <c r="C87" s="2">
        <v>1</v>
      </c>
      <c r="D87" s="322" t="s">
        <v>10</v>
      </c>
      <c r="E87" s="15">
        <v>31666007</v>
      </c>
      <c r="F87" s="16">
        <v>4679.3509999999997</v>
      </c>
      <c r="G87" s="16">
        <v>155357.79999999999</v>
      </c>
      <c r="H87" s="16">
        <v>177960.3</v>
      </c>
      <c r="I87" s="408">
        <f t="shared" si="22"/>
        <v>333318.09999999998</v>
      </c>
      <c r="J87" s="468">
        <f>IF($J$4=1,InputPopulationDeaths!E96,InputPopulationDeaths!F96)</f>
        <v>81265</v>
      </c>
      <c r="K87" s="502">
        <f>IF($J$4=1,InputPopulationDeaths!J96,InputPopulationDeaths!K96)</f>
        <v>26</v>
      </c>
      <c r="L87" s="13">
        <f t="shared" si="18"/>
        <v>863.21859591212535</v>
      </c>
      <c r="M87" s="13">
        <f t="shared" si="19"/>
        <v>988.80545614124696</v>
      </c>
      <c r="N87" s="409">
        <f t="shared" si="20"/>
        <v>1852.0240520533723</v>
      </c>
      <c r="O87" s="318">
        <f t="shared" si="21"/>
        <v>2.165097650302819</v>
      </c>
      <c r="P87" s="380">
        <f t="shared" si="23"/>
        <v>31.994093398141878</v>
      </c>
      <c r="Q87" s="380">
        <f t="shared" si="15"/>
        <v>14.777205727264571</v>
      </c>
    </row>
    <row r="88" spans="2:17" x14ac:dyDescent="0.2">
      <c r="B88" s="1" t="s">
        <v>26</v>
      </c>
      <c r="C88" s="2">
        <v>1</v>
      </c>
      <c r="D88" s="322" t="s">
        <v>11</v>
      </c>
      <c r="E88" s="15">
        <v>13930047</v>
      </c>
      <c r="F88" s="16">
        <v>7076.68</v>
      </c>
      <c r="G88" s="16">
        <v>163031.79999999999</v>
      </c>
      <c r="H88" s="16">
        <v>131766.79999999999</v>
      </c>
      <c r="I88" s="408">
        <f t="shared" si="22"/>
        <v>294798.59999999998</v>
      </c>
      <c r="J88" s="468">
        <f>IF($J$4=1,InputPopulationDeaths!E97,InputPopulationDeaths!F97)</f>
        <v>33077</v>
      </c>
      <c r="K88" s="502">
        <f>IF($J$4=1,InputPopulationDeaths!J97,InputPopulationDeaths!K97)</f>
        <v>29</v>
      </c>
      <c r="L88" s="13">
        <f t="shared" si="18"/>
        <v>668.09891078867486</v>
      </c>
      <c r="M88" s="13">
        <f t="shared" si="19"/>
        <v>539.9759774357467</v>
      </c>
      <c r="N88" s="409">
        <f t="shared" si="20"/>
        <v>1208.0748882244213</v>
      </c>
      <c r="O88" s="318">
        <f t="shared" si="21"/>
        <v>1.7258176597134709</v>
      </c>
      <c r="P88" s="380">
        <f t="shared" si="23"/>
        <v>87.67421471112857</v>
      </c>
      <c r="Q88" s="380">
        <f t="shared" si="15"/>
        <v>50.801551495124173</v>
      </c>
    </row>
    <row r="89" spans="2:17" x14ac:dyDescent="0.2">
      <c r="B89" s="1" t="s">
        <v>26</v>
      </c>
      <c r="C89" s="2">
        <v>1</v>
      </c>
      <c r="D89" s="322" t="s">
        <v>12</v>
      </c>
      <c r="E89" s="15">
        <v>7426360</v>
      </c>
      <c r="F89" s="16">
        <v>9963.94</v>
      </c>
      <c r="G89" s="16">
        <v>145243.9</v>
      </c>
      <c r="H89" s="16">
        <v>103044.1</v>
      </c>
      <c r="I89" s="408">
        <f t="shared" si="22"/>
        <v>248288</v>
      </c>
      <c r="J89" s="468">
        <f>IF($J$4=1,InputPopulationDeaths!E98,InputPopulationDeaths!F98)</f>
        <v>16815</v>
      </c>
      <c r="K89" s="502">
        <f>IF($J$4=1,InputPopulationDeaths!J98,InputPopulationDeaths!K98)</f>
        <v>32</v>
      </c>
      <c r="L89" s="13">
        <f t="shared" si="18"/>
        <v>466.46254393342389</v>
      </c>
      <c r="M89" s="13">
        <f t="shared" si="19"/>
        <v>330.93446969772998</v>
      </c>
      <c r="N89" s="409">
        <f t="shared" si="20"/>
        <v>797.39701363115387</v>
      </c>
      <c r="O89" s="318">
        <f t="shared" si="21"/>
        <v>1.4183976440752162</v>
      </c>
      <c r="P89" s="380">
        <f t="shared" si="23"/>
        <v>190.30627415997623</v>
      </c>
      <c r="Q89" s="380">
        <f t="shared" si="15"/>
        <v>134.16990288647469</v>
      </c>
    </row>
    <row r="90" spans="2:17" x14ac:dyDescent="0.2">
      <c r="B90" s="1" t="s">
        <v>26</v>
      </c>
      <c r="C90" s="2">
        <v>1</v>
      </c>
      <c r="D90" s="322" t="s">
        <v>13</v>
      </c>
      <c r="E90" s="15">
        <v>4084053</v>
      </c>
      <c r="F90" s="16">
        <v>21881.3</v>
      </c>
      <c r="G90" s="16">
        <v>119813</v>
      </c>
      <c r="H90" s="16">
        <v>87198</v>
      </c>
      <c r="I90" s="408">
        <f t="shared" si="22"/>
        <v>207011</v>
      </c>
      <c r="J90" s="468">
        <f>IF($J$4=1,InputPopulationDeaths!E99,InputPopulationDeaths!F99)</f>
        <v>10368</v>
      </c>
      <c r="K90" s="502">
        <f>IF($J$4=1,InputPopulationDeaths!J99,InputPopulationDeaths!K99)</f>
        <v>28</v>
      </c>
      <c r="L90" s="13">
        <f t="shared" si="18"/>
        <v>153.31648485236252</v>
      </c>
      <c r="M90" s="13">
        <f t="shared" si="19"/>
        <v>111.58130458427972</v>
      </c>
      <c r="N90" s="409">
        <f t="shared" si="20"/>
        <v>264.8977894366422</v>
      </c>
      <c r="O90" s="318">
        <f t="shared" si="21"/>
        <v>0.50405890510940254</v>
      </c>
      <c r="P90" s="380">
        <f t="shared" si="23"/>
        <v>270.06172839506172</v>
      </c>
      <c r="Q90" s="380">
        <f t="shared" si="15"/>
        <v>535.77414396923837</v>
      </c>
    </row>
    <row r="91" spans="2:17" x14ac:dyDescent="0.2">
      <c r="B91" s="5" t="s">
        <v>14</v>
      </c>
      <c r="C91" s="2"/>
      <c r="D91" s="322"/>
      <c r="E91" s="15">
        <f>SUM(E75:E90)</f>
        <v>308745538</v>
      </c>
      <c r="F91" s="15">
        <f>SUM(F75:F90)</f>
        <v>86056.559200000003</v>
      </c>
      <c r="G91" s="15">
        <f>SUM(G75:G90)</f>
        <v>1392360.01</v>
      </c>
      <c r="H91" s="15">
        <f>SUM(H75:H90)</f>
        <v>1164861.4300000002</v>
      </c>
      <c r="I91" s="407">
        <f>SUM(I75:I90)</f>
        <v>2557221.44</v>
      </c>
      <c r="J91" s="468">
        <f>IF($J$4=1,InputPopulationDeaths!E100,InputPopulationDeaths!F100)</f>
        <v>930450</v>
      </c>
      <c r="K91" s="502">
        <f>IF($J$4=1,InputPopulationDeaths!J100,InputPopulationDeaths!K100)</f>
        <v>222</v>
      </c>
      <c r="L91" s="13">
        <f t="shared" si="18"/>
        <v>3591.8694065100385</v>
      </c>
      <c r="M91" s="13">
        <f t="shared" si="19"/>
        <v>3004.9915992922943</v>
      </c>
      <c r="N91" s="409">
        <f t="shared" si="20"/>
        <v>6596.8610058023323</v>
      </c>
      <c r="O91" s="318">
        <f t="shared" si="21"/>
        <v>0.85600567995418175</v>
      </c>
      <c r="P91" s="380">
        <f>SUMPRODUCT(P75:P90,E75:E90)/E91</f>
        <v>29.943148596363326</v>
      </c>
      <c r="Q91" s="380">
        <f t="shared" si="15"/>
        <v>27.872972596611259</v>
      </c>
    </row>
    <row r="92" spans="2:17" x14ac:dyDescent="0.2">
      <c r="B92" s="1" t="s">
        <v>27</v>
      </c>
      <c r="C92" s="2">
        <v>2</v>
      </c>
      <c r="D92" s="322" t="s">
        <v>6</v>
      </c>
      <c r="E92" s="15">
        <v>9881935</v>
      </c>
      <c r="F92" s="17">
        <v>0</v>
      </c>
      <c r="G92" s="16">
        <v>0</v>
      </c>
      <c r="H92" s="16">
        <v>54.7239</v>
      </c>
      <c r="I92" s="408">
        <f t="shared" ref="I92:I107" si="24">G92+H92</f>
        <v>54.7239</v>
      </c>
      <c r="J92" s="468">
        <f>IF($J$4=1,InputPopulationDeaths!E101,InputPopulationDeaths!F101)</f>
        <v>38504</v>
      </c>
      <c r="K92" s="502">
        <f>IF($J$4=1,InputPopulationDeaths!J101,InputPopulationDeaths!K101)</f>
        <v>0</v>
      </c>
      <c r="L92" s="13">
        <f t="shared" si="18"/>
        <v>0</v>
      </c>
      <c r="M92" s="13">
        <f t="shared" si="19"/>
        <v>0.21322636159820926</v>
      </c>
      <c r="N92" s="409">
        <f t="shared" si="20"/>
        <v>0.21322636159820926</v>
      </c>
      <c r="O92" s="318">
        <f t="shared" si="21"/>
        <v>1</v>
      </c>
      <c r="P92" s="380">
        <f t="shared" ref="P92:P107" si="25">K92/J92*100000</f>
        <v>0</v>
      </c>
      <c r="Q92" s="380">
        <f t="shared" si="15"/>
        <v>0</v>
      </c>
    </row>
    <row r="93" spans="2:17" x14ac:dyDescent="0.2">
      <c r="B93" s="1" t="s">
        <v>27</v>
      </c>
      <c r="C93" s="2">
        <v>2</v>
      </c>
      <c r="D93" s="322" t="s">
        <v>7</v>
      </c>
      <c r="E93" s="15">
        <v>20056351</v>
      </c>
      <c r="F93" s="17">
        <v>0</v>
      </c>
      <c r="G93" s="16">
        <v>0</v>
      </c>
      <c r="H93" s="16">
        <v>98976.7</v>
      </c>
      <c r="I93" s="408">
        <f t="shared" si="24"/>
        <v>98976.7</v>
      </c>
      <c r="J93" s="468">
        <f>IF($J$4=1,InputPopulationDeaths!E102,InputPopulationDeaths!F102)</f>
        <v>73835</v>
      </c>
      <c r="K93" s="502">
        <f>IF($J$4=1,InputPopulationDeaths!J102,InputPopulationDeaths!K102)</f>
        <v>0</v>
      </c>
      <c r="L93" s="13">
        <f t="shared" si="18"/>
        <v>0</v>
      </c>
      <c r="M93" s="13">
        <f t="shared" si="19"/>
        <v>364.37059984141683</v>
      </c>
      <c r="N93" s="409">
        <f t="shared" si="20"/>
        <v>364.37059984141683</v>
      </c>
      <c r="O93" s="318">
        <f t="shared" si="21"/>
        <v>1</v>
      </c>
      <c r="P93" s="380">
        <f t="shared" si="25"/>
        <v>0</v>
      </c>
      <c r="Q93" s="380">
        <f t="shared" si="15"/>
        <v>0</v>
      </c>
    </row>
    <row r="94" spans="2:17" x14ac:dyDescent="0.2">
      <c r="B94" s="1" t="s">
        <v>27</v>
      </c>
      <c r="C94" s="2">
        <v>2</v>
      </c>
      <c r="D94" s="322" t="s">
        <v>8</v>
      </c>
      <c r="E94" s="15">
        <v>31774758</v>
      </c>
      <c r="F94" s="17">
        <v>0</v>
      </c>
      <c r="G94" s="16">
        <v>0</v>
      </c>
      <c r="H94" s="16">
        <v>305000.2</v>
      </c>
      <c r="I94" s="408">
        <f t="shared" si="24"/>
        <v>305000.2</v>
      </c>
      <c r="J94" s="468">
        <f>IF($J$4=1,InputPopulationDeaths!E103,InputPopulationDeaths!F103)</f>
        <v>110381</v>
      </c>
      <c r="K94" s="502">
        <f>IF($J$4=1,InputPopulationDeaths!J103,InputPopulationDeaths!K103)</f>
        <v>0</v>
      </c>
      <c r="L94" s="13">
        <f t="shared" si="18"/>
        <v>0</v>
      </c>
      <c r="M94" s="13">
        <f t="shared" si="19"/>
        <v>1059.5274109152933</v>
      </c>
      <c r="N94" s="409">
        <f t="shared" si="20"/>
        <v>1059.5274109152933</v>
      </c>
      <c r="O94" s="318">
        <f t="shared" si="21"/>
        <v>1</v>
      </c>
      <c r="P94" s="380">
        <f t="shared" si="25"/>
        <v>0</v>
      </c>
      <c r="Q94" s="380">
        <f t="shared" si="15"/>
        <v>0</v>
      </c>
    </row>
    <row r="95" spans="2:17" x14ac:dyDescent="0.2">
      <c r="B95" s="1" t="s">
        <v>27</v>
      </c>
      <c r="C95" s="2">
        <v>2</v>
      </c>
      <c r="D95" s="322" t="s">
        <v>9</v>
      </c>
      <c r="E95" s="15">
        <v>30600206</v>
      </c>
      <c r="F95" s="17">
        <v>0</v>
      </c>
      <c r="G95" s="16">
        <v>0</v>
      </c>
      <c r="H95" s="16">
        <v>339812</v>
      </c>
      <c r="I95" s="408">
        <f t="shared" si="24"/>
        <v>339812</v>
      </c>
      <c r="J95" s="468">
        <f>IF($J$4=1,InputPopulationDeaths!E104,InputPopulationDeaths!F104)</f>
        <v>87117</v>
      </c>
      <c r="K95" s="502">
        <f>IF($J$4=1,InputPopulationDeaths!J104,InputPopulationDeaths!K104)</f>
        <v>0</v>
      </c>
      <c r="L95" s="13">
        <f t="shared" si="18"/>
        <v>0</v>
      </c>
      <c r="M95" s="13">
        <f t="shared" si="19"/>
        <v>967.42492530932634</v>
      </c>
      <c r="N95" s="409">
        <f t="shared" si="20"/>
        <v>967.42492530932634</v>
      </c>
      <c r="O95" s="318">
        <f t="shared" si="21"/>
        <v>1</v>
      </c>
      <c r="P95" s="380">
        <f t="shared" si="25"/>
        <v>0</v>
      </c>
      <c r="Q95" s="380">
        <f t="shared" si="15"/>
        <v>0</v>
      </c>
    </row>
    <row r="96" spans="2:17" x14ac:dyDescent="0.2">
      <c r="B96" s="1" t="s">
        <v>27</v>
      </c>
      <c r="C96" s="2">
        <v>2</v>
      </c>
      <c r="D96" s="322" t="s">
        <v>10</v>
      </c>
      <c r="E96" s="15">
        <v>33005514</v>
      </c>
      <c r="F96" s="17">
        <v>0</v>
      </c>
      <c r="G96" s="16">
        <v>0</v>
      </c>
      <c r="H96" s="16">
        <v>359511</v>
      </c>
      <c r="I96" s="408">
        <f t="shared" si="24"/>
        <v>359511</v>
      </c>
      <c r="J96" s="468">
        <f>IF($J$4=1,InputPopulationDeaths!E105,InputPopulationDeaths!F105)</f>
        <v>82694</v>
      </c>
      <c r="K96" s="502">
        <f>IF($J$4=1,InputPopulationDeaths!J105,InputPopulationDeaths!K105)</f>
        <v>0</v>
      </c>
      <c r="L96" s="13">
        <f t="shared" si="18"/>
        <v>0</v>
      </c>
      <c r="M96" s="13">
        <f t="shared" si="19"/>
        <v>900.7404833628708</v>
      </c>
      <c r="N96" s="409">
        <f t="shared" si="20"/>
        <v>900.7404833628708</v>
      </c>
      <c r="O96" s="318">
        <f t="shared" si="21"/>
        <v>1</v>
      </c>
      <c r="P96" s="380">
        <f t="shared" si="25"/>
        <v>0</v>
      </c>
      <c r="Q96" s="380">
        <f t="shared" si="15"/>
        <v>0</v>
      </c>
    </row>
    <row r="97" spans="2:17" x14ac:dyDescent="0.2">
      <c r="B97" s="1" t="s">
        <v>27</v>
      </c>
      <c r="C97" s="2">
        <v>2</v>
      </c>
      <c r="D97" s="322" t="s">
        <v>11</v>
      </c>
      <c r="E97" s="15">
        <v>15323140</v>
      </c>
      <c r="F97" s="17">
        <v>0</v>
      </c>
      <c r="G97" s="16">
        <v>0</v>
      </c>
      <c r="H97" s="16">
        <v>133701.70000000001</v>
      </c>
      <c r="I97" s="408">
        <f t="shared" si="24"/>
        <v>133701.70000000001</v>
      </c>
      <c r="J97" s="468">
        <f>IF($J$4=1,InputPopulationDeaths!E106,InputPopulationDeaths!F106)</f>
        <v>35399</v>
      </c>
      <c r="K97" s="502">
        <f>IF($J$4=1,InputPopulationDeaths!J106,InputPopulationDeaths!K106)</f>
        <v>0</v>
      </c>
      <c r="L97" s="13">
        <f t="shared" si="18"/>
        <v>0</v>
      </c>
      <c r="M97" s="13">
        <f t="shared" si="19"/>
        <v>308.87314729879125</v>
      </c>
      <c r="N97" s="409">
        <f t="shared" si="20"/>
        <v>308.87314729879125</v>
      </c>
      <c r="O97" s="318">
        <f t="shared" si="21"/>
        <v>1</v>
      </c>
      <c r="P97" s="380">
        <f t="shared" si="25"/>
        <v>0</v>
      </c>
      <c r="Q97" s="380">
        <f t="shared" si="15"/>
        <v>0</v>
      </c>
    </row>
    <row r="98" spans="2:17" x14ac:dyDescent="0.2">
      <c r="B98" s="1" t="s">
        <v>27</v>
      </c>
      <c r="C98" s="2">
        <v>2</v>
      </c>
      <c r="D98" s="322" t="s">
        <v>12</v>
      </c>
      <c r="E98" s="15">
        <v>9169601</v>
      </c>
      <c r="F98" s="17">
        <v>0</v>
      </c>
      <c r="G98" s="16">
        <v>0</v>
      </c>
      <c r="H98" s="16">
        <v>61696.7</v>
      </c>
      <c r="I98" s="408">
        <f t="shared" si="24"/>
        <v>61696.7</v>
      </c>
      <c r="J98" s="468">
        <f>IF($J$4=1,InputPopulationDeaths!E107,InputPopulationDeaths!F107)</f>
        <v>20855</v>
      </c>
      <c r="K98" s="502">
        <f>IF($J$4=1,InputPopulationDeaths!J107,InputPopulationDeaths!K107)</f>
        <v>0</v>
      </c>
      <c r="L98" s="13">
        <f t="shared" si="18"/>
        <v>0</v>
      </c>
      <c r="M98" s="13">
        <f t="shared" si="19"/>
        <v>140.32068336452153</v>
      </c>
      <c r="N98" s="409">
        <f t="shared" si="20"/>
        <v>140.32068336452153</v>
      </c>
      <c r="O98" s="318">
        <f t="shared" si="21"/>
        <v>1</v>
      </c>
      <c r="P98" s="380">
        <f t="shared" si="25"/>
        <v>0</v>
      </c>
      <c r="Q98" s="380">
        <f t="shared" si="15"/>
        <v>0</v>
      </c>
    </row>
    <row r="99" spans="2:17" x14ac:dyDescent="0.2">
      <c r="B99" s="1" t="s">
        <v>27</v>
      </c>
      <c r="C99" s="2">
        <v>2</v>
      </c>
      <c r="D99" s="322" t="s">
        <v>13</v>
      </c>
      <c r="E99" s="15">
        <v>7152707</v>
      </c>
      <c r="F99" s="17">
        <v>0</v>
      </c>
      <c r="G99" s="16">
        <v>0</v>
      </c>
      <c r="H99" s="16">
        <v>35935.199999999997</v>
      </c>
      <c r="I99" s="408">
        <f t="shared" si="24"/>
        <v>35935.199999999997</v>
      </c>
      <c r="J99" s="468">
        <f>IF($J$4=1,InputPopulationDeaths!E108,InputPopulationDeaths!F108)</f>
        <v>16854</v>
      </c>
      <c r="K99" s="502">
        <f>IF($J$4=1,InputPopulationDeaths!J108,InputPopulationDeaths!K108)</f>
        <v>0</v>
      </c>
      <c r="L99" s="13">
        <f t="shared" si="18"/>
        <v>0</v>
      </c>
      <c r="M99" s="13">
        <f t="shared" si="19"/>
        <v>84.674496075401933</v>
      </c>
      <c r="N99" s="409">
        <f t="shared" si="20"/>
        <v>84.674496075401933</v>
      </c>
      <c r="O99" s="318">
        <f t="shared" si="21"/>
        <v>1</v>
      </c>
      <c r="P99" s="380">
        <f t="shared" si="25"/>
        <v>0</v>
      </c>
      <c r="Q99" s="380">
        <f t="shared" si="15"/>
        <v>0</v>
      </c>
    </row>
    <row r="100" spans="2:17" x14ac:dyDescent="0.2">
      <c r="B100" s="1" t="s">
        <v>27</v>
      </c>
      <c r="C100" s="2">
        <v>1</v>
      </c>
      <c r="D100" s="322" t="s">
        <v>6</v>
      </c>
      <c r="E100" s="15">
        <v>10319427</v>
      </c>
      <c r="F100" s="17">
        <v>0</v>
      </c>
      <c r="G100" s="16">
        <v>0</v>
      </c>
      <c r="H100" s="16">
        <v>91.263999999999996</v>
      </c>
      <c r="I100" s="408">
        <f t="shared" si="24"/>
        <v>91.263999999999996</v>
      </c>
      <c r="J100" s="468">
        <f>IF($J$4=1,InputPopulationDeaths!E109,InputPopulationDeaths!F109)</f>
        <v>40476</v>
      </c>
      <c r="K100" s="502">
        <f>IF($J$4=1,InputPopulationDeaths!J109,InputPopulationDeaths!K109)</f>
        <v>0</v>
      </c>
      <c r="L100" s="13">
        <f t="shared" si="18"/>
        <v>0</v>
      </c>
      <c r="M100" s="13">
        <f t="shared" si="19"/>
        <v>0.35796577309961108</v>
      </c>
      <c r="N100" s="409">
        <f t="shared" si="20"/>
        <v>0.35796577309961108</v>
      </c>
      <c r="O100" s="318">
        <f t="shared" si="21"/>
        <v>1</v>
      </c>
      <c r="P100" s="380">
        <f t="shared" si="25"/>
        <v>0</v>
      </c>
      <c r="Q100" s="380">
        <f t="shared" si="15"/>
        <v>0</v>
      </c>
    </row>
    <row r="101" spans="2:17" x14ac:dyDescent="0.2">
      <c r="B101" s="1" t="s">
        <v>27</v>
      </c>
      <c r="C101" s="2">
        <v>1</v>
      </c>
      <c r="D101" s="322" t="s">
        <v>7</v>
      </c>
      <c r="E101" s="15">
        <v>20969500</v>
      </c>
      <c r="F101" s="17">
        <v>0</v>
      </c>
      <c r="G101" s="16">
        <v>0</v>
      </c>
      <c r="H101" s="16">
        <v>156479</v>
      </c>
      <c r="I101" s="408">
        <f t="shared" si="24"/>
        <v>156479</v>
      </c>
      <c r="J101" s="468">
        <f>IF($J$4=1,InputPopulationDeaths!E110,InputPopulationDeaths!F110)</f>
        <v>76614</v>
      </c>
      <c r="K101" s="502">
        <f>IF($J$4=1,InputPopulationDeaths!J110,InputPopulationDeaths!K110)</f>
        <v>0</v>
      </c>
      <c r="L101" s="13">
        <f t="shared" si="18"/>
        <v>0</v>
      </c>
      <c r="M101" s="13">
        <f t="shared" si="19"/>
        <v>571.71044164143166</v>
      </c>
      <c r="N101" s="409">
        <f t="shared" si="20"/>
        <v>571.71044164143166</v>
      </c>
      <c r="O101" s="318">
        <f t="shared" si="21"/>
        <v>1</v>
      </c>
      <c r="P101" s="380">
        <f t="shared" si="25"/>
        <v>0</v>
      </c>
      <c r="Q101" s="380">
        <f t="shared" si="15"/>
        <v>0</v>
      </c>
    </row>
    <row r="102" spans="2:17" x14ac:dyDescent="0.2">
      <c r="B102" s="1" t="s">
        <v>27</v>
      </c>
      <c r="C102" s="2">
        <v>1</v>
      </c>
      <c r="D102" s="322" t="s">
        <v>8</v>
      </c>
      <c r="E102" s="15">
        <v>32953433</v>
      </c>
      <c r="F102" s="17">
        <v>0</v>
      </c>
      <c r="G102" s="16">
        <v>0</v>
      </c>
      <c r="H102" s="16">
        <v>468683</v>
      </c>
      <c r="I102" s="408">
        <f t="shared" si="24"/>
        <v>468683</v>
      </c>
      <c r="J102" s="468">
        <f>IF($J$4=1,InputPopulationDeaths!E111,InputPopulationDeaths!F111)</f>
        <v>116710</v>
      </c>
      <c r="K102" s="502">
        <f>IF($J$4=1,InputPopulationDeaths!J111,InputPopulationDeaths!K111)</f>
        <v>0</v>
      </c>
      <c r="L102" s="13">
        <f t="shared" si="18"/>
        <v>0</v>
      </c>
      <c r="M102" s="13">
        <f t="shared" si="19"/>
        <v>1659.9178886764241</v>
      </c>
      <c r="N102" s="409">
        <f t="shared" si="20"/>
        <v>1659.9178886764241</v>
      </c>
      <c r="O102" s="318">
        <f t="shared" si="21"/>
        <v>1</v>
      </c>
      <c r="P102" s="380">
        <f t="shared" si="25"/>
        <v>0</v>
      </c>
      <c r="Q102" s="380">
        <f t="shared" ref="Q102:Q108" si="26">(F102/E102)*100000</f>
        <v>0</v>
      </c>
    </row>
    <row r="103" spans="2:17" x14ac:dyDescent="0.2">
      <c r="B103" s="1" t="s">
        <v>27</v>
      </c>
      <c r="C103" s="2">
        <v>1</v>
      </c>
      <c r="D103" s="322" t="s">
        <v>9</v>
      </c>
      <c r="E103" s="15">
        <v>30432499</v>
      </c>
      <c r="F103" s="17">
        <v>0</v>
      </c>
      <c r="G103" s="16">
        <v>0</v>
      </c>
      <c r="H103" s="16">
        <v>544391</v>
      </c>
      <c r="I103" s="408">
        <f t="shared" si="24"/>
        <v>544391</v>
      </c>
      <c r="J103" s="468">
        <f>IF($J$4=1,InputPopulationDeaths!E112,InputPopulationDeaths!F112)</f>
        <v>89486</v>
      </c>
      <c r="K103" s="502">
        <f>IF($J$4=1,InputPopulationDeaths!J112,InputPopulationDeaths!K112)</f>
        <v>0</v>
      </c>
      <c r="L103" s="13">
        <f t="shared" ref="L103:L108" si="27">$O103*G103/$E103*$J103</f>
        <v>0</v>
      </c>
      <c r="M103" s="13">
        <f t="shared" ref="M103:M108" si="28">$O103*H103/$E103*$J103</f>
        <v>1600.7680810570303</v>
      </c>
      <c r="N103" s="409">
        <f t="shared" ref="N103:N108" si="29">$O103*I103/$E103*$J103</f>
        <v>1600.7680810570303</v>
      </c>
      <c r="O103" s="318">
        <f t="shared" ref="O103:O108" si="30">IF(OR(F103 = 0, K103 = 0),1,(K103/J103)/(F103/E103))</f>
        <v>1</v>
      </c>
      <c r="P103" s="380">
        <f t="shared" si="25"/>
        <v>0</v>
      </c>
      <c r="Q103" s="380">
        <f t="shared" si="26"/>
        <v>0</v>
      </c>
    </row>
    <row r="104" spans="2:17" x14ac:dyDescent="0.2">
      <c r="B104" s="1" t="s">
        <v>27</v>
      </c>
      <c r="C104" s="2">
        <v>1</v>
      </c>
      <c r="D104" s="322" t="s">
        <v>10</v>
      </c>
      <c r="E104" s="15">
        <v>31666007</v>
      </c>
      <c r="F104" s="17">
        <v>0</v>
      </c>
      <c r="G104" s="16">
        <v>0</v>
      </c>
      <c r="H104" s="16">
        <v>613050</v>
      </c>
      <c r="I104" s="408">
        <f t="shared" si="24"/>
        <v>613050</v>
      </c>
      <c r="J104" s="468">
        <f>IF($J$4=1,InputPopulationDeaths!E113,InputPopulationDeaths!F113)</f>
        <v>81265</v>
      </c>
      <c r="K104" s="502">
        <f>IF($J$4=1,InputPopulationDeaths!J113,InputPopulationDeaths!K113)</f>
        <v>0</v>
      </c>
      <c r="L104" s="13">
        <f t="shared" si="27"/>
        <v>0</v>
      </c>
      <c r="M104" s="13">
        <f t="shared" si="28"/>
        <v>1573.2804028622868</v>
      </c>
      <c r="N104" s="409">
        <f t="shared" si="29"/>
        <v>1573.2804028622868</v>
      </c>
      <c r="O104" s="318">
        <f t="shared" si="30"/>
        <v>1</v>
      </c>
      <c r="P104" s="380">
        <f t="shared" si="25"/>
        <v>0</v>
      </c>
      <c r="Q104" s="380">
        <f t="shared" si="26"/>
        <v>0</v>
      </c>
    </row>
    <row r="105" spans="2:17" x14ac:dyDescent="0.2">
      <c r="B105" s="1" t="s">
        <v>27</v>
      </c>
      <c r="C105" s="2">
        <v>1</v>
      </c>
      <c r="D105" s="322" t="s">
        <v>11</v>
      </c>
      <c r="E105" s="15">
        <v>13930047</v>
      </c>
      <c r="F105" s="17">
        <v>0</v>
      </c>
      <c r="G105" s="16">
        <v>0</v>
      </c>
      <c r="H105" s="16">
        <v>244060.79999999999</v>
      </c>
      <c r="I105" s="408">
        <f t="shared" si="24"/>
        <v>244060.79999999999</v>
      </c>
      <c r="J105" s="468">
        <f>IF($J$4=1,InputPopulationDeaths!E114,InputPopulationDeaths!F114)</f>
        <v>33077</v>
      </c>
      <c r="K105" s="502">
        <f>IF($J$4=1,InputPopulationDeaths!J114,InputPopulationDeaths!K114)</f>
        <v>0</v>
      </c>
      <c r="L105" s="13">
        <f t="shared" si="27"/>
        <v>0</v>
      </c>
      <c r="M105" s="13">
        <f t="shared" si="28"/>
        <v>579.52418118905121</v>
      </c>
      <c r="N105" s="409">
        <f t="shared" si="29"/>
        <v>579.52418118905121</v>
      </c>
      <c r="O105" s="318">
        <f t="shared" si="30"/>
        <v>1</v>
      </c>
      <c r="P105" s="380">
        <f t="shared" si="25"/>
        <v>0</v>
      </c>
      <c r="Q105" s="380">
        <f t="shared" si="26"/>
        <v>0</v>
      </c>
    </row>
    <row r="106" spans="2:17" x14ac:dyDescent="0.2">
      <c r="B106" s="1" t="s">
        <v>27</v>
      </c>
      <c r="C106" s="2">
        <v>1</v>
      </c>
      <c r="D106" s="322" t="s">
        <v>12</v>
      </c>
      <c r="E106" s="15">
        <v>7426360</v>
      </c>
      <c r="F106" s="17">
        <v>0</v>
      </c>
      <c r="G106" s="16">
        <v>0</v>
      </c>
      <c r="H106" s="16">
        <v>128556.1</v>
      </c>
      <c r="I106" s="408">
        <f t="shared" si="24"/>
        <v>128556.1</v>
      </c>
      <c r="J106" s="468">
        <f>IF($J$4=1,InputPopulationDeaths!E115,InputPopulationDeaths!F115)</f>
        <v>16815</v>
      </c>
      <c r="K106" s="502">
        <f>IF($J$4=1,InputPopulationDeaths!J115,InputPopulationDeaths!K115)</f>
        <v>0</v>
      </c>
      <c r="L106" s="13">
        <f t="shared" si="27"/>
        <v>0</v>
      </c>
      <c r="M106" s="13">
        <f t="shared" si="28"/>
        <v>291.08080156361939</v>
      </c>
      <c r="N106" s="409">
        <f t="shared" si="29"/>
        <v>291.08080156361939</v>
      </c>
      <c r="O106" s="318">
        <f t="shared" si="30"/>
        <v>1</v>
      </c>
      <c r="P106" s="380">
        <f t="shared" si="25"/>
        <v>0</v>
      </c>
      <c r="Q106" s="380">
        <f t="shared" si="26"/>
        <v>0</v>
      </c>
    </row>
    <row r="107" spans="2:17" x14ac:dyDescent="0.2">
      <c r="B107" s="1" t="s">
        <v>27</v>
      </c>
      <c r="C107" s="2">
        <v>1</v>
      </c>
      <c r="D107" s="322" t="s">
        <v>13</v>
      </c>
      <c r="E107" s="15">
        <v>4084053</v>
      </c>
      <c r="F107" s="17">
        <v>0</v>
      </c>
      <c r="G107" s="16">
        <v>0</v>
      </c>
      <c r="H107" s="16">
        <v>104363</v>
      </c>
      <c r="I107" s="408">
        <f t="shared" si="24"/>
        <v>104363</v>
      </c>
      <c r="J107" s="468">
        <f>IF($J$4=1,InputPopulationDeaths!E116,InputPopulationDeaths!F116)</f>
        <v>10368</v>
      </c>
      <c r="K107" s="502">
        <f>IF($J$4=1,InputPopulationDeaths!J116,InputPopulationDeaths!K116)</f>
        <v>2</v>
      </c>
      <c r="L107" s="13">
        <f t="shared" si="27"/>
        <v>0</v>
      </c>
      <c r="M107" s="13">
        <f t="shared" si="28"/>
        <v>264.94161167839889</v>
      </c>
      <c r="N107" s="409">
        <f t="shared" si="29"/>
        <v>264.94161167839889</v>
      </c>
      <c r="O107" s="318">
        <f t="shared" si="30"/>
        <v>1</v>
      </c>
      <c r="P107" s="380">
        <f t="shared" si="25"/>
        <v>19.290123456790123</v>
      </c>
      <c r="Q107" s="380">
        <f t="shared" si="26"/>
        <v>0</v>
      </c>
    </row>
    <row r="108" spans="2:17" x14ac:dyDescent="0.2">
      <c r="B108" s="5" t="s">
        <v>14</v>
      </c>
      <c r="C108" s="2"/>
      <c r="D108" s="322"/>
      <c r="E108" s="15">
        <f>SUM(E92:E107)</f>
        <v>308745538</v>
      </c>
      <c r="F108" s="15">
        <f>SUM(F92:F107)</f>
        <v>0</v>
      </c>
      <c r="G108" s="15">
        <f>SUM(G92:G107)</f>
        <v>0</v>
      </c>
      <c r="H108" s="15">
        <f>SUM(H92:H107)</f>
        <v>3594362.3879</v>
      </c>
      <c r="I108" s="407">
        <f>SUM(I92:I107)</f>
        <v>3594362.3879</v>
      </c>
      <c r="J108" s="468">
        <f>IF($J$4=1,InputPopulationDeaths!E117,InputPopulationDeaths!F117)</f>
        <v>930450</v>
      </c>
      <c r="K108" s="502">
        <f>IF($J$4=1,InputPopulationDeaths!J117,InputPopulationDeaths!K117)</f>
        <v>2</v>
      </c>
      <c r="L108" s="13">
        <f t="shared" si="27"/>
        <v>0</v>
      </c>
      <c r="M108" s="13">
        <f t="shared" si="28"/>
        <v>10832.138677973559</v>
      </c>
      <c r="N108" s="409">
        <f t="shared" si="29"/>
        <v>10832.138677973559</v>
      </c>
      <c r="O108" s="318">
        <f t="shared" si="30"/>
        <v>1</v>
      </c>
      <c r="P108" s="380">
        <f>SUMPRODUCT(P92:P107,E92:E107)/E108</f>
        <v>0.25516769273625606</v>
      </c>
      <c r="Q108" s="380">
        <f t="shared" si="26"/>
        <v>0</v>
      </c>
    </row>
    <row r="109" spans="2:17" x14ac:dyDescent="0.2">
      <c r="B109" s="5"/>
      <c r="C109" s="2"/>
      <c r="D109" s="2"/>
    </row>
    <row r="110" spans="2:17" x14ac:dyDescent="0.2">
      <c r="B110" s="1"/>
      <c r="C110" s="2"/>
      <c r="D110" s="2"/>
    </row>
    <row r="111" spans="2:17" x14ac:dyDescent="0.2">
      <c r="B111" s="351" t="s">
        <v>183</v>
      </c>
      <c r="C111" s="1"/>
      <c r="D111" s="1"/>
    </row>
    <row r="113" spans="2:5" x14ac:dyDescent="0.2">
      <c r="B113" s="5" t="s">
        <v>25</v>
      </c>
      <c r="C113" s="5" t="s">
        <v>185</v>
      </c>
      <c r="D113" s="5" t="s">
        <v>184</v>
      </c>
      <c r="E113" s="5" t="s">
        <v>140</v>
      </c>
    </row>
    <row r="114" spans="2:5" x14ac:dyDescent="0.2">
      <c r="B114" s="352">
        <f>K23+K40+K57+K74+K91+K108</f>
        <v>1789</v>
      </c>
      <c r="C114" s="352">
        <f>L23+L40+L57+L74+L91+L108</f>
        <v>22509.011884608044</v>
      </c>
      <c r="D114" s="352">
        <f>M23+M40+M57+M74+M91+M108</f>
        <v>17567.708682521254</v>
      </c>
      <c r="E114" s="352">
        <f>N23+N40+N57+N74+N91+N108</f>
        <v>40076.720567129298</v>
      </c>
    </row>
    <row r="115" spans="2:5" x14ac:dyDescent="0.2">
      <c r="C115" s="2"/>
      <c r="D115" s="2"/>
    </row>
    <row r="116" spans="2:5" x14ac:dyDescent="0.2">
      <c r="C116" s="2"/>
      <c r="D116" s="2"/>
    </row>
    <row r="117" spans="2:5" x14ac:dyDescent="0.2">
      <c r="B117" s="1"/>
      <c r="C117" s="2"/>
      <c r="D117" s="6"/>
    </row>
    <row r="118" spans="2:5" x14ac:dyDescent="0.2">
      <c r="B118" s="1"/>
      <c r="C118" s="2"/>
      <c r="D118" s="2"/>
    </row>
    <row r="119" spans="2:5" x14ac:dyDescent="0.2">
      <c r="B119" s="1"/>
      <c r="C119" s="2"/>
      <c r="D119" s="2"/>
    </row>
    <row r="120" spans="2:5" x14ac:dyDescent="0.2">
      <c r="B120" s="1"/>
      <c r="C120" s="2"/>
      <c r="D120" s="2"/>
    </row>
    <row r="121" spans="2:5" x14ac:dyDescent="0.2">
      <c r="B121" s="1"/>
      <c r="C121" s="2"/>
      <c r="D121" s="2"/>
    </row>
    <row r="122" spans="2:5" x14ac:dyDescent="0.2">
      <c r="B122" s="1"/>
      <c r="C122" s="2"/>
      <c r="D122" s="2"/>
    </row>
    <row r="123" spans="2:5" x14ac:dyDescent="0.2">
      <c r="B123" s="1"/>
      <c r="C123" s="2"/>
      <c r="D123" s="2"/>
    </row>
    <row r="124" spans="2:5" x14ac:dyDescent="0.2">
      <c r="B124" s="1"/>
      <c r="C124" s="2"/>
      <c r="D124" s="2"/>
    </row>
    <row r="125" spans="2:5" x14ac:dyDescent="0.2">
      <c r="B125" s="1"/>
      <c r="C125" s="2"/>
      <c r="D125" s="2"/>
    </row>
    <row r="126" spans="2:5" x14ac:dyDescent="0.2">
      <c r="B126" s="1"/>
      <c r="C126" s="2"/>
      <c r="D126" s="2"/>
    </row>
    <row r="127" spans="2:5" x14ac:dyDescent="0.2">
      <c r="B127" s="1"/>
      <c r="C127" s="2"/>
      <c r="D127" s="2"/>
    </row>
    <row r="128" spans="2:5" x14ac:dyDescent="0.2">
      <c r="B128" s="1"/>
      <c r="C128" s="2"/>
      <c r="D128" s="2"/>
    </row>
    <row r="129" spans="2:4" x14ac:dyDescent="0.2">
      <c r="B129" s="1"/>
      <c r="C129" s="2"/>
      <c r="D129" s="2"/>
    </row>
    <row r="130" spans="2:4" x14ac:dyDescent="0.2">
      <c r="B130" s="1"/>
      <c r="C130" s="2"/>
      <c r="D130" s="2"/>
    </row>
    <row r="131" spans="2:4" x14ac:dyDescent="0.2">
      <c r="B131" s="7"/>
      <c r="C131" s="7"/>
      <c r="D131" s="2"/>
    </row>
  </sheetData>
  <mergeCells count="4">
    <mergeCell ref="O5:O6"/>
    <mergeCell ref="E5:I5"/>
    <mergeCell ref="J5:N5"/>
    <mergeCell ref="P4:Q5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FF00"/>
  </sheetPr>
  <dimension ref="A1:T43"/>
  <sheetViews>
    <sheetView showGridLines="0" workbookViewId="0">
      <selection activeCell="E15" sqref="E15"/>
    </sheetView>
  </sheetViews>
  <sheetFormatPr defaultRowHeight="12.75" x14ac:dyDescent="0.2"/>
  <cols>
    <col min="1" max="1" width="3.5703125" style="447" customWidth="1"/>
    <col min="2" max="2" width="14" style="447" customWidth="1"/>
    <col min="3" max="3" width="14.7109375" style="447" customWidth="1"/>
    <col min="4" max="9" width="10.7109375" style="447" customWidth="1"/>
    <col min="10" max="11" width="5.7109375" style="447" customWidth="1"/>
    <col min="12" max="12" width="6.140625" style="447" customWidth="1"/>
    <col min="13" max="13" width="6" style="447" customWidth="1"/>
    <col min="14" max="15" width="7.7109375" style="447" customWidth="1"/>
    <col min="16" max="16" width="2.5703125" style="447" customWidth="1"/>
    <col min="17" max="18" width="0" style="447" hidden="1" customWidth="1"/>
    <col min="19" max="16384" width="9.140625" style="447"/>
  </cols>
  <sheetData>
    <row r="1" spans="1:20" x14ac:dyDescent="0.2"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</row>
    <row r="2" spans="1:20" ht="12.75" customHeight="1" x14ac:dyDescent="0.2">
      <c r="A2" s="20"/>
      <c r="B2" s="127" t="s">
        <v>167</v>
      </c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R2" s="100" t="s">
        <v>235</v>
      </c>
    </row>
    <row r="3" spans="1:20" ht="13.5" customHeight="1" x14ac:dyDescent="0.2">
      <c r="A3" s="20"/>
      <c r="B3" s="129"/>
      <c r="C3" s="129"/>
      <c r="D3" s="129"/>
      <c r="E3" s="129"/>
      <c r="F3" s="129"/>
      <c r="G3" s="129"/>
      <c r="H3" s="129"/>
      <c r="I3" s="129"/>
      <c r="J3" s="127"/>
      <c r="K3" s="127"/>
      <c r="L3" s="127"/>
      <c r="M3" s="127"/>
      <c r="N3" s="127"/>
    </row>
    <row r="4" spans="1:20" ht="12.75" customHeight="1" x14ac:dyDescent="0.2">
      <c r="A4" s="20"/>
      <c r="B4" s="282"/>
      <c r="C4" s="435" t="s">
        <v>68</v>
      </c>
      <c r="D4" s="413" t="s">
        <v>59</v>
      </c>
      <c r="E4" s="414" t="s">
        <v>62</v>
      </c>
      <c r="F4" s="414" t="s">
        <v>63</v>
      </c>
      <c r="G4" s="414" t="s">
        <v>64</v>
      </c>
      <c r="H4" s="415" t="s">
        <v>66</v>
      </c>
      <c r="I4" s="416" t="s">
        <v>172</v>
      </c>
      <c r="Q4" s="283" t="s">
        <v>168</v>
      </c>
      <c r="R4" s="447" t="s">
        <v>236</v>
      </c>
      <c r="T4" s="20"/>
    </row>
    <row r="5" spans="1:20" ht="12.75" customHeight="1" x14ac:dyDescent="0.2">
      <c r="A5" s="20"/>
      <c r="B5" s="598" t="s">
        <v>242</v>
      </c>
      <c r="C5" s="280" t="s">
        <v>38</v>
      </c>
      <c r="D5" s="64">
        <f t="shared" ref="D5:H6" si="0">(D7/D9/60)^-1</f>
        <v>3.9821251686974088</v>
      </c>
      <c r="E5" s="64">
        <f t="shared" si="0"/>
        <v>9.0113569635417452</v>
      </c>
      <c r="F5" s="64">
        <f t="shared" si="0"/>
        <v>8.7600287254152374</v>
      </c>
      <c r="G5" s="64">
        <f t="shared" si="0"/>
        <v>8.932500319012199</v>
      </c>
      <c r="H5" s="64">
        <f t="shared" si="0"/>
        <v>9.4450969912717397</v>
      </c>
      <c r="I5" s="412">
        <f>IF(($I$4="Baseline"),D5,IF(($I$4="A"),E5,IF(($I$4="B"),F5,IF(($I$4="C"),G5,IF(($I$4="D"),H5,"")))))</f>
        <v>9.4450969912717397</v>
      </c>
      <c r="Q5" s="447" t="s">
        <v>65</v>
      </c>
      <c r="R5" s="320" t="s">
        <v>6</v>
      </c>
      <c r="T5" s="446"/>
    </row>
    <row r="6" spans="1:20" x14ac:dyDescent="0.2">
      <c r="A6" s="20"/>
      <c r="B6" s="599"/>
      <c r="C6" s="424" t="s">
        <v>241</v>
      </c>
      <c r="D6" s="66">
        <f t="shared" si="0"/>
        <v>1.5738482511686873</v>
      </c>
      <c r="E6" s="66">
        <f t="shared" si="0"/>
        <v>2.6454470332144204</v>
      </c>
      <c r="F6" s="66">
        <f t="shared" si="0"/>
        <v>2.6297634741490068</v>
      </c>
      <c r="G6" s="66">
        <f t="shared" si="0"/>
        <v>2.6772250602532046</v>
      </c>
      <c r="H6" s="66">
        <f t="shared" si="0"/>
        <v>2.6856577338662455</v>
      </c>
      <c r="I6" s="412">
        <f>IF(($I$4="Baseline"),D6,IF(($I$4="A"),E6,IF(($I$4="B"),F6,IF(($I$4="C"),G6,IF(($I$4="D"),H6,"")))))</f>
        <v>2.6856577338662455</v>
      </c>
      <c r="Q6" s="447" t="s">
        <v>169</v>
      </c>
      <c r="R6" s="320" t="s">
        <v>7</v>
      </c>
      <c r="T6" s="410"/>
    </row>
    <row r="7" spans="1:20" x14ac:dyDescent="0.2">
      <c r="A7" s="20"/>
      <c r="B7" s="600" t="s">
        <v>243</v>
      </c>
      <c r="C7" s="423" t="s">
        <v>38</v>
      </c>
      <c r="D7" s="64">
        <v>2.4608236917080526</v>
      </c>
      <c r="E7" s="64">
        <v>2.4608236917080526</v>
      </c>
      <c r="F7" s="64">
        <v>2.4608236917080526</v>
      </c>
      <c r="G7" s="64">
        <v>2.4608236917080526</v>
      </c>
      <c r="H7" s="64">
        <v>2.4608236917080526</v>
      </c>
      <c r="I7" s="417">
        <f t="shared" ref="I7:I8" si="1">I9/(I5/60)</f>
        <v>2.4608236917080526</v>
      </c>
      <c r="Q7" s="213" t="s">
        <v>170</v>
      </c>
      <c r="R7" s="320" t="s">
        <v>8</v>
      </c>
      <c r="T7" s="410"/>
    </row>
    <row r="8" spans="1:20" x14ac:dyDescent="0.2">
      <c r="A8" s="20"/>
      <c r="B8" s="601"/>
      <c r="C8" s="424" t="s">
        <v>241</v>
      </c>
      <c r="D8" s="66">
        <v>5.4876181323572544</v>
      </c>
      <c r="E8" s="66">
        <v>5.4876181323572544</v>
      </c>
      <c r="F8" s="66">
        <v>5.4876181323572544</v>
      </c>
      <c r="G8" s="66">
        <v>5.4876181323572544</v>
      </c>
      <c r="H8" s="66">
        <v>5.4876181323572544</v>
      </c>
      <c r="I8" s="418">
        <f t="shared" si="1"/>
        <v>5.4876181323572553</v>
      </c>
      <c r="Q8" s="213" t="s">
        <v>171</v>
      </c>
      <c r="R8" s="320" t="s">
        <v>9</v>
      </c>
      <c r="T8" s="410"/>
    </row>
    <row r="9" spans="1:20" x14ac:dyDescent="0.2">
      <c r="A9" s="20"/>
      <c r="B9" s="602" t="s">
        <v>244</v>
      </c>
      <c r="C9" s="280" t="s">
        <v>38</v>
      </c>
      <c r="D9" s="64">
        <v>0.16332179930795848</v>
      </c>
      <c r="E9" s="64">
        <v>0.36958934517203107</v>
      </c>
      <c r="F9" s="64">
        <v>0.3592814371257485</v>
      </c>
      <c r="G9" s="64">
        <v>0.3663551401869159</v>
      </c>
      <c r="H9" s="64">
        <v>0.38737864077669903</v>
      </c>
      <c r="I9" s="412">
        <f>IF(($I$4="Baseline"),D9,IF(($I$4="A"),E9,IF(($I$4="B"),F9,IF(($I$4="C"),G9,IF(($I$4="D"),H9,"")))))</f>
        <v>0.38737864077669903</v>
      </c>
      <c r="Q9" s="24" t="s">
        <v>172</v>
      </c>
      <c r="R9" s="320" t="s">
        <v>10</v>
      </c>
      <c r="T9" s="410"/>
    </row>
    <row r="10" spans="1:20" x14ac:dyDescent="0.2">
      <c r="A10" s="20"/>
      <c r="B10" s="599"/>
      <c r="C10" s="422" t="s">
        <v>241</v>
      </c>
      <c r="D10" s="66">
        <v>0.1439446366782007</v>
      </c>
      <c r="E10" s="66">
        <v>0.24195338512763595</v>
      </c>
      <c r="F10" s="66">
        <v>0.2405189620758483</v>
      </c>
      <c r="G10" s="66">
        <v>0.24485981308411214</v>
      </c>
      <c r="H10" s="66">
        <v>0.24563106796116504</v>
      </c>
      <c r="I10" s="412">
        <f>IF(($I$4="Baseline"),D10,IF(($I$4="A"),E10,IF(($I$4="B"),F10,IF(($I$4="C"),G10,IF(($I$4="D"),H10,"")))))</f>
        <v>0.24563106796116504</v>
      </c>
      <c r="R10" s="320" t="s">
        <v>11</v>
      </c>
      <c r="T10" s="410"/>
    </row>
    <row r="11" spans="1:20" x14ac:dyDescent="0.2">
      <c r="A11" s="20"/>
      <c r="B11" s="603" t="s">
        <v>85</v>
      </c>
      <c r="C11" s="604"/>
      <c r="D11" s="419">
        <f t="shared" ref="D11:I11" si="2">(-0.0108*(D5+D6)+1.2682+0.68)</f>
        <v>1.8881954870654463</v>
      </c>
      <c r="E11" s="420">
        <f t="shared" si="2"/>
        <v>1.8223065168350336</v>
      </c>
      <c r="F11" s="420">
        <f t="shared" si="2"/>
        <v>1.8251902442447063</v>
      </c>
      <c r="G11" s="420">
        <f t="shared" si="2"/>
        <v>1.8228149659039339</v>
      </c>
      <c r="H11" s="420">
        <f t="shared" si="2"/>
        <v>1.8171878489685098</v>
      </c>
      <c r="I11" s="421">
        <f t="shared" si="2"/>
        <v>1.8171878489685098</v>
      </c>
      <c r="R11" s="320" t="s">
        <v>12</v>
      </c>
      <c r="T11" s="410"/>
    </row>
    <row r="12" spans="1:20" x14ac:dyDescent="0.2">
      <c r="R12" s="320" t="s">
        <v>13</v>
      </c>
      <c r="T12" s="410"/>
    </row>
    <row r="13" spans="1:20" ht="12.75" customHeight="1" x14ac:dyDescent="0.2">
      <c r="A13" s="20"/>
      <c r="B13" s="282"/>
      <c r="C13" s="435" t="s">
        <v>68</v>
      </c>
      <c r="D13" s="413" t="s">
        <v>59</v>
      </c>
      <c r="E13" s="414" t="s">
        <v>62</v>
      </c>
      <c r="F13" s="414" t="s">
        <v>63</v>
      </c>
      <c r="G13" s="414" t="s">
        <v>64</v>
      </c>
      <c r="H13" s="415" t="s">
        <v>66</v>
      </c>
      <c r="J13" s="283"/>
      <c r="R13" s="320" t="s">
        <v>6</v>
      </c>
      <c r="T13" s="410"/>
    </row>
    <row r="14" spans="1:20" ht="12.75" customHeight="1" x14ac:dyDescent="0.2">
      <c r="A14" s="20"/>
      <c r="B14" s="598" t="s">
        <v>242</v>
      </c>
      <c r="C14" s="280" t="s">
        <v>38</v>
      </c>
      <c r="D14" s="454">
        <f>SUM('CHTS 2013'!$W$86:$X$93)/SUM('CHTS 2013'!$Q$86:$R$93)</f>
        <v>4.5929857267603449</v>
      </c>
      <c r="E14" s="411">
        <f>$D$14*(1+$D$38)+1</f>
        <v>6.4940475275371385</v>
      </c>
      <c r="F14" s="411">
        <f>$D$14*(1+$E$38)+1</f>
        <v>6.3505918420958913</v>
      </c>
      <c r="G14" s="411">
        <f>$D$14*(1+$F$38)+1</f>
        <v>6.408584565997673</v>
      </c>
      <c r="H14" s="411">
        <f>$D$14*(1+$G$38)+1</f>
        <v>6.7046526827593951</v>
      </c>
      <c r="J14" s="283"/>
      <c r="R14" s="320" t="s">
        <v>7</v>
      </c>
      <c r="T14" s="410"/>
    </row>
    <row r="15" spans="1:20" x14ac:dyDescent="0.2">
      <c r="B15" s="599"/>
      <c r="C15" s="424" t="s">
        <v>241</v>
      </c>
      <c r="D15" s="454">
        <f>SUM('CHTS 2013'!$W$22:$X$29)/SUM('CHTS 2013'!$Q$22:$R$29)</f>
        <v>0.50889593610553019</v>
      </c>
      <c r="E15" s="411">
        <f>$D$15*(1+$D$39)+1</f>
        <v>1.5630428093715656</v>
      </c>
      <c r="F15" s="411">
        <f>$D$15*(1+$E$39)+1</f>
        <v>1.5541682291888264</v>
      </c>
      <c r="G15" s="411">
        <f>$D$15*(1+$F$39)+1</f>
        <v>1.5590985515125704</v>
      </c>
      <c r="H15" s="411">
        <f>$D$15*(1+$G$39)+1</f>
        <v>1.584736227596039</v>
      </c>
      <c r="R15" s="320" t="s">
        <v>8</v>
      </c>
      <c r="T15" s="410"/>
    </row>
    <row r="16" spans="1:20" ht="12" customHeight="1" x14ac:dyDescent="0.2">
      <c r="B16" s="600" t="s">
        <v>243</v>
      </c>
      <c r="C16" s="423" t="s">
        <v>38</v>
      </c>
      <c r="D16" s="442">
        <f t="shared" ref="D16:H17" si="3">D18/(D14/60)</f>
        <v>2.4608236917080526</v>
      </c>
      <c r="E16" s="443">
        <f t="shared" si="3"/>
        <v>2.5438499255022533</v>
      </c>
      <c r="F16" s="443">
        <f t="shared" si="3"/>
        <v>2.5457254334194213</v>
      </c>
      <c r="G16" s="443">
        <f t="shared" si="3"/>
        <v>2.5449571384527019</v>
      </c>
      <c r="H16" s="443">
        <f t="shared" si="3"/>
        <v>2.541241922719244</v>
      </c>
      <c r="J16" s="21"/>
      <c r="R16" s="320" t="s">
        <v>9</v>
      </c>
      <c r="T16" s="410"/>
    </row>
    <row r="17" spans="2:20" x14ac:dyDescent="0.2">
      <c r="B17" s="601"/>
      <c r="C17" s="424" t="s">
        <v>241</v>
      </c>
      <c r="D17" s="444">
        <f t="shared" si="3"/>
        <v>5.4876181323572544</v>
      </c>
      <c r="E17" s="445">
        <f t="shared" si="3"/>
        <v>5.8154286469321903</v>
      </c>
      <c r="F17" s="445">
        <f t="shared" si="3"/>
        <v>5.8173005039433567</v>
      </c>
      <c r="G17" s="445">
        <f t="shared" si="3"/>
        <v>5.8162579525569829</v>
      </c>
      <c r="H17" s="445">
        <f t="shared" si="3"/>
        <v>5.8109412562439369</v>
      </c>
      <c r="J17" s="281"/>
      <c r="R17" s="320" t="s">
        <v>10</v>
      </c>
      <c r="T17" s="410"/>
    </row>
    <row r="18" spans="2:20" x14ac:dyDescent="0.2">
      <c r="B18" s="602" t="s">
        <v>244</v>
      </c>
      <c r="C18" s="280" t="s">
        <v>38</v>
      </c>
      <c r="D18" s="453">
        <f>SUM('CHTS 2013'!$S$86:$T$93)/SUM('CHTS 2013'!$Q$86:$R$93)</f>
        <v>0.18837546820147977</v>
      </c>
      <c r="E18" s="411">
        <f>D18*(1+$D$38)+0.05</f>
        <v>0.27533137198555735</v>
      </c>
      <c r="F18" s="411">
        <f>D18*(1+$E$38)+0.05</f>
        <v>0.26944771949482338</v>
      </c>
      <c r="G18" s="411">
        <f>D18*(1+$F$38)+0.05</f>
        <v>0.27182621731022649</v>
      </c>
      <c r="H18" s="411">
        <f>D18*(1+$G$38)+0.05</f>
        <v>0.28396907457833703</v>
      </c>
      <c r="J18" s="24"/>
      <c r="R18" s="320" t="s">
        <v>11</v>
      </c>
      <c r="T18" s="410"/>
    </row>
    <row r="19" spans="2:20" x14ac:dyDescent="0.2">
      <c r="B19" s="599"/>
      <c r="C19" s="422" t="s">
        <v>241</v>
      </c>
      <c r="D19" s="453">
        <f>SUM('CHTS 2013'!$S$22:$T$29)/SUM('CHTS 2013'!$Q$22:$R$29)</f>
        <v>4.6543776107593776E-2</v>
      </c>
      <c r="E19" s="411">
        <f>D19*(1+$D$39)+0.1</f>
        <v>0.15149606550001288</v>
      </c>
      <c r="F19" s="411">
        <f>D19*(1+$E$39)+0.1</f>
        <v>0.15068439371454856</v>
      </c>
      <c r="G19" s="411">
        <f>D19*(1+$F$39)+0.1</f>
        <v>0.15113532248425099</v>
      </c>
      <c r="H19" s="411">
        <f>D19*(1+$G$39)+0.1</f>
        <v>0.1534801520867034</v>
      </c>
      <c r="J19" s="24"/>
      <c r="R19" s="320" t="s">
        <v>12</v>
      </c>
      <c r="T19" s="410"/>
    </row>
    <row r="20" spans="2:20" ht="12.75" customHeight="1" x14ac:dyDescent="0.2">
      <c r="B20" s="603" t="s">
        <v>85</v>
      </c>
      <c r="C20" s="604"/>
      <c r="D20" s="419">
        <f>(-0.0108*(D14+D15)+1.2682+0.68)</f>
        <v>1.8930996780410485</v>
      </c>
      <c r="E20" s="420">
        <f>(-0.0108*(E14+E15)+1.2682+0.68)</f>
        <v>1.8611834243613861</v>
      </c>
      <c r="F20" s="420">
        <f>(-0.0108*(F14+F15)+1.2682+0.68)</f>
        <v>1.8628285912301252</v>
      </c>
      <c r="G20" s="420">
        <f>(-0.0108*(G14+G15)+1.2682+0.68)</f>
        <v>1.8621490223308896</v>
      </c>
      <c r="H20" s="420">
        <f>(-0.0108*(H14+H15)+1.2682+0.68)</f>
        <v>1.8586745997681615</v>
      </c>
      <c r="J20" s="24"/>
      <c r="R20" s="320" t="s">
        <v>13</v>
      </c>
      <c r="T20" s="410"/>
    </row>
    <row r="21" spans="2:20" x14ac:dyDescent="0.2">
      <c r="J21" s="281"/>
    </row>
    <row r="22" spans="2:20" x14ac:dyDescent="0.2">
      <c r="B22" s="450"/>
      <c r="C22" s="233"/>
    </row>
    <row r="23" spans="2:20" x14ac:dyDescent="0.2">
      <c r="B23" s="447" t="s">
        <v>233</v>
      </c>
      <c r="K23" s="21"/>
    </row>
    <row r="24" spans="2:20" x14ac:dyDescent="0.2">
      <c r="B24" s="690"/>
      <c r="C24" s="213">
        <v>2008</v>
      </c>
      <c r="D24" s="213" t="s">
        <v>169</v>
      </c>
      <c r="E24" s="213" t="s">
        <v>170</v>
      </c>
      <c r="F24" s="213" t="s">
        <v>171</v>
      </c>
      <c r="G24" s="213" t="s">
        <v>172</v>
      </c>
      <c r="H24" s="213"/>
      <c r="K24" s="281"/>
    </row>
    <row r="25" spans="2:20" ht="12.75" customHeight="1" x14ac:dyDescent="0.2">
      <c r="B25" s="690" t="s">
        <v>79</v>
      </c>
      <c r="C25" s="213">
        <v>106189</v>
      </c>
      <c r="D25" s="388">
        <v>180000</v>
      </c>
      <c r="E25" s="388">
        <v>175300</v>
      </c>
      <c r="F25" s="388">
        <v>177200</v>
      </c>
      <c r="G25" s="388">
        <v>186900</v>
      </c>
      <c r="H25" s="281"/>
      <c r="K25" s="24"/>
    </row>
    <row r="26" spans="2:20" x14ac:dyDescent="0.2">
      <c r="B26" s="690" t="s">
        <v>71</v>
      </c>
      <c r="C26" s="24">
        <v>36419</v>
      </c>
      <c r="D26" s="24">
        <v>57100</v>
      </c>
      <c r="E26" s="24">
        <v>56200</v>
      </c>
      <c r="F26" s="24">
        <v>56700</v>
      </c>
      <c r="G26" s="24">
        <v>59300</v>
      </c>
      <c r="H26" s="24"/>
      <c r="I26" s="24"/>
      <c r="K26" s="24"/>
    </row>
    <row r="27" spans="2:20" ht="12.75" customHeight="1" x14ac:dyDescent="0.2">
      <c r="B27" s="690" t="s">
        <v>225</v>
      </c>
      <c r="C27" s="213">
        <v>33426</v>
      </c>
      <c r="D27" s="213">
        <v>49200</v>
      </c>
      <c r="E27" s="213">
        <v>47200</v>
      </c>
      <c r="F27" s="213">
        <v>48800</v>
      </c>
      <c r="G27" s="213">
        <v>51400</v>
      </c>
      <c r="H27" s="213"/>
      <c r="I27" s="24"/>
      <c r="K27" s="24"/>
      <c r="L27" s="283"/>
      <c r="M27" s="283"/>
      <c r="N27" s="283"/>
      <c r="O27" s="128"/>
    </row>
    <row r="28" spans="2:20" x14ac:dyDescent="0.2">
      <c r="B28" s="690"/>
      <c r="C28" s="213"/>
      <c r="D28" s="213"/>
      <c r="E28" s="213"/>
      <c r="F28" s="213"/>
      <c r="G28" s="213"/>
      <c r="H28" s="213"/>
      <c r="I28" s="24"/>
      <c r="K28" s="25"/>
      <c r="L28" s="283"/>
      <c r="M28" s="283"/>
      <c r="N28" s="283"/>
      <c r="O28" s="128"/>
    </row>
    <row r="29" spans="2:20" x14ac:dyDescent="0.2">
      <c r="B29" s="689"/>
      <c r="C29" s="448"/>
      <c r="D29" s="281"/>
      <c r="E29" s="281"/>
      <c r="F29" s="281"/>
      <c r="G29" s="281"/>
      <c r="H29" s="281"/>
      <c r="I29" s="281"/>
      <c r="K29" s="25"/>
    </row>
    <row r="30" spans="2:20" x14ac:dyDescent="0.2">
      <c r="B30" s="689" t="s">
        <v>24</v>
      </c>
      <c r="C30" s="689">
        <v>930450</v>
      </c>
      <c r="D30" s="281">
        <v>1318526</v>
      </c>
      <c r="E30" s="281"/>
      <c r="F30" s="281"/>
      <c r="G30" s="281"/>
      <c r="H30" s="281"/>
      <c r="I30" s="281"/>
      <c r="L30" s="21"/>
      <c r="M30" s="21"/>
      <c r="N30" s="21"/>
      <c r="O30" s="21"/>
      <c r="P30" s="21"/>
    </row>
    <row r="32" spans="2:20" x14ac:dyDescent="0.2">
      <c r="B32" s="20"/>
      <c r="C32" s="20"/>
      <c r="D32" s="20"/>
    </row>
    <row r="33" spans="2:8" x14ac:dyDescent="0.2">
      <c r="B33" s="19" t="s">
        <v>79</v>
      </c>
      <c r="C33" s="385">
        <v>0.1141264979311086</v>
      </c>
      <c r="D33" s="386">
        <v>0.13651607931887577</v>
      </c>
      <c r="E33" s="35">
        <v>0.13295149280332735</v>
      </c>
      <c r="F33" s="35">
        <v>0.13439249586280438</v>
      </c>
      <c r="G33" s="35">
        <v>0.14174919569276601</v>
      </c>
      <c r="H33" s="35"/>
    </row>
    <row r="34" spans="2:8" x14ac:dyDescent="0.2">
      <c r="B34" s="447" t="s">
        <v>71</v>
      </c>
      <c r="C34" s="385">
        <v>3.914127572679886E-2</v>
      </c>
      <c r="D34" s="385">
        <v>4.3305934050598925E-2</v>
      </c>
      <c r="E34" s="35">
        <v>4.2623353654004548E-2</v>
      </c>
      <c r="F34" s="35">
        <v>4.3002564985445871E-2</v>
      </c>
      <c r="G34" s="35">
        <v>4.4974463908940741E-2</v>
      </c>
      <c r="H34" s="35"/>
    </row>
    <row r="35" spans="2:8" x14ac:dyDescent="0.2">
      <c r="B35" s="447" t="s">
        <v>225</v>
      </c>
      <c r="C35" s="387">
        <v>3.592455263582138E-2</v>
      </c>
      <c r="D35" s="385">
        <v>3.7314395013826045E-2</v>
      </c>
      <c r="E35" s="35">
        <v>3.5797549688060759E-2</v>
      </c>
      <c r="F35" s="35">
        <v>3.701102594867299E-2</v>
      </c>
      <c r="G35" s="35">
        <v>3.8982924872167861E-2</v>
      </c>
      <c r="H35" s="35"/>
    </row>
    <row r="37" spans="2:8" x14ac:dyDescent="0.2">
      <c r="D37" s="447" t="s">
        <v>169</v>
      </c>
      <c r="E37" s="447" t="s">
        <v>170</v>
      </c>
      <c r="F37" s="447" t="s">
        <v>171</v>
      </c>
      <c r="G37" s="447" t="s">
        <v>172</v>
      </c>
    </row>
    <row r="38" spans="2:8" x14ac:dyDescent="0.2">
      <c r="C38" s="19" t="s">
        <v>79</v>
      </c>
      <c r="D38" s="389">
        <f>(D33-$C$33)/$C$33</f>
        <v>0.19618214694787564</v>
      </c>
      <c r="E38" s="389">
        <f>(E33-$C$33)/$C$33</f>
        <v>0.16494850199979225</v>
      </c>
      <c r="F38" s="389">
        <f>(F33-$C$33)/$C$33</f>
        <v>0.17757486910646436</v>
      </c>
      <c r="G38" s="389">
        <f>(G33-$C$33)/$C$33</f>
        <v>0.24203579591421082</v>
      </c>
    </row>
    <row r="39" spans="2:8" x14ac:dyDescent="0.2">
      <c r="C39" s="447" t="s">
        <v>71</v>
      </c>
      <c r="D39" s="390">
        <f>(D34-$C$34)/$C$34</f>
        <v>0.10640067924379501</v>
      </c>
      <c r="E39" s="390">
        <f>(E34-$C$34)/$C$34</f>
        <v>8.896178937830615E-2</v>
      </c>
      <c r="F39" s="390">
        <f>(F34-$C$34)/$C$34</f>
        <v>9.8650061525800026E-2</v>
      </c>
      <c r="G39" s="390">
        <f>(G34-$C$34)/$C$34</f>
        <v>0.14902907669276788</v>
      </c>
    </row>
    <row r="40" spans="2:8" x14ac:dyDescent="0.2">
      <c r="C40" s="447" t="s">
        <v>225</v>
      </c>
      <c r="D40" s="390">
        <f>(D35-$C$35)/$C$35</f>
        <v>3.8687813098020704E-2</v>
      </c>
      <c r="E40" s="390">
        <f>(E35-$C$35)/$C$35</f>
        <v>-3.5352687352321497E-3</v>
      </c>
      <c r="F40" s="390">
        <f>(F35-$C$35)/$C$35</f>
        <v>3.0243196731370207E-2</v>
      </c>
      <c r="G40" s="390">
        <f>(G35-$C$35)/$C$35</f>
        <v>8.5133203114598904E-2</v>
      </c>
    </row>
    <row r="41" spans="2:8" x14ac:dyDescent="0.2">
      <c r="B41" s="21"/>
      <c r="C41" s="21"/>
      <c r="D41" s="21"/>
      <c r="E41" s="21"/>
    </row>
    <row r="42" spans="2:8" x14ac:dyDescent="0.2">
      <c r="B42" s="21" t="s">
        <v>226</v>
      </c>
      <c r="C42" s="21"/>
      <c r="D42" s="21"/>
      <c r="E42" s="21"/>
    </row>
    <row r="43" spans="2:8" x14ac:dyDescent="0.2">
      <c r="B43" s="397" t="s">
        <v>234</v>
      </c>
      <c r="C43" s="21"/>
      <c r="D43" s="21"/>
      <c r="E43" s="21"/>
    </row>
  </sheetData>
  <mergeCells count="12">
    <mergeCell ref="B30:C30"/>
    <mergeCell ref="B5:B6"/>
    <mergeCell ref="B7:B8"/>
    <mergeCell ref="B9:B10"/>
    <mergeCell ref="B11:C11"/>
    <mergeCell ref="B14:B15"/>
    <mergeCell ref="B16:B17"/>
    <mergeCell ref="B18:B19"/>
    <mergeCell ref="B20:C20"/>
    <mergeCell ref="B24:B25"/>
    <mergeCell ref="B26:B27"/>
    <mergeCell ref="B28:B29"/>
  </mergeCells>
  <dataValidations count="1">
    <dataValidation type="list" allowBlank="1" showInputMessage="1" showErrorMessage="1" sqref="I4">
      <formula1>$Q$5:$Q$9</formula1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2" tint="-0.749992370372631"/>
  </sheetPr>
  <dimension ref="A2:X68"/>
  <sheetViews>
    <sheetView showGridLines="0" workbookViewId="0">
      <selection activeCell="C56" sqref="C56"/>
    </sheetView>
  </sheetViews>
  <sheetFormatPr defaultRowHeight="12.75" x14ac:dyDescent="0.2"/>
  <cols>
    <col min="3" max="3" width="11.5703125" customWidth="1"/>
    <col min="15" max="15" width="12.28515625" customWidth="1"/>
    <col min="16" max="16" width="12.140625" customWidth="1"/>
  </cols>
  <sheetData>
    <row r="2" spans="1:15" x14ac:dyDescent="0.2">
      <c r="A2" s="56" t="s">
        <v>88</v>
      </c>
    </row>
    <row r="3" spans="1:15" x14ac:dyDescent="0.2">
      <c r="C3" s="71" t="s">
        <v>92</v>
      </c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</row>
    <row r="4" spans="1:15" x14ac:dyDescent="0.2">
      <c r="B4" s="70" t="s">
        <v>28</v>
      </c>
      <c r="C4" s="69">
        <v>-1</v>
      </c>
      <c r="D4" s="62">
        <v>1</v>
      </c>
      <c r="E4" s="62">
        <v>2</v>
      </c>
      <c r="F4" s="62">
        <v>3</v>
      </c>
      <c r="G4" s="62">
        <v>4</v>
      </c>
      <c r="H4" s="62">
        <v>5</v>
      </c>
      <c r="I4" s="62">
        <v>6</v>
      </c>
      <c r="J4" s="62">
        <v>7</v>
      </c>
      <c r="K4" s="62">
        <v>8</v>
      </c>
      <c r="L4" s="62">
        <v>9</v>
      </c>
      <c r="M4" s="62">
        <v>10</v>
      </c>
      <c r="N4" s="84">
        <v>11</v>
      </c>
      <c r="O4" s="82">
        <v>99</v>
      </c>
    </row>
    <row r="5" spans="1:15" x14ac:dyDescent="0.2">
      <c r="B5" s="58">
        <v>3</v>
      </c>
      <c r="C5" s="63">
        <v>2.4457923088457099</v>
      </c>
      <c r="D5" s="64">
        <v>7.55033847109652</v>
      </c>
      <c r="E5" s="64">
        <v>7.49210604282354</v>
      </c>
      <c r="F5" s="64">
        <v>10.3216982537171</v>
      </c>
      <c r="G5" s="64">
        <v>9.7320115725219694</v>
      </c>
      <c r="H5" s="64">
        <v>7.0225382116238997</v>
      </c>
      <c r="I5" s="64">
        <v>28.517814326310699</v>
      </c>
      <c r="J5" s="64">
        <v>23.506486378955302</v>
      </c>
      <c r="K5" s="64">
        <v>16.679842001352402</v>
      </c>
      <c r="L5" s="64">
        <v>15.2224128174957</v>
      </c>
      <c r="M5" s="64">
        <v>28.2925176807234</v>
      </c>
      <c r="N5" s="85">
        <v>25.9799455387666</v>
      </c>
      <c r="O5" s="83">
        <v>10.4937660913243</v>
      </c>
    </row>
    <row r="6" spans="1:15" x14ac:dyDescent="0.2">
      <c r="B6" s="58">
        <v>4</v>
      </c>
      <c r="C6" s="63">
        <v>1.54604627029777</v>
      </c>
      <c r="D6" s="64">
        <v>8.2796796583188303</v>
      </c>
      <c r="E6" s="64">
        <v>7.6493677241417002</v>
      </c>
      <c r="F6" s="64">
        <v>10.779339351237899</v>
      </c>
      <c r="G6" s="64">
        <v>11.566632311790899</v>
      </c>
      <c r="H6" s="64">
        <v>7.0358357498229198</v>
      </c>
      <c r="I6" s="64">
        <v>27.892634336144699</v>
      </c>
      <c r="J6" s="64">
        <v>23.781626478318898</v>
      </c>
      <c r="K6" s="64">
        <v>15.069003154929501</v>
      </c>
      <c r="L6" s="64">
        <v>13.4184338077609</v>
      </c>
      <c r="M6" s="64">
        <v>28.517943145202398</v>
      </c>
      <c r="N6" s="85">
        <v>20.6115235983529</v>
      </c>
      <c r="O6" s="83">
        <v>11.8455140986865</v>
      </c>
    </row>
    <row r="7" spans="1:15" x14ac:dyDescent="0.2">
      <c r="B7" s="58">
        <v>5</v>
      </c>
      <c r="C7" s="63">
        <v>0.95327326106348698</v>
      </c>
      <c r="D7" s="64">
        <v>8.1728179688447895</v>
      </c>
      <c r="E7" s="64">
        <v>7.6156508335358897</v>
      </c>
      <c r="F7" s="64">
        <v>10.1922701777691</v>
      </c>
      <c r="G7" s="64">
        <v>10.8601655521413</v>
      </c>
      <c r="H7" s="64">
        <v>6.89173462377852</v>
      </c>
      <c r="I7" s="64">
        <v>29.273937442268501</v>
      </c>
      <c r="J7" s="64">
        <v>22.6388710089835</v>
      </c>
      <c r="K7" s="64">
        <v>14.8846631770286</v>
      </c>
      <c r="L7" s="64">
        <v>13.297153973793099</v>
      </c>
      <c r="M7" s="64">
        <v>26.920354053844701</v>
      </c>
      <c r="N7" s="85">
        <v>22.6782106782107</v>
      </c>
      <c r="O7" s="83">
        <v>10.3660096448438</v>
      </c>
    </row>
    <row r="8" spans="1:15" x14ac:dyDescent="0.2">
      <c r="B8" s="58">
        <v>6</v>
      </c>
      <c r="C8" s="63">
        <v>1.0726829703521401</v>
      </c>
      <c r="D8" s="64">
        <v>6.8274784896204501</v>
      </c>
      <c r="E8" s="64">
        <v>6.5548792284106296</v>
      </c>
      <c r="F8" s="64">
        <v>7.4094795282227404</v>
      </c>
      <c r="G8" s="64">
        <v>9.1080157269408009</v>
      </c>
      <c r="H8" s="64">
        <v>4.5278156075096501</v>
      </c>
      <c r="I8" s="64">
        <v>24.688264067893702</v>
      </c>
      <c r="J8" s="64">
        <v>20.543389143632101</v>
      </c>
      <c r="K8" s="64">
        <v>12.567649407442699</v>
      </c>
      <c r="L8" s="64">
        <v>12.294828219180699</v>
      </c>
      <c r="M8" s="64">
        <v>27.608358019116601</v>
      </c>
      <c r="N8" s="85">
        <v>0</v>
      </c>
      <c r="O8" s="83">
        <v>10.678833172260299</v>
      </c>
    </row>
    <row r="9" spans="1:15" x14ac:dyDescent="0.2">
      <c r="B9" s="58">
        <v>7</v>
      </c>
      <c r="C9" s="63">
        <v>0.70526555466805496</v>
      </c>
      <c r="D9" s="64">
        <v>4.5981716064348399</v>
      </c>
      <c r="E9" s="64">
        <v>4.0623650067242298</v>
      </c>
      <c r="F9" s="64">
        <v>6.0175652957850101</v>
      </c>
      <c r="G9" s="64">
        <v>8.0511955267564392</v>
      </c>
      <c r="H9" s="64">
        <v>3.7384426081829201</v>
      </c>
      <c r="I9" s="64">
        <v>22.136917618019101</v>
      </c>
      <c r="J9" s="64">
        <v>22.930986992010599</v>
      </c>
      <c r="K9" s="64">
        <v>9.3780379109514502</v>
      </c>
      <c r="L9" s="64">
        <v>8.7811711256940903</v>
      </c>
      <c r="M9" s="64">
        <v>19.179244803577799</v>
      </c>
      <c r="N9" s="85">
        <v>0</v>
      </c>
      <c r="O9" s="83">
        <v>5.32633008100147</v>
      </c>
    </row>
    <row r="10" spans="1:15" x14ac:dyDescent="0.2">
      <c r="B10" s="58">
        <v>8</v>
      </c>
      <c r="C10" s="63">
        <v>0.43714033796587598</v>
      </c>
      <c r="D10" s="64">
        <v>6.3168586464040999</v>
      </c>
      <c r="E10" s="64">
        <v>2.73281186061037</v>
      </c>
      <c r="F10" s="64">
        <v>3.7793845829405099</v>
      </c>
      <c r="G10" s="64">
        <v>6.5252252592368896</v>
      </c>
      <c r="H10" s="64">
        <v>4.8568300377145697</v>
      </c>
      <c r="I10" s="64">
        <v>16.596055859596198</v>
      </c>
      <c r="J10" s="64">
        <v>16.295214908105699</v>
      </c>
      <c r="K10" s="64">
        <v>9.3005952380952408</v>
      </c>
      <c r="L10" s="64">
        <v>0</v>
      </c>
      <c r="M10" s="64">
        <v>17.410714285714299</v>
      </c>
      <c r="N10" s="85">
        <v>0</v>
      </c>
      <c r="O10" s="83">
        <v>4.6869808970099696</v>
      </c>
    </row>
    <row r="11" spans="1:15" x14ac:dyDescent="0.2">
      <c r="B11" s="70" t="s">
        <v>29</v>
      </c>
      <c r="C11" s="65"/>
      <c r="D11" s="66"/>
      <c r="E11" s="66"/>
      <c r="F11" s="66"/>
      <c r="G11" s="66"/>
      <c r="H11" s="66"/>
      <c r="I11" s="66"/>
      <c r="J11" s="66"/>
      <c r="K11" s="66"/>
      <c r="L11" s="66"/>
      <c r="M11" s="66"/>
      <c r="N11" s="66"/>
      <c r="O11" s="65"/>
    </row>
    <row r="12" spans="1:15" x14ac:dyDescent="0.2">
      <c r="B12" s="58">
        <v>3</v>
      </c>
      <c r="C12" s="63">
        <v>0.98067686553618405</v>
      </c>
      <c r="D12" s="64">
        <v>6.7867593811718203</v>
      </c>
      <c r="E12" s="64">
        <v>6.3183335792716004</v>
      </c>
      <c r="F12" s="64">
        <v>7.1507583625357398</v>
      </c>
      <c r="G12" s="64">
        <v>7.6875058077905303</v>
      </c>
      <c r="H12" s="64">
        <v>5.7351799234440097</v>
      </c>
      <c r="I12" s="64">
        <v>21.2844456511008</v>
      </c>
      <c r="J12" s="64">
        <v>19.149859573889799</v>
      </c>
      <c r="K12" s="64">
        <v>13.2585458916998</v>
      </c>
      <c r="L12" s="64">
        <v>11.1598305545318</v>
      </c>
      <c r="M12" s="64">
        <v>22.183065356401201</v>
      </c>
      <c r="N12" s="85">
        <v>17.188215102974802</v>
      </c>
      <c r="O12" s="83">
        <v>7.4355638428613799</v>
      </c>
    </row>
    <row r="13" spans="1:15" x14ac:dyDescent="0.2">
      <c r="B13" s="58">
        <v>4</v>
      </c>
      <c r="C13" s="63">
        <v>0.76376900698971895</v>
      </c>
      <c r="D13" s="64">
        <v>6.4037028224388104</v>
      </c>
      <c r="E13" s="64">
        <v>6.1989233387756304</v>
      </c>
      <c r="F13" s="64">
        <v>8.4366682699824604</v>
      </c>
      <c r="G13" s="64">
        <v>8.6005850054519701</v>
      </c>
      <c r="H13" s="64">
        <v>5.5530658187965898</v>
      </c>
      <c r="I13" s="64">
        <v>21.907926067027802</v>
      </c>
      <c r="J13" s="64">
        <v>20.082001151359499</v>
      </c>
      <c r="K13" s="64">
        <v>10.6137116059412</v>
      </c>
      <c r="L13" s="64">
        <v>11.101664815264501</v>
      </c>
      <c r="M13" s="64">
        <v>23.3302683189726</v>
      </c>
      <c r="N13" s="85">
        <v>0</v>
      </c>
      <c r="O13" s="83">
        <v>9.8987962063233308</v>
      </c>
    </row>
    <row r="14" spans="1:15" x14ac:dyDescent="0.2">
      <c r="B14" s="58">
        <v>5</v>
      </c>
      <c r="C14" s="63">
        <v>0.66275088594862197</v>
      </c>
      <c r="D14" s="64">
        <v>6.5646122961161799</v>
      </c>
      <c r="E14" s="64">
        <v>6.1158381952790997</v>
      </c>
      <c r="F14" s="64">
        <v>7.94253755329661</v>
      </c>
      <c r="G14" s="64">
        <v>8.2866829374570194</v>
      </c>
      <c r="H14" s="64">
        <v>5.5548469990341998</v>
      </c>
      <c r="I14" s="64">
        <v>24.399892867444098</v>
      </c>
      <c r="J14" s="64">
        <v>14.7651635132175</v>
      </c>
      <c r="K14" s="64">
        <v>12.6328832470893</v>
      </c>
      <c r="L14" s="64">
        <v>10.956360150821901</v>
      </c>
      <c r="M14" s="64">
        <v>23.549615325399799</v>
      </c>
      <c r="N14" s="85">
        <v>0</v>
      </c>
      <c r="O14" s="83">
        <v>10.320882498906199</v>
      </c>
    </row>
    <row r="15" spans="1:15" x14ac:dyDescent="0.2">
      <c r="B15" s="58">
        <v>6</v>
      </c>
      <c r="C15" s="63">
        <v>0.59319629481710601</v>
      </c>
      <c r="D15" s="64">
        <v>5.7151977359016497</v>
      </c>
      <c r="E15" s="64">
        <v>5.2059699866436802</v>
      </c>
      <c r="F15" s="64">
        <v>7.5010868497772298</v>
      </c>
      <c r="G15" s="64">
        <v>7.5752248147320298</v>
      </c>
      <c r="H15" s="64">
        <v>5.0487256075007503</v>
      </c>
      <c r="I15" s="64">
        <v>21.027989993915199</v>
      </c>
      <c r="J15" s="64">
        <v>17.037139747045401</v>
      </c>
      <c r="K15" s="64">
        <v>14.668772032902501</v>
      </c>
      <c r="L15" s="64">
        <v>10.8863175750711</v>
      </c>
      <c r="M15" s="64">
        <v>19.8886602027201</v>
      </c>
      <c r="N15" s="85">
        <v>0</v>
      </c>
      <c r="O15" s="83">
        <v>6.5452275101498101</v>
      </c>
    </row>
    <row r="16" spans="1:15" x14ac:dyDescent="0.2">
      <c r="B16" s="58">
        <v>7</v>
      </c>
      <c r="C16" s="63">
        <v>0.34879843244164199</v>
      </c>
      <c r="D16" s="64">
        <v>4.9091088228458304</v>
      </c>
      <c r="E16" s="64">
        <v>4.1445059187392204</v>
      </c>
      <c r="F16" s="64">
        <v>6.6574950957274197</v>
      </c>
      <c r="G16" s="64">
        <v>5.6799833837628304</v>
      </c>
      <c r="H16" s="64">
        <v>4.8070577077680596</v>
      </c>
      <c r="I16" s="64">
        <v>39.616340631730097</v>
      </c>
      <c r="J16" s="64">
        <v>5.7440476190476204</v>
      </c>
      <c r="K16" s="64">
        <v>0</v>
      </c>
      <c r="L16" s="64">
        <v>6.3310738463664</v>
      </c>
      <c r="M16" s="64">
        <v>7.69254396530956</v>
      </c>
      <c r="N16" s="85">
        <v>0</v>
      </c>
      <c r="O16" s="83">
        <v>5.3482836729577796</v>
      </c>
    </row>
    <row r="17" spans="1:16" x14ac:dyDescent="0.2">
      <c r="B17" s="60">
        <v>8</v>
      </c>
      <c r="C17" s="65">
        <v>0.19283418618002801</v>
      </c>
      <c r="D17" s="66">
        <v>5.7176676073359696</v>
      </c>
      <c r="E17" s="66">
        <v>3.5548135223989301</v>
      </c>
      <c r="F17" s="66">
        <v>8.5424443646805504</v>
      </c>
      <c r="G17" s="66">
        <v>2.7730194689816199</v>
      </c>
      <c r="H17" s="66">
        <v>3.5200810082994902</v>
      </c>
      <c r="I17" s="66">
        <v>0</v>
      </c>
      <c r="J17" s="66">
        <v>0</v>
      </c>
      <c r="K17" s="66">
        <v>0</v>
      </c>
      <c r="L17" s="66">
        <v>18.147344244341699</v>
      </c>
      <c r="M17" s="66">
        <v>0</v>
      </c>
      <c r="N17" s="66">
        <v>0</v>
      </c>
      <c r="O17" s="65">
        <v>2.1949404761904798</v>
      </c>
    </row>
    <row r="19" spans="1:16" x14ac:dyDescent="0.2">
      <c r="A19" s="56" t="s">
        <v>87</v>
      </c>
    </row>
    <row r="20" spans="1:16" x14ac:dyDescent="0.2">
      <c r="C20" s="71" t="s">
        <v>92</v>
      </c>
      <c r="D20" s="57"/>
      <c r="E20" s="57"/>
      <c r="F20" s="57"/>
      <c r="G20" s="57"/>
      <c r="H20" s="57"/>
      <c r="I20" s="57"/>
      <c r="J20" s="57"/>
      <c r="K20" s="57"/>
      <c r="L20" s="57"/>
      <c r="M20" s="57"/>
      <c r="N20" s="57"/>
      <c r="O20" s="57"/>
      <c r="P20" s="68"/>
    </row>
    <row r="21" spans="1:16" x14ac:dyDescent="0.2">
      <c r="B21" s="72" t="s">
        <v>28</v>
      </c>
      <c r="C21" s="61" t="s">
        <v>89</v>
      </c>
      <c r="D21" s="62">
        <v>1</v>
      </c>
      <c r="E21" s="62">
        <v>2</v>
      </c>
      <c r="F21" s="62">
        <v>3</v>
      </c>
      <c r="G21" s="62">
        <v>4</v>
      </c>
      <c r="H21" s="62">
        <v>5</v>
      </c>
      <c r="I21" s="62">
        <v>6</v>
      </c>
      <c r="J21" s="62">
        <v>7</v>
      </c>
      <c r="K21" s="62">
        <v>8</v>
      </c>
      <c r="L21" s="62">
        <v>9</v>
      </c>
      <c r="M21" s="62">
        <v>10</v>
      </c>
      <c r="N21" s="84">
        <v>11</v>
      </c>
      <c r="O21" s="61" t="s">
        <v>90</v>
      </c>
      <c r="P21" s="68"/>
    </row>
    <row r="22" spans="1:16" x14ac:dyDescent="0.2">
      <c r="B22" s="58">
        <v>3</v>
      </c>
      <c r="C22" s="59">
        <v>1453</v>
      </c>
      <c r="D22" s="10">
        <v>1245</v>
      </c>
      <c r="E22" s="10">
        <v>3530</v>
      </c>
      <c r="F22" s="10">
        <v>5700</v>
      </c>
      <c r="G22" s="10">
        <v>3513</v>
      </c>
      <c r="H22" s="10">
        <v>3053</v>
      </c>
      <c r="I22" s="10">
        <v>3867</v>
      </c>
      <c r="J22" s="10">
        <v>2702</v>
      </c>
      <c r="K22" s="10">
        <v>1203</v>
      </c>
      <c r="L22" s="10">
        <v>2164</v>
      </c>
      <c r="M22" s="10">
        <v>3465</v>
      </c>
      <c r="N22" s="67">
        <v>65</v>
      </c>
      <c r="O22" s="59">
        <v>49524</v>
      </c>
    </row>
    <row r="23" spans="1:16" x14ac:dyDescent="0.2">
      <c r="B23" s="58">
        <v>4</v>
      </c>
      <c r="C23" s="59">
        <v>185</v>
      </c>
      <c r="D23" s="10">
        <v>3261</v>
      </c>
      <c r="E23" s="10">
        <v>5323</v>
      </c>
      <c r="F23" s="10">
        <v>3046</v>
      </c>
      <c r="G23" s="10">
        <v>2818</v>
      </c>
      <c r="H23" s="10">
        <v>1874</v>
      </c>
      <c r="I23" s="10">
        <v>4137</v>
      </c>
      <c r="J23" s="10">
        <v>3807</v>
      </c>
      <c r="K23" s="10">
        <v>1797</v>
      </c>
      <c r="L23" s="10">
        <v>2054</v>
      </c>
      <c r="M23" s="10">
        <v>3610</v>
      </c>
      <c r="N23" s="67">
        <v>14</v>
      </c>
      <c r="O23" s="59">
        <v>49923</v>
      </c>
    </row>
    <row r="24" spans="1:16" x14ac:dyDescent="0.2">
      <c r="B24" s="58">
        <v>5</v>
      </c>
      <c r="C24" s="59">
        <v>279</v>
      </c>
      <c r="D24" s="10">
        <v>3430</v>
      </c>
      <c r="E24" s="10">
        <v>4742</v>
      </c>
      <c r="F24" s="10">
        <v>3010</v>
      </c>
      <c r="G24" s="10">
        <v>2533</v>
      </c>
      <c r="H24" s="10">
        <v>1144</v>
      </c>
      <c r="I24" s="10">
        <v>2891</v>
      </c>
      <c r="J24" s="10">
        <v>3161</v>
      </c>
      <c r="K24" s="10">
        <v>1966</v>
      </c>
      <c r="L24" s="10">
        <v>1814</v>
      </c>
      <c r="M24" s="10">
        <v>3634</v>
      </c>
      <c r="N24" s="67">
        <v>17</v>
      </c>
      <c r="O24" s="59">
        <v>40951</v>
      </c>
    </row>
    <row r="25" spans="1:16" x14ac:dyDescent="0.2">
      <c r="B25" s="58">
        <v>6</v>
      </c>
      <c r="C25" s="59">
        <v>77</v>
      </c>
      <c r="D25" s="10">
        <v>1504</v>
      </c>
      <c r="E25" s="10">
        <v>1780</v>
      </c>
      <c r="F25" s="10">
        <v>793</v>
      </c>
      <c r="G25" s="10">
        <v>1061</v>
      </c>
      <c r="H25" s="10">
        <v>587</v>
      </c>
      <c r="I25" s="10">
        <v>773</v>
      </c>
      <c r="J25" s="10">
        <v>867</v>
      </c>
      <c r="K25" s="10">
        <v>486</v>
      </c>
      <c r="L25" s="10">
        <v>696</v>
      </c>
      <c r="M25" s="10">
        <v>919</v>
      </c>
      <c r="N25" s="67">
        <v>0</v>
      </c>
      <c r="O25" s="59">
        <v>12394</v>
      </c>
    </row>
    <row r="26" spans="1:16" x14ac:dyDescent="0.2">
      <c r="B26" s="58">
        <v>7</v>
      </c>
      <c r="C26" s="59">
        <v>31</v>
      </c>
      <c r="D26" s="10">
        <v>319</v>
      </c>
      <c r="E26" s="10">
        <v>442</v>
      </c>
      <c r="F26" s="10">
        <v>164</v>
      </c>
      <c r="G26" s="10">
        <v>268</v>
      </c>
      <c r="H26" s="10">
        <v>66</v>
      </c>
      <c r="I26" s="10">
        <v>117</v>
      </c>
      <c r="J26" s="10">
        <v>112</v>
      </c>
      <c r="K26" s="10">
        <v>86</v>
      </c>
      <c r="L26" s="10">
        <v>64</v>
      </c>
      <c r="M26" s="10">
        <v>287</v>
      </c>
      <c r="N26" s="67">
        <v>0</v>
      </c>
      <c r="O26" s="59">
        <v>3100</v>
      </c>
    </row>
    <row r="27" spans="1:16" x14ac:dyDescent="0.2">
      <c r="B27" s="58">
        <v>8</v>
      </c>
      <c r="C27" s="59">
        <v>8</v>
      </c>
      <c r="D27" s="10">
        <v>108</v>
      </c>
      <c r="E27" s="10">
        <v>156</v>
      </c>
      <c r="F27" s="10">
        <v>135</v>
      </c>
      <c r="G27" s="10">
        <v>65</v>
      </c>
      <c r="H27" s="10">
        <v>47</v>
      </c>
      <c r="I27" s="10">
        <v>46</v>
      </c>
      <c r="J27" s="10">
        <v>52</v>
      </c>
      <c r="K27" s="10">
        <v>0</v>
      </c>
      <c r="L27" s="10">
        <v>16</v>
      </c>
      <c r="M27" s="10">
        <v>68</v>
      </c>
      <c r="N27" s="67">
        <v>0</v>
      </c>
      <c r="O27" s="59">
        <v>813</v>
      </c>
    </row>
    <row r="28" spans="1:16" x14ac:dyDescent="0.2">
      <c r="B28" s="70" t="s">
        <v>29</v>
      </c>
      <c r="C28" s="61"/>
      <c r="D28" s="62"/>
      <c r="E28" s="62"/>
      <c r="F28" s="62"/>
      <c r="G28" s="62"/>
      <c r="H28" s="62"/>
      <c r="I28" s="62"/>
      <c r="J28" s="62"/>
      <c r="K28" s="62"/>
      <c r="L28" s="62"/>
      <c r="M28" s="62"/>
      <c r="N28" s="62"/>
      <c r="O28" s="61"/>
    </row>
    <row r="29" spans="1:16" x14ac:dyDescent="0.2">
      <c r="B29" s="58">
        <v>3</v>
      </c>
      <c r="C29" s="59">
        <v>1434</v>
      </c>
      <c r="D29" s="10">
        <v>1160</v>
      </c>
      <c r="E29" s="10">
        <v>4991</v>
      </c>
      <c r="F29" s="10">
        <v>5767</v>
      </c>
      <c r="G29" s="10">
        <v>5044</v>
      </c>
      <c r="H29" s="10">
        <v>5150</v>
      </c>
      <c r="I29" s="10">
        <v>1027</v>
      </c>
      <c r="J29" s="10">
        <v>68</v>
      </c>
      <c r="K29" s="10">
        <v>69</v>
      </c>
      <c r="L29" s="10">
        <v>624</v>
      </c>
      <c r="M29" s="10">
        <v>1015</v>
      </c>
      <c r="N29" s="67">
        <v>0</v>
      </c>
      <c r="O29" s="59">
        <v>43922</v>
      </c>
    </row>
    <row r="30" spans="1:16" x14ac:dyDescent="0.2">
      <c r="B30" s="58">
        <v>4</v>
      </c>
      <c r="C30" s="59">
        <v>454</v>
      </c>
      <c r="D30" s="10">
        <v>3195</v>
      </c>
      <c r="E30" s="10">
        <v>8231</v>
      </c>
      <c r="F30" s="10">
        <v>5011</v>
      </c>
      <c r="G30" s="10">
        <v>2026</v>
      </c>
      <c r="H30" s="10">
        <v>5763</v>
      </c>
      <c r="I30" s="10">
        <v>2166</v>
      </c>
      <c r="J30" s="10">
        <v>175</v>
      </c>
      <c r="K30" s="10">
        <v>26</v>
      </c>
      <c r="L30" s="10">
        <v>1419</v>
      </c>
      <c r="M30" s="10">
        <v>970</v>
      </c>
      <c r="N30" s="67">
        <v>0</v>
      </c>
      <c r="O30" s="59">
        <v>41927</v>
      </c>
    </row>
    <row r="31" spans="1:16" x14ac:dyDescent="0.2">
      <c r="B31" s="58">
        <v>5</v>
      </c>
      <c r="C31" s="59">
        <v>327</v>
      </c>
      <c r="D31" s="10">
        <v>3433</v>
      </c>
      <c r="E31" s="10">
        <v>7175</v>
      </c>
      <c r="F31" s="10">
        <v>3436</v>
      </c>
      <c r="G31" s="10">
        <v>2541</v>
      </c>
      <c r="H31" s="10">
        <v>4900</v>
      </c>
      <c r="I31" s="10">
        <v>1277</v>
      </c>
      <c r="J31" s="10">
        <v>98</v>
      </c>
      <c r="K31" s="10">
        <v>11</v>
      </c>
      <c r="L31" s="10">
        <v>1365</v>
      </c>
      <c r="M31" s="10">
        <v>1240</v>
      </c>
      <c r="N31" s="67">
        <v>0</v>
      </c>
      <c r="O31" s="59">
        <v>37990</v>
      </c>
    </row>
    <row r="32" spans="1:16" x14ac:dyDescent="0.2">
      <c r="B32" s="58">
        <v>6</v>
      </c>
      <c r="C32" s="59">
        <v>132</v>
      </c>
      <c r="D32" s="10">
        <v>1209</v>
      </c>
      <c r="E32" s="10">
        <v>2328</v>
      </c>
      <c r="F32" s="10">
        <v>1354</v>
      </c>
      <c r="G32" s="10">
        <v>977</v>
      </c>
      <c r="H32" s="10">
        <v>2159</v>
      </c>
      <c r="I32" s="10">
        <v>293</v>
      </c>
      <c r="J32" s="10">
        <v>0</v>
      </c>
      <c r="K32" s="10">
        <v>0</v>
      </c>
      <c r="L32" s="10">
        <v>247</v>
      </c>
      <c r="M32" s="10">
        <v>95</v>
      </c>
      <c r="N32" s="67">
        <v>0</v>
      </c>
      <c r="O32" s="59">
        <v>10806</v>
      </c>
    </row>
    <row r="33" spans="1:24" x14ac:dyDescent="0.2">
      <c r="B33" s="58">
        <v>7</v>
      </c>
      <c r="C33" s="59">
        <v>0</v>
      </c>
      <c r="D33" s="10">
        <v>236</v>
      </c>
      <c r="E33" s="10">
        <v>354</v>
      </c>
      <c r="F33" s="10">
        <v>229</v>
      </c>
      <c r="G33" s="10">
        <v>189</v>
      </c>
      <c r="H33" s="10">
        <v>389</v>
      </c>
      <c r="I33" s="10">
        <v>109</v>
      </c>
      <c r="J33" s="10">
        <v>0</v>
      </c>
      <c r="K33" s="10">
        <v>0</v>
      </c>
      <c r="L33" s="10">
        <v>38</v>
      </c>
      <c r="M33" s="10">
        <v>16</v>
      </c>
      <c r="N33" s="67">
        <v>0</v>
      </c>
      <c r="O33" s="59">
        <v>2342</v>
      </c>
    </row>
    <row r="34" spans="1:24" x14ac:dyDescent="0.2">
      <c r="B34" s="60">
        <v>8</v>
      </c>
      <c r="C34" s="61">
        <v>0</v>
      </c>
      <c r="D34" s="62">
        <v>65</v>
      </c>
      <c r="E34" s="62">
        <v>124</v>
      </c>
      <c r="F34" s="62">
        <v>16</v>
      </c>
      <c r="G34" s="62">
        <v>60</v>
      </c>
      <c r="H34" s="62">
        <v>43</v>
      </c>
      <c r="I34" s="62">
        <v>14</v>
      </c>
      <c r="J34" s="62">
        <v>0</v>
      </c>
      <c r="K34" s="62">
        <v>0</v>
      </c>
      <c r="L34" s="62">
        <v>10</v>
      </c>
      <c r="M34" s="62">
        <v>0</v>
      </c>
      <c r="N34" s="62">
        <v>0</v>
      </c>
      <c r="O34" s="61">
        <v>516</v>
      </c>
    </row>
    <row r="36" spans="1:24" x14ac:dyDescent="0.2">
      <c r="A36" s="56" t="s">
        <v>91</v>
      </c>
    </row>
    <row r="37" spans="1:24" x14ac:dyDescent="0.2">
      <c r="B37" s="75"/>
      <c r="C37" s="74" t="s">
        <v>92</v>
      </c>
      <c r="D37" s="75"/>
      <c r="E37" s="75"/>
      <c r="F37" s="75"/>
      <c r="G37" s="75"/>
      <c r="H37" s="75"/>
      <c r="I37" s="75"/>
      <c r="J37" s="75"/>
      <c r="K37" s="75"/>
      <c r="L37" s="75"/>
      <c r="M37" s="75"/>
      <c r="N37" s="75"/>
      <c r="O37" s="75"/>
    </row>
    <row r="38" spans="1:24" x14ac:dyDescent="0.2">
      <c r="B38" s="77" t="s">
        <v>28</v>
      </c>
      <c r="C38" s="61" t="s">
        <v>89</v>
      </c>
      <c r="D38" s="75">
        <v>1</v>
      </c>
      <c r="E38" s="75">
        <v>2</v>
      </c>
      <c r="F38" s="75">
        <v>3</v>
      </c>
      <c r="G38" s="75">
        <v>4</v>
      </c>
      <c r="H38" s="75">
        <v>5</v>
      </c>
      <c r="I38" s="75">
        <v>6</v>
      </c>
      <c r="J38" s="75">
        <v>7</v>
      </c>
      <c r="K38" s="75">
        <v>8</v>
      </c>
      <c r="L38" s="75">
        <v>9</v>
      </c>
      <c r="M38" s="75">
        <v>10</v>
      </c>
      <c r="N38" s="81">
        <v>11</v>
      </c>
      <c r="O38" s="80" t="s">
        <v>14</v>
      </c>
    </row>
    <row r="39" spans="1:24" x14ac:dyDescent="0.2">
      <c r="B39" s="78">
        <v>3</v>
      </c>
      <c r="C39" s="59">
        <f t="shared" ref="C39:N39" si="0">C22/$O39</f>
        <v>4.5463078848560698E-2</v>
      </c>
      <c r="D39" s="379">
        <f t="shared" si="0"/>
        <v>3.89549436795995E-2</v>
      </c>
      <c r="E39" s="379">
        <f t="shared" si="0"/>
        <v>0.11045056320400501</v>
      </c>
      <c r="F39" s="379">
        <f t="shared" si="0"/>
        <v>0.17834793491864831</v>
      </c>
      <c r="G39" s="379">
        <f t="shared" si="0"/>
        <v>0.10991864831038799</v>
      </c>
      <c r="H39" s="379">
        <f t="shared" si="0"/>
        <v>9.5525657071339171E-2</v>
      </c>
      <c r="I39" s="379">
        <f t="shared" si="0"/>
        <v>0.12099499374217772</v>
      </c>
      <c r="J39" s="379">
        <f t="shared" si="0"/>
        <v>8.4543178973717145E-2</v>
      </c>
      <c r="K39" s="379">
        <f t="shared" si="0"/>
        <v>3.7640801001251563E-2</v>
      </c>
      <c r="L39" s="379">
        <f t="shared" si="0"/>
        <v>6.7709637046307891E-2</v>
      </c>
      <c r="M39" s="379">
        <f t="shared" si="0"/>
        <v>0.10841677096370463</v>
      </c>
      <c r="N39" s="379">
        <f t="shared" si="0"/>
        <v>2.0337922403003755E-3</v>
      </c>
      <c r="O39" s="73">
        <f t="shared" ref="O39:O51" si="1">SUM(C22:N22)</f>
        <v>31960</v>
      </c>
      <c r="Q39" s="86" t="s">
        <v>93</v>
      </c>
      <c r="R39" s="86"/>
      <c r="S39" s="86"/>
      <c r="T39" s="86"/>
      <c r="U39" s="86"/>
      <c r="V39" s="86"/>
      <c r="W39" s="86"/>
      <c r="X39" s="86"/>
    </row>
    <row r="40" spans="1:24" x14ac:dyDescent="0.2">
      <c r="B40" s="78">
        <v>4</v>
      </c>
      <c r="C40" s="59">
        <f t="shared" ref="C40:N40" si="2">C23/$O40</f>
        <v>5.7946501284219755E-3</v>
      </c>
      <c r="D40" s="379">
        <f t="shared" si="2"/>
        <v>0.1021424544258598</v>
      </c>
      <c r="E40" s="379">
        <f t="shared" si="2"/>
        <v>0.16672931153291987</v>
      </c>
      <c r="F40" s="379">
        <f t="shared" si="2"/>
        <v>9.5408131303639662E-2</v>
      </c>
      <c r="G40" s="379">
        <f t="shared" si="2"/>
        <v>8.8266616550773669E-2</v>
      </c>
      <c r="H40" s="379">
        <f t="shared" si="2"/>
        <v>5.8698239679258288E-2</v>
      </c>
      <c r="I40" s="379">
        <f t="shared" si="2"/>
        <v>0.12958090584476603</v>
      </c>
      <c r="J40" s="379">
        <f t="shared" si="2"/>
        <v>0.11924450291298629</v>
      </c>
      <c r="K40" s="379">
        <f t="shared" si="2"/>
        <v>5.6286412328509679E-2</v>
      </c>
      <c r="L40" s="379">
        <f t="shared" si="2"/>
        <v>6.4336277642047232E-2</v>
      </c>
      <c r="M40" s="379">
        <f t="shared" si="2"/>
        <v>0.11307398358704504</v>
      </c>
      <c r="N40" s="379">
        <f t="shared" si="2"/>
        <v>4.3851406377247383E-4</v>
      </c>
      <c r="O40" s="73">
        <f t="shared" si="1"/>
        <v>31926</v>
      </c>
      <c r="Q40" t="s">
        <v>94</v>
      </c>
    </row>
    <row r="41" spans="1:24" x14ac:dyDescent="0.2">
      <c r="B41" s="78">
        <v>5</v>
      </c>
      <c r="C41" s="59">
        <f t="shared" ref="C41:N41" si="3">C24/$O41</f>
        <v>9.7480870689353964E-3</v>
      </c>
      <c r="D41" s="379">
        <f t="shared" si="3"/>
        <v>0.11984207400160721</v>
      </c>
      <c r="E41" s="379">
        <f t="shared" si="3"/>
        <v>0.16568254079172637</v>
      </c>
      <c r="F41" s="379">
        <f t="shared" si="3"/>
        <v>0.10516753432794103</v>
      </c>
      <c r="G41" s="379">
        <f t="shared" si="3"/>
        <v>8.8501449984277281E-2</v>
      </c>
      <c r="H41" s="379">
        <f t="shared" si="3"/>
        <v>3.9970650920652669E-2</v>
      </c>
      <c r="I41" s="379">
        <f t="shared" si="3"/>
        <v>0.10100974808706893</v>
      </c>
      <c r="J41" s="379">
        <f t="shared" si="3"/>
        <v>0.11044338073442578</v>
      </c>
      <c r="K41" s="379">
        <f t="shared" si="3"/>
        <v>6.8690821424827922E-2</v>
      </c>
      <c r="L41" s="379">
        <f t="shared" si="3"/>
        <v>6.3380035638167784E-2</v>
      </c>
      <c r="M41" s="379">
        <f t="shared" si="3"/>
        <v>0.12696970755738793</v>
      </c>
      <c r="N41" s="379">
        <f t="shared" si="3"/>
        <v>5.9396946298172671E-4</v>
      </c>
      <c r="O41" s="73">
        <f t="shared" si="1"/>
        <v>28621</v>
      </c>
      <c r="Q41" t="s">
        <v>95</v>
      </c>
    </row>
    <row r="42" spans="1:24" x14ac:dyDescent="0.2">
      <c r="B42" s="78">
        <v>6</v>
      </c>
      <c r="C42" s="59">
        <f t="shared" ref="C42:N42" si="4">C25/$O42</f>
        <v>8.0687414859058997E-3</v>
      </c>
      <c r="D42" s="379">
        <f t="shared" si="4"/>
        <v>0.15760243110133082</v>
      </c>
      <c r="E42" s="379">
        <f t="shared" si="4"/>
        <v>0.18652415383003249</v>
      </c>
      <c r="F42" s="379">
        <f t="shared" si="4"/>
        <v>8.309755841978414E-2</v>
      </c>
      <c r="G42" s="379">
        <f t="shared" si="4"/>
        <v>0.11118097034475531</v>
      </c>
      <c r="H42" s="379">
        <f t="shared" si="4"/>
        <v>6.1511055223724194E-2</v>
      </c>
      <c r="I42" s="379">
        <f t="shared" si="4"/>
        <v>8.1001781410457926E-2</v>
      </c>
      <c r="J42" s="379">
        <f t="shared" si="4"/>
        <v>9.0851933354291106E-2</v>
      </c>
      <c r="K42" s="379">
        <f t="shared" si="4"/>
        <v>5.0927381326626844E-2</v>
      </c>
      <c r="L42" s="379">
        <f t="shared" si="4"/>
        <v>7.2933039924552023E-2</v>
      </c>
      <c r="M42" s="379">
        <f t="shared" si="4"/>
        <v>9.6300953578539239E-2</v>
      </c>
      <c r="N42" s="379">
        <f t="shared" si="4"/>
        <v>0</v>
      </c>
      <c r="O42" s="73">
        <f t="shared" si="1"/>
        <v>9543</v>
      </c>
      <c r="Q42" t="s">
        <v>96</v>
      </c>
    </row>
    <row r="43" spans="1:24" x14ac:dyDescent="0.2">
      <c r="B43" s="78">
        <v>7</v>
      </c>
      <c r="C43" s="59">
        <f t="shared" ref="C43:N43" si="5">C26/$O43</f>
        <v>1.5848670756646217E-2</v>
      </c>
      <c r="D43" s="379">
        <f t="shared" si="5"/>
        <v>0.16308793456032719</v>
      </c>
      <c r="E43" s="379">
        <f t="shared" si="5"/>
        <v>0.22597137014314927</v>
      </c>
      <c r="F43" s="379">
        <f t="shared" si="5"/>
        <v>8.3844580777096112E-2</v>
      </c>
      <c r="G43" s="379">
        <f t="shared" si="5"/>
        <v>0.13701431492842536</v>
      </c>
      <c r="H43" s="379">
        <f t="shared" si="5"/>
        <v>3.3742331288343558E-2</v>
      </c>
      <c r="I43" s="379">
        <f t="shared" si="5"/>
        <v>5.98159509202454E-2</v>
      </c>
      <c r="J43" s="379">
        <f t="shared" si="5"/>
        <v>5.7259713701431493E-2</v>
      </c>
      <c r="K43" s="379">
        <f t="shared" si="5"/>
        <v>4.396728016359918E-2</v>
      </c>
      <c r="L43" s="379">
        <f t="shared" si="5"/>
        <v>3.2719836400817999E-2</v>
      </c>
      <c r="M43" s="379">
        <f t="shared" si="5"/>
        <v>0.1467280163599182</v>
      </c>
      <c r="N43" s="379">
        <f t="shared" si="5"/>
        <v>0</v>
      </c>
      <c r="O43" s="73">
        <f t="shared" si="1"/>
        <v>1956</v>
      </c>
    </row>
    <row r="44" spans="1:24" x14ac:dyDescent="0.2">
      <c r="B44" s="78">
        <v>8</v>
      </c>
      <c r="C44" s="59">
        <f t="shared" ref="C44:N44" si="6">C27/$O44</f>
        <v>1.1412268188302425E-2</v>
      </c>
      <c r="D44" s="379">
        <f t="shared" si="6"/>
        <v>0.15406562054208273</v>
      </c>
      <c r="E44" s="379">
        <f t="shared" si="6"/>
        <v>0.22253922967189729</v>
      </c>
      <c r="F44" s="379">
        <f t="shared" si="6"/>
        <v>0.19258202567760344</v>
      </c>
      <c r="G44" s="379">
        <f t="shared" si="6"/>
        <v>9.2724679029957208E-2</v>
      </c>
      <c r="H44" s="379">
        <f t="shared" si="6"/>
        <v>6.7047075606276749E-2</v>
      </c>
      <c r="I44" s="379">
        <f t="shared" si="6"/>
        <v>6.5620542082738945E-2</v>
      </c>
      <c r="J44" s="379">
        <f t="shared" si="6"/>
        <v>7.4179743223965769E-2</v>
      </c>
      <c r="K44" s="379">
        <f t="shared" si="6"/>
        <v>0</v>
      </c>
      <c r="L44" s="379">
        <f t="shared" si="6"/>
        <v>2.2824536376604851E-2</v>
      </c>
      <c r="M44" s="379">
        <f t="shared" si="6"/>
        <v>9.700427960057062E-2</v>
      </c>
      <c r="N44" s="379">
        <f t="shared" si="6"/>
        <v>0</v>
      </c>
      <c r="O44" s="73">
        <f t="shared" si="1"/>
        <v>701</v>
      </c>
    </row>
    <row r="45" spans="1:24" x14ac:dyDescent="0.2">
      <c r="B45" s="79" t="s">
        <v>29</v>
      </c>
      <c r="C45" s="59"/>
      <c r="D45" s="379"/>
      <c r="E45" s="379"/>
      <c r="F45" s="379"/>
      <c r="G45" s="379"/>
      <c r="H45" s="379"/>
      <c r="I45" s="379"/>
      <c r="J45" s="379"/>
      <c r="K45" s="379"/>
      <c r="L45" s="379"/>
      <c r="M45" s="379"/>
      <c r="N45" s="379"/>
      <c r="O45" s="73">
        <f t="shared" si="1"/>
        <v>0</v>
      </c>
    </row>
    <row r="46" spans="1:24" x14ac:dyDescent="0.2">
      <c r="B46" s="78">
        <v>3</v>
      </c>
      <c r="C46" s="59">
        <f t="shared" ref="C46:N46" si="7">C29/$O46</f>
        <v>5.4423317772970513E-2</v>
      </c>
      <c r="D46" s="379">
        <f t="shared" si="7"/>
        <v>4.4024441155262058E-2</v>
      </c>
      <c r="E46" s="379">
        <f t="shared" si="7"/>
        <v>0.18941895328095942</v>
      </c>
      <c r="F46" s="379">
        <f t="shared" si="7"/>
        <v>0.21886978632965198</v>
      </c>
      <c r="G46" s="379">
        <f t="shared" si="7"/>
        <v>0.19143041481650158</v>
      </c>
      <c r="H46" s="379">
        <f t="shared" si="7"/>
        <v>0.19545333788758587</v>
      </c>
      <c r="I46" s="379">
        <f t="shared" si="7"/>
        <v>3.8976811264184598E-2</v>
      </c>
      <c r="J46" s="379">
        <f t="shared" si="7"/>
        <v>2.5807431022050174E-3</v>
      </c>
      <c r="K46" s="379">
        <f t="shared" si="7"/>
        <v>2.6186952066492089E-3</v>
      </c>
      <c r="L46" s="379">
        <f t="shared" si="7"/>
        <v>2.3682113173175454E-2</v>
      </c>
      <c r="M46" s="379">
        <f t="shared" si="7"/>
        <v>3.8521386010854301E-2</v>
      </c>
      <c r="N46" s="379">
        <f t="shared" si="7"/>
        <v>0</v>
      </c>
      <c r="O46" s="73">
        <f t="shared" si="1"/>
        <v>26349</v>
      </c>
    </row>
    <row r="47" spans="1:24" x14ac:dyDescent="0.2">
      <c r="B47" s="78">
        <v>4</v>
      </c>
      <c r="C47" s="59">
        <f t="shared" ref="C47:N47" si="8">C30/$O47</f>
        <v>1.5423291208044572E-2</v>
      </c>
      <c r="D47" s="379">
        <f t="shared" si="8"/>
        <v>0.10854056257643702</v>
      </c>
      <c r="E47" s="379">
        <f t="shared" si="8"/>
        <v>0.27962359016170674</v>
      </c>
      <c r="F47" s="379">
        <f t="shared" si="8"/>
        <v>0.17023372740861531</v>
      </c>
      <c r="G47" s="379">
        <f t="shared" si="8"/>
        <v>6.8827286316075556E-2</v>
      </c>
      <c r="H47" s="379">
        <f t="shared" si="8"/>
        <v>0.19578067672238075</v>
      </c>
      <c r="I47" s="379">
        <f t="shared" si="8"/>
        <v>7.3583367305340402E-2</v>
      </c>
      <c r="J47" s="379">
        <f t="shared" si="8"/>
        <v>5.9451012365810572E-3</v>
      </c>
      <c r="K47" s="379">
        <f t="shared" si="8"/>
        <v>8.8327218372061418E-4</v>
      </c>
      <c r="L47" s="379">
        <f t="shared" si="8"/>
        <v>4.820627802690583E-2</v>
      </c>
      <c r="M47" s="379">
        <f t="shared" si="8"/>
        <v>3.2952846854192148E-2</v>
      </c>
      <c r="N47" s="379">
        <f t="shared" si="8"/>
        <v>0</v>
      </c>
      <c r="O47" s="73">
        <f t="shared" si="1"/>
        <v>29436</v>
      </c>
    </row>
    <row r="48" spans="1:24" x14ac:dyDescent="0.2">
      <c r="B48" s="78">
        <v>5</v>
      </c>
      <c r="C48" s="59">
        <f t="shared" ref="C48:N48" si="9">C31/$O48</f>
        <v>1.2672945006394605E-2</v>
      </c>
      <c r="D48" s="379">
        <f t="shared" si="9"/>
        <v>0.13304654497539045</v>
      </c>
      <c r="E48" s="379">
        <f t="shared" si="9"/>
        <v>0.27806844165407124</v>
      </c>
      <c r="F48" s="379">
        <f t="shared" si="9"/>
        <v>0.13316281052590784</v>
      </c>
      <c r="G48" s="379">
        <f t="shared" si="9"/>
        <v>9.8476921288222302E-2</v>
      </c>
      <c r="H48" s="379">
        <f t="shared" si="9"/>
        <v>0.18990039917839011</v>
      </c>
      <c r="I48" s="379">
        <f t="shared" si="9"/>
        <v>4.9490369336898807E-2</v>
      </c>
      <c r="J48" s="379">
        <f t="shared" si="9"/>
        <v>3.7980079835678022E-3</v>
      </c>
      <c r="K48" s="379">
        <f t="shared" si="9"/>
        <v>4.2630701856373292E-4</v>
      </c>
      <c r="L48" s="379">
        <f t="shared" si="9"/>
        <v>5.290082548540867E-2</v>
      </c>
      <c r="M48" s="379">
        <f t="shared" si="9"/>
        <v>4.8056427547184435E-2</v>
      </c>
      <c r="N48" s="379">
        <f t="shared" si="9"/>
        <v>0</v>
      </c>
      <c r="O48" s="73">
        <f t="shared" si="1"/>
        <v>25803</v>
      </c>
    </row>
    <row r="49" spans="1:16" x14ac:dyDescent="0.2">
      <c r="B49" s="78">
        <v>6</v>
      </c>
      <c r="C49" s="59">
        <f t="shared" ref="C49:N49" si="10">C32/$O49</f>
        <v>1.5010234250625426E-2</v>
      </c>
      <c r="D49" s="379">
        <f t="shared" si="10"/>
        <v>0.13748010006822833</v>
      </c>
      <c r="E49" s="379">
        <f t="shared" si="10"/>
        <v>0.26472594951103023</v>
      </c>
      <c r="F49" s="379">
        <f t="shared" si="10"/>
        <v>0.1539686149647487</v>
      </c>
      <c r="G49" s="379">
        <f t="shared" si="10"/>
        <v>0.11109847623379578</v>
      </c>
      <c r="H49" s="379">
        <f t="shared" si="10"/>
        <v>0.24550830111439617</v>
      </c>
      <c r="I49" s="379">
        <f t="shared" si="10"/>
        <v>3.3318171480554923E-2</v>
      </c>
      <c r="J49" s="379">
        <f t="shared" si="10"/>
        <v>0</v>
      </c>
      <c r="K49" s="379">
        <f t="shared" si="10"/>
        <v>0</v>
      </c>
      <c r="L49" s="379">
        <f t="shared" si="10"/>
        <v>2.8087332272003638E-2</v>
      </c>
      <c r="M49" s="379">
        <f t="shared" si="10"/>
        <v>1.0802820104616783E-2</v>
      </c>
      <c r="N49" s="379">
        <f t="shared" si="10"/>
        <v>0</v>
      </c>
      <c r="O49" s="73">
        <f t="shared" si="1"/>
        <v>8794</v>
      </c>
    </row>
    <row r="50" spans="1:16" x14ac:dyDescent="0.2">
      <c r="B50" s="78">
        <v>7</v>
      </c>
      <c r="C50" s="59">
        <f t="shared" ref="C50:N50" si="11">C33/$O50</f>
        <v>0</v>
      </c>
      <c r="D50" s="379">
        <f t="shared" si="11"/>
        <v>0.15128205128205127</v>
      </c>
      <c r="E50" s="379">
        <f t="shared" si="11"/>
        <v>0.22692307692307692</v>
      </c>
      <c r="F50" s="379">
        <f t="shared" si="11"/>
        <v>0.1467948717948718</v>
      </c>
      <c r="G50" s="379">
        <f t="shared" si="11"/>
        <v>0.12115384615384615</v>
      </c>
      <c r="H50" s="379">
        <f t="shared" si="11"/>
        <v>0.24935897435897436</v>
      </c>
      <c r="I50" s="379">
        <f t="shared" si="11"/>
        <v>6.9871794871794873E-2</v>
      </c>
      <c r="J50" s="379">
        <f t="shared" si="11"/>
        <v>0</v>
      </c>
      <c r="K50" s="379">
        <f t="shared" si="11"/>
        <v>0</v>
      </c>
      <c r="L50" s="379">
        <f t="shared" si="11"/>
        <v>2.4358974358974359E-2</v>
      </c>
      <c r="M50" s="379">
        <f t="shared" si="11"/>
        <v>1.0256410256410256E-2</v>
      </c>
      <c r="N50" s="379">
        <f t="shared" si="11"/>
        <v>0</v>
      </c>
      <c r="O50" s="73">
        <f t="shared" si="1"/>
        <v>1560</v>
      </c>
    </row>
    <row r="51" spans="1:16" x14ac:dyDescent="0.2">
      <c r="B51" s="76">
        <v>8</v>
      </c>
      <c r="C51" s="59">
        <f t="shared" ref="C51:N51" si="12">C34/$O51</f>
        <v>0</v>
      </c>
      <c r="D51" s="379">
        <f t="shared" si="12"/>
        <v>0.19578313253012047</v>
      </c>
      <c r="E51" s="379">
        <f t="shared" si="12"/>
        <v>0.37349397590361444</v>
      </c>
      <c r="F51" s="379">
        <f t="shared" si="12"/>
        <v>4.8192771084337352E-2</v>
      </c>
      <c r="G51" s="379">
        <f t="shared" si="12"/>
        <v>0.18072289156626506</v>
      </c>
      <c r="H51" s="379">
        <f t="shared" si="12"/>
        <v>0.12951807228915663</v>
      </c>
      <c r="I51" s="379">
        <f t="shared" si="12"/>
        <v>4.2168674698795178E-2</v>
      </c>
      <c r="J51" s="379">
        <f t="shared" si="12"/>
        <v>0</v>
      </c>
      <c r="K51" s="379">
        <f t="shared" si="12"/>
        <v>0</v>
      </c>
      <c r="L51" s="379">
        <f t="shared" si="12"/>
        <v>3.0120481927710843E-2</v>
      </c>
      <c r="M51" s="379">
        <f t="shared" si="12"/>
        <v>0</v>
      </c>
      <c r="N51" s="379">
        <f t="shared" si="12"/>
        <v>0</v>
      </c>
      <c r="O51" s="73">
        <f t="shared" si="1"/>
        <v>332</v>
      </c>
      <c r="P51" s="68"/>
    </row>
    <row r="52" spans="1:16" x14ac:dyDescent="0.2">
      <c r="P52" s="68"/>
    </row>
    <row r="53" spans="1:16" x14ac:dyDescent="0.2">
      <c r="A53" t="s">
        <v>221</v>
      </c>
    </row>
    <row r="55" spans="1:16" x14ac:dyDescent="0.2">
      <c r="B55" s="77" t="s">
        <v>28</v>
      </c>
    </row>
    <row r="56" spans="1:16" x14ac:dyDescent="0.2">
      <c r="B56" s="78">
        <v>3</v>
      </c>
      <c r="C56">
        <f t="shared" ref="C56:C61" si="13">SUMPRODUCT(C39:N39,C5:N5)</f>
        <v>15.030833025568672</v>
      </c>
    </row>
    <row r="57" spans="1:16" x14ac:dyDescent="0.2">
      <c r="B57" s="78">
        <v>4</v>
      </c>
      <c r="C57">
        <f t="shared" si="13"/>
        <v>15.987743847702568</v>
      </c>
    </row>
    <row r="58" spans="1:16" x14ac:dyDescent="0.2">
      <c r="B58" s="78">
        <v>5</v>
      </c>
      <c r="C58">
        <f t="shared" si="13"/>
        <v>15.31304384356096</v>
      </c>
    </row>
    <row r="59" spans="1:16" x14ac:dyDescent="0.2">
      <c r="B59" s="78">
        <v>6</v>
      </c>
      <c r="C59">
        <f t="shared" si="13"/>
        <v>12.275831977532862</v>
      </c>
    </row>
    <row r="60" spans="1:16" x14ac:dyDescent="0.2">
      <c r="B60" s="78">
        <v>7</v>
      </c>
      <c r="C60">
        <f t="shared" si="13"/>
        <v>9.5638154421603119</v>
      </c>
    </row>
    <row r="61" spans="1:16" x14ac:dyDescent="0.2">
      <c r="B61" s="78">
        <v>8</v>
      </c>
      <c r="C61">
        <f t="shared" si="13"/>
        <v>7.2316153998317159</v>
      </c>
    </row>
    <row r="62" spans="1:16" x14ac:dyDescent="0.2">
      <c r="B62" s="79" t="s">
        <v>29</v>
      </c>
    </row>
    <row r="63" spans="1:16" x14ac:dyDescent="0.2">
      <c r="B63" s="78">
        <v>3</v>
      </c>
      <c r="C63">
        <f t="shared" ref="C63:C68" si="14">SUMPRODUCT(C46:N46,C12:N12)</f>
        <v>7.7391861240451556</v>
      </c>
    </row>
    <row r="64" spans="1:16" x14ac:dyDescent="0.2">
      <c r="B64" s="78">
        <v>4</v>
      </c>
      <c r="C64">
        <f t="shared" si="14"/>
        <v>8.600341931331311</v>
      </c>
    </row>
    <row r="65" spans="2:3" x14ac:dyDescent="0.2">
      <c r="B65" s="78">
        <v>5</v>
      </c>
      <c r="C65">
        <f t="shared" si="14"/>
        <v>8.4913191805983654</v>
      </c>
    </row>
    <row r="66" spans="2:3" x14ac:dyDescent="0.2">
      <c r="B66" s="78">
        <v>6</v>
      </c>
      <c r="C66">
        <f t="shared" si="14"/>
        <v>6.6300526672994362</v>
      </c>
    </row>
    <row r="67" spans="2:3" x14ac:dyDescent="0.2">
      <c r="B67" s="78">
        <v>7</v>
      </c>
      <c r="C67">
        <f t="shared" si="14"/>
        <v>7.5484462183751839</v>
      </c>
    </row>
    <row r="68" spans="2:3" x14ac:dyDescent="0.2">
      <c r="B68" s="76">
        <v>8</v>
      </c>
      <c r="C68">
        <f t="shared" si="14"/>
        <v>4.3624773344228505</v>
      </c>
    </row>
  </sheetData>
  <pageMargins left="0.7" right="0.7" top="0.75" bottom="0.75" header="0.3" footer="0.3"/>
  <ignoredErrors>
    <ignoredError sqref="P52" formulaRange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Instructions</vt:lpstr>
      <vt:lpstr>InputPopulationDeaths</vt:lpstr>
      <vt:lpstr>InputTravel</vt:lpstr>
      <vt:lpstr>Health results</vt:lpstr>
      <vt:lpstr>Active transport</vt:lpstr>
      <vt:lpstr>Baseline</vt:lpstr>
      <vt:lpstr>Scenario</vt:lpstr>
      <vt:lpstr>Phy activity RRs</vt:lpstr>
      <vt:lpstr>Non-travel METs</vt:lpstr>
      <vt:lpstr>Breast cancer</vt:lpstr>
      <vt:lpstr>CVD</vt:lpstr>
      <vt:lpstr>Colon cancer</vt:lpstr>
      <vt:lpstr>Diabetes</vt:lpstr>
      <vt:lpstr>Dementia</vt:lpstr>
      <vt:lpstr>Depression</vt:lpstr>
      <vt:lpstr>CHTS 2013</vt:lpstr>
      <vt:lpstr>GBDUS</vt:lpstr>
      <vt:lpstr>Old inputs</vt:lpstr>
      <vt:lpstr>CHIS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Alex</cp:lastModifiedBy>
  <dcterms:created xsi:type="dcterms:W3CDTF">2013-09-26T22:15:37Z</dcterms:created>
  <dcterms:modified xsi:type="dcterms:W3CDTF">2014-05-26T23:24:58Z</dcterms:modified>
</cp:coreProperties>
</file>